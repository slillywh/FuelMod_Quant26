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int Intercept 1" sheetId="1" r:id="rId5"/>
    <sheet state="visible" name="Point Intercept 2" sheetId="2" r:id="rId6"/>
    <sheet state="visible" name="Data Validation DO NOT EDIT" sheetId="3" r:id="rId7"/>
    <sheet state="visible" name="Alphabetical by species code" sheetId="4" r:id="rId8"/>
  </sheets>
  <definedNames/>
  <calcPr/>
</workbook>
</file>

<file path=xl/sharedStrings.xml><?xml version="1.0" encoding="utf-8"?>
<sst xmlns="http://schemas.openxmlformats.org/spreadsheetml/2006/main" count="16909" uniqueCount="2695">
  <si>
    <t>Page #</t>
  </si>
  <si>
    <t>Year</t>
  </si>
  <si>
    <t>Date</t>
  </si>
  <si>
    <t>Team</t>
  </si>
  <si>
    <t>Site</t>
  </si>
  <si>
    <t>Block #</t>
  </si>
  <si>
    <t>Treatment</t>
  </si>
  <si>
    <t>Transect</t>
  </si>
  <si>
    <t>Point</t>
  </si>
  <si>
    <t>Distance</t>
  </si>
  <si>
    <t>Code</t>
  </si>
  <si>
    <t>Species</t>
  </si>
  <si>
    <t>Native/Non-Native</t>
  </si>
  <si>
    <t>Notes</t>
  </si>
  <si>
    <t>(#)</t>
  </si>
  <si>
    <t>mm/dd/yy</t>
  </si>
  <si>
    <t>initials</t>
  </si>
  <si>
    <t>CU/VB/GB</t>
  </si>
  <si>
    <t>LS/LU/SS/SU</t>
  </si>
  <si>
    <t>1 or 2</t>
  </si>
  <si>
    <t>1-30</t>
  </si>
  <si>
    <t>0-12m</t>
  </si>
  <si>
    <t>six-letter code</t>
  </si>
  <si>
    <t>do not enter - autofill formula</t>
  </si>
  <si>
    <t>enter as written</t>
  </si>
  <si>
    <t>TL, CG, BN</t>
  </si>
  <si>
    <t>VB</t>
  </si>
  <si>
    <t>LS</t>
  </si>
  <si>
    <t>L</t>
  </si>
  <si>
    <t>OPULIT</t>
  </si>
  <si>
    <t>EROMOS</t>
  </si>
  <si>
    <t>FESMYU</t>
  </si>
  <si>
    <t>MEDPOL</t>
  </si>
  <si>
    <t>UNKNNGRASS</t>
  </si>
  <si>
    <t>EROCIC</t>
  </si>
  <si>
    <t>DEIFAS</t>
  </si>
  <si>
    <t>BROMAD</t>
  </si>
  <si>
    <t>SONOLE</t>
  </si>
  <si>
    <t>TH</t>
  </si>
  <si>
    <t>STEDIE</t>
  </si>
  <si>
    <t>CYLPRO</t>
  </si>
  <si>
    <t>S</t>
  </si>
  <si>
    <t>CENMEL</t>
  </si>
  <si>
    <t>UROLIN</t>
  </si>
  <si>
    <t>AMSMEN</t>
  </si>
  <si>
    <t>MP, TL, CG, BN</t>
  </si>
  <si>
    <t>LU</t>
  </si>
  <si>
    <t>SONSPP</t>
  </si>
  <si>
    <t>SONASP</t>
  </si>
  <si>
    <t>ANAARV</t>
  </si>
  <si>
    <t>CRYMAR</t>
  </si>
  <si>
    <t>B</t>
  </si>
  <si>
    <t>R</t>
  </si>
  <si>
    <t>EROBOT</t>
  </si>
  <si>
    <t>JC, TL</t>
  </si>
  <si>
    <t>DAUPUS</t>
  </si>
  <si>
    <t>GRICAM</t>
  </si>
  <si>
    <t>STIPUL</t>
  </si>
  <si>
    <t>CRACON</t>
  </si>
  <si>
    <t>CRYMIC</t>
  </si>
  <si>
    <t>M</t>
  </si>
  <si>
    <t>PHACIC</t>
  </si>
  <si>
    <t>TL, JC</t>
  </si>
  <si>
    <t>SS</t>
  </si>
  <si>
    <t>BRANIG</t>
  </si>
  <si>
    <t>CRYINT</t>
  </si>
  <si>
    <t>SU</t>
  </si>
  <si>
    <t>GALAPA</t>
  </si>
  <si>
    <t>UNKNOWN</t>
  </si>
  <si>
    <t>TL, CC, BN</t>
  </si>
  <si>
    <t>LUPSUC</t>
  </si>
  <si>
    <t>LASCAL</t>
  </si>
  <si>
    <t>TL, BN, JR, AA</t>
  </si>
  <si>
    <t>ERIFAS</t>
  </si>
  <si>
    <t>TL, JR, AA</t>
  </si>
  <si>
    <t>CU</t>
  </si>
  <si>
    <t>AVEFAT</t>
  </si>
  <si>
    <t>CG, JD</t>
  </si>
  <si>
    <t>LICHEN</t>
  </si>
  <si>
    <t>SENVUL</t>
  </si>
  <si>
    <t>EROSPP</t>
  </si>
  <si>
    <t>BRADIS</t>
  </si>
  <si>
    <t>PICECH</t>
  </si>
  <si>
    <t>JV, MP</t>
  </si>
  <si>
    <t>BRODIA</t>
  </si>
  <si>
    <t>GB</t>
  </si>
  <si>
    <t>ARTCAL</t>
  </si>
  <si>
    <t>UNKPLANT</t>
  </si>
  <si>
    <t>BROHOR</t>
  </si>
  <si>
    <t>full name</t>
  </si>
  <si>
    <t>Moss? No Hit?</t>
  </si>
  <si>
    <t>SENVIL</t>
  </si>
  <si>
    <t>MP, JV</t>
  </si>
  <si>
    <t>UNK MUSTARD</t>
  </si>
  <si>
    <t>Species Code (A-Z)</t>
  </si>
  <si>
    <t>Full Scientific Name (Genus species)</t>
  </si>
  <si>
    <t>Common Name</t>
  </si>
  <si>
    <t>other scientific names</t>
  </si>
  <si>
    <t>Plant Family</t>
  </si>
  <si>
    <t>.</t>
  </si>
  <si>
    <t>ACHMIL</t>
  </si>
  <si>
    <t>Achillea millefolium</t>
  </si>
  <si>
    <t>Native</t>
  </si>
  <si>
    <t>Yarrow</t>
  </si>
  <si>
    <t>Asteraceae</t>
  </si>
  <si>
    <t>ACMAME</t>
  </si>
  <si>
    <t>Acmispon americanus</t>
  </si>
  <si>
    <t>American bird's foot trefoil</t>
  </si>
  <si>
    <t>Lotus purshianus</t>
  </si>
  <si>
    <t>Fabaceae</t>
  </si>
  <si>
    <t>ACMGLA</t>
  </si>
  <si>
    <t>Acmispon glaber</t>
  </si>
  <si>
    <t>Deerweed, California Broom</t>
  </si>
  <si>
    <t>Lotus scoparius</t>
  </si>
  <si>
    <t>ACMMAR</t>
  </si>
  <si>
    <t>Acmispon maritimus</t>
  </si>
  <si>
    <t>Coastal Lotus</t>
  </si>
  <si>
    <t>Lotus salsuginosus</t>
  </si>
  <si>
    <t>ACMMIC</t>
  </si>
  <si>
    <t>Acmicspon micranthus</t>
  </si>
  <si>
    <t>Small flowered lotus, grab lotus</t>
  </si>
  <si>
    <t>Lotus hamatus</t>
  </si>
  <si>
    <t>ACMPRO</t>
  </si>
  <si>
    <t>Acmispon prostratus</t>
  </si>
  <si>
    <t>prostrate lotus</t>
  </si>
  <si>
    <t>ACMSPP</t>
  </si>
  <si>
    <t>Acmispon species</t>
  </si>
  <si>
    <t>bird's foot trefoil</t>
  </si>
  <si>
    <t>ACMSTR</t>
  </si>
  <si>
    <t>Acmispon strigosus</t>
  </si>
  <si>
    <t>Strigose lotus</t>
  </si>
  <si>
    <t>Lotus strigosus</t>
  </si>
  <si>
    <t>ACMWRA</t>
  </si>
  <si>
    <t>Acmispon wrangelianus</t>
  </si>
  <si>
    <t>ACOMIC</t>
  </si>
  <si>
    <t>Acourtia microcephala</t>
  </si>
  <si>
    <t>Sacapellote</t>
  </si>
  <si>
    <t>ADEFAS</t>
  </si>
  <si>
    <t>Adenostoma fasciculatum</t>
  </si>
  <si>
    <t>Chamise</t>
  </si>
  <si>
    <t>Rosaceae</t>
  </si>
  <si>
    <t>AGOGRA</t>
  </si>
  <si>
    <t>Agoseris grandiflora</t>
  </si>
  <si>
    <t>Large-flowered Mountain Dandelion</t>
  </si>
  <si>
    <t>AGOSPP</t>
  </si>
  <si>
    <t>Agoseris species</t>
  </si>
  <si>
    <t>AGRPAL</t>
  </si>
  <si>
    <t>Agrostis pallens</t>
  </si>
  <si>
    <t>bent grass</t>
  </si>
  <si>
    <t>Poaceae</t>
  </si>
  <si>
    <t>ALLAMP</t>
  </si>
  <si>
    <t>Allium amplectens</t>
  </si>
  <si>
    <t>onion</t>
  </si>
  <si>
    <t>Alliaceae</t>
  </si>
  <si>
    <t>ALLGLU</t>
  </si>
  <si>
    <t>Allophyllum glutinosum</t>
  </si>
  <si>
    <t>sticky false gilia</t>
  </si>
  <si>
    <t>Polemoniaceae</t>
  </si>
  <si>
    <t>ALLPEN</t>
  </si>
  <si>
    <t>Allium peninsulare</t>
  </si>
  <si>
    <t>ALLPRA</t>
  </si>
  <si>
    <t>Allium praecox</t>
  </si>
  <si>
    <t>ALLSPP</t>
  </si>
  <si>
    <t>Allium species</t>
  </si>
  <si>
    <t>AMAALB</t>
  </si>
  <si>
    <t>Amaranthus albus</t>
  </si>
  <si>
    <t>Non-Native</t>
  </si>
  <si>
    <t>pigweed</t>
  </si>
  <si>
    <t>Amaranthaceae</t>
  </si>
  <si>
    <t>AMBACA</t>
  </si>
  <si>
    <t>Ambrosia acanthicarpa</t>
  </si>
  <si>
    <t>ragweed</t>
  </si>
  <si>
    <t>AMBCON</t>
  </si>
  <si>
    <t>Ambrosia confertiflora</t>
  </si>
  <si>
    <t>weak leaf burweed/ragweed</t>
  </si>
  <si>
    <t>AMBPSI</t>
  </si>
  <si>
    <t>Ambrosia psilostachya</t>
  </si>
  <si>
    <t>AMOCAL</t>
  </si>
  <si>
    <t>Amorpha californica</t>
  </si>
  <si>
    <t>false indigo</t>
  </si>
  <si>
    <t>AMOFRU</t>
  </si>
  <si>
    <t>Amorpha fruticosa</t>
  </si>
  <si>
    <t>western false indigo</t>
  </si>
  <si>
    <t>AMSINT</t>
  </si>
  <si>
    <t>Amsinckia intermedia</t>
  </si>
  <si>
    <t>common fiddleneck</t>
  </si>
  <si>
    <t>Boraginaceae</t>
  </si>
  <si>
    <t>Amsinckia menziesii</t>
  </si>
  <si>
    <t>fiddleneck</t>
  </si>
  <si>
    <t>AMSRET</t>
  </si>
  <si>
    <t>Amsinckia retrorsa</t>
  </si>
  <si>
    <t>Gray Fiddleneck</t>
  </si>
  <si>
    <t>Anagallis arvensis</t>
  </si>
  <si>
    <t>scarlet pimpernel</t>
  </si>
  <si>
    <t>Primulaceae</t>
  </si>
  <si>
    <t>ANECAL</t>
  </si>
  <si>
    <t>Anemopsis californica</t>
  </si>
  <si>
    <t>Yerba mansa</t>
  </si>
  <si>
    <t>Saururaceae</t>
  </si>
  <si>
    <t>ANTCAU</t>
  </si>
  <si>
    <t>Anthriscus caucalis</t>
  </si>
  <si>
    <t>Bur chervil</t>
  </si>
  <si>
    <t>Apiaceae</t>
  </si>
  <si>
    <t>ANTCOU</t>
  </si>
  <si>
    <t>Antirrhinum coulterianum</t>
  </si>
  <si>
    <t>Coulter's snapdragon</t>
  </si>
  <si>
    <t>Plantaginaceae</t>
  </si>
  <si>
    <t>ANTKEL</t>
  </si>
  <si>
    <t>Antirrhinum kelloggii</t>
  </si>
  <si>
    <t>climbing snapdragon</t>
  </si>
  <si>
    <t>ANTNUT</t>
  </si>
  <si>
    <t>Antirrhinum nuttallianum</t>
  </si>
  <si>
    <t>Nuttall's snapdragon</t>
  </si>
  <si>
    <t>APIANG</t>
  </si>
  <si>
    <t>Apiastrum angustifolium</t>
  </si>
  <si>
    <t>wild celery</t>
  </si>
  <si>
    <t>APIGRA</t>
  </si>
  <si>
    <t>Apium graveolens</t>
  </si>
  <si>
    <t>celery</t>
  </si>
  <si>
    <t>APOCAN</t>
  </si>
  <si>
    <t>Apocynum cannabinum</t>
  </si>
  <si>
    <t>Indian hemp</t>
  </si>
  <si>
    <t>Apocynaceae</t>
  </si>
  <si>
    <t>ARASER</t>
  </si>
  <si>
    <t>Araujia sericifera</t>
  </si>
  <si>
    <t>bladder flower</t>
  </si>
  <si>
    <t>ARIDIV</t>
  </si>
  <si>
    <t>Aristida divaricata</t>
  </si>
  <si>
    <t>three-awn grass</t>
  </si>
  <si>
    <t>ARIPUR</t>
  </si>
  <si>
    <t>Aristida purpurea</t>
  </si>
  <si>
    <t>ARISPP</t>
  </si>
  <si>
    <t>Aristida species</t>
  </si>
  <si>
    <t>Artemisia californica</t>
  </si>
  <si>
    <t>California Sage brush</t>
  </si>
  <si>
    <t>ARTCAL resprout</t>
  </si>
  <si>
    <t>Artemisia californica resprout</t>
  </si>
  <si>
    <t>ARTCAL seedling</t>
  </si>
  <si>
    <t>Artemisia californica seedling</t>
  </si>
  <si>
    <t>ARTDOU</t>
  </si>
  <si>
    <t>Artemisia douglasiana</t>
  </si>
  <si>
    <t>Mugwort</t>
  </si>
  <si>
    <t>ARTDRA</t>
  </si>
  <si>
    <t>Artemisia dracunculus</t>
  </si>
  <si>
    <t>wild tarragon</t>
  </si>
  <si>
    <t>ARTPAL</t>
  </si>
  <si>
    <t>Artemisia palmeri</t>
  </si>
  <si>
    <t>ARUDON</t>
  </si>
  <si>
    <t>Arundo donax</t>
  </si>
  <si>
    <t>giant reed</t>
  </si>
  <si>
    <t>ASCERI</t>
  </si>
  <si>
    <t>Asclepias eriocarpa</t>
  </si>
  <si>
    <t>wooly fruited milkweed</t>
  </si>
  <si>
    <t>ASCFAS</t>
  </si>
  <si>
    <t>Asclepias fascicularis</t>
  </si>
  <si>
    <t>narrow- leaf milkweed</t>
  </si>
  <si>
    <t>ASTGAM</t>
  </si>
  <si>
    <t>Astragalus gambelianus</t>
  </si>
  <si>
    <t>locoweed</t>
  </si>
  <si>
    <t>ASTTRI</t>
  </si>
  <si>
    <t>Astragalus trichopodus</t>
  </si>
  <si>
    <t>santa barbara milk vetch</t>
  </si>
  <si>
    <t>ATHPUS</t>
  </si>
  <si>
    <t>Athysanus pusillus</t>
  </si>
  <si>
    <t>dwarf athysanus, sandweed</t>
  </si>
  <si>
    <t>Brassicaceae</t>
  </si>
  <si>
    <t>ATRCAN</t>
  </si>
  <si>
    <t>Atriplex canescens</t>
  </si>
  <si>
    <t>four-wing saltbush</t>
  </si>
  <si>
    <t>Chenopodiaceae</t>
  </si>
  <si>
    <t>ATRLEN</t>
  </si>
  <si>
    <t>Atriplex lentiformis</t>
  </si>
  <si>
    <t>big saltbush</t>
  </si>
  <si>
    <t>ATRSEM</t>
  </si>
  <si>
    <t>Atriplex semibaccata</t>
  </si>
  <si>
    <t>australian saltbush</t>
  </si>
  <si>
    <t>AVEBAR</t>
  </si>
  <si>
    <t>Avena barbata</t>
  </si>
  <si>
    <t>wild oat</t>
  </si>
  <si>
    <t>Avena fatua</t>
  </si>
  <si>
    <t>AVESPP</t>
  </si>
  <si>
    <t>Avena species</t>
  </si>
  <si>
    <t>Avena fatua, Avena Barbata</t>
  </si>
  <si>
    <t>Bareground</t>
  </si>
  <si>
    <t>Ground Cover</t>
  </si>
  <si>
    <t>BACPIL</t>
  </si>
  <si>
    <t>Baccharis pilularis</t>
  </si>
  <si>
    <t>coyote bush</t>
  </si>
  <si>
    <t>BACSAL</t>
  </si>
  <si>
    <t>Baccharis salicifolia</t>
  </si>
  <si>
    <t>mulefat</t>
  </si>
  <si>
    <t>BACSALICINA</t>
  </si>
  <si>
    <t>Baccharis salicina</t>
  </si>
  <si>
    <t>willow baccharis</t>
  </si>
  <si>
    <t>BACSAR</t>
  </si>
  <si>
    <t>Baccharis sarothroides</t>
  </si>
  <si>
    <t>broom baccharis</t>
  </si>
  <si>
    <t>BAHLAC</t>
  </si>
  <si>
    <t>Bahiopsis laciniata</t>
  </si>
  <si>
    <t>BEBJUN</t>
  </si>
  <si>
    <t>Bebbia juncea</t>
  </si>
  <si>
    <t>sweetbush</t>
  </si>
  <si>
    <t>BLOCRO</t>
  </si>
  <si>
    <t>Bloomeria crocea</t>
  </si>
  <si>
    <t>Golden stars</t>
  </si>
  <si>
    <t>Themidaceae</t>
  </si>
  <si>
    <t>BOESPA</t>
  </si>
  <si>
    <t>Boechera sparsiflora</t>
  </si>
  <si>
    <t>BOWINC</t>
  </si>
  <si>
    <t>Bowlesia incana</t>
  </si>
  <si>
    <t>Bowelesia</t>
  </si>
  <si>
    <t>Brachypodium distachyon</t>
  </si>
  <si>
    <t>false brome</t>
  </si>
  <si>
    <t>BRAGEN</t>
  </si>
  <si>
    <t>Hirschfeldia incana</t>
  </si>
  <si>
    <t>Summer mustard, short pod mustard</t>
  </si>
  <si>
    <t>Brassica nigra</t>
  </si>
  <si>
    <t>Black Mustard</t>
  </si>
  <si>
    <t>BRARAP</t>
  </si>
  <si>
    <t>Brassica rapa</t>
  </si>
  <si>
    <t>BRATOU</t>
  </si>
  <si>
    <t>Brassica tournefortii</t>
  </si>
  <si>
    <t>Sahara mustard</t>
  </si>
  <si>
    <t>BRICAL</t>
  </si>
  <si>
    <t>Brickellia californica</t>
  </si>
  <si>
    <t>bricklebush</t>
  </si>
  <si>
    <t>BROCAR</t>
  </si>
  <si>
    <t>Bromus carinatus</t>
  </si>
  <si>
    <t>California brome</t>
  </si>
  <si>
    <t>BROCAT</t>
  </si>
  <si>
    <t>Bromus catharticus</t>
  </si>
  <si>
    <t>rescue grass</t>
  </si>
  <si>
    <t>Bromus diandrus</t>
  </si>
  <si>
    <t>ripgut brome</t>
  </si>
  <si>
    <t>Bromus hordeaceus</t>
  </si>
  <si>
    <t>soft chess brome</t>
  </si>
  <si>
    <t>Bromus madritensis</t>
  </si>
  <si>
    <t>red brome, foxtail brome</t>
  </si>
  <si>
    <t>Bromus Rubens (BRORUB)</t>
  </si>
  <si>
    <t>BROTEC</t>
  </si>
  <si>
    <t>Bromus Tectorum</t>
  </si>
  <si>
    <t>downy brome, drooping brome</t>
  </si>
  <si>
    <t>BROSPP</t>
  </si>
  <si>
    <t>Bromus species</t>
  </si>
  <si>
    <t>C</t>
  </si>
  <si>
    <t>Crypto-biotic Crust</t>
  </si>
  <si>
    <t>CALBRE</t>
  </si>
  <si>
    <t>Calandrinia breweri</t>
  </si>
  <si>
    <t>Brewer's Red Maids</t>
  </si>
  <si>
    <t>Montiaceae</t>
  </si>
  <si>
    <t>CALCAT</t>
  </si>
  <si>
    <t>Calochortus catalinae</t>
  </si>
  <si>
    <t>Mariposa lily</t>
  </si>
  <si>
    <t>Liliaceae</t>
  </si>
  <si>
    <t>CALCIL</t>
  </si>
  <si>
    <t>Calandrinia ciliata</t>
  </si>
  <si>
    <t>Red maids</t>
  </si>
  <si>
    <t>CALMAC</t>
  </si>
  <si>
    <t>Calystegia macrostegia</t>
  </si>
  <si>
    <t>morning glory</t>
  </si>
  <si>
    <t>Convovulaceae</t>
  </si>
  <si>
    <t>CALSOL</t>
  </si>
  <si>
    <t>Calystegia soldanella</t>
  </si>
  <si>
    <t>beach morning glory</t>
  </si>
  <si>
    <t>CALSPL</t>
  </si>
  <si>
    <t>Calochortus splendens</t>
  </si>
  <si>
    <t>CALSPP</t>
  </si>
  <si>
    <t>Calochortus species</t>
  </si>
  <si>
    <t>CALWEE</t>
  </si>
  <si>
    <t>Calochortus weedii var. weedii</t>
  </si>
  <si>
    <t>CALWEEI</t>
  </si>
  <si>
    <t>Calochortus weedii var. intermedius</t>
  </si>
  <si>
    <t>CALWEEW</t>
  </si>
  <si>
    <t>CAMBIS</t>
  </si>
  <si>
    <t>Camissoniopsis bistorta</t>
  </si>
  <si>
    <t>suncup, primrose</t>
  </si>
  <si>
    <t>Onagraceae</t>
  </si>
  <si>
    <t>CAMBIS?</t>
  </si>
  <si>
    <t>CAMCON</t>
  </si>
  <si>
    <t>Camissonia confusa</t>
  </si>
  <si>
    <t>CAMHIR</t>
  </si>
  <si>
    <t>Camissonia hirtella</t>
  </si>
  <si>
    <t>hairy suncup</t>
  </si>
  <si>
    <t>CAMMIC</t>
  </si>
  <si>
    <t>Camissoniopsis micrantha</t>
  </si>
  <si>
    <t>CAMSPP</t>
  </si>
  <si>
    <t>Camissoniopsis species</t>
  </si>
  <si>
    <t>CAPBUR</t>
  </si>
  <si>
    <t>Capsella bursa-pastoris</t>
  </si>
  <si>
    <t>shepherd's purse</t>
  </si>
  <si>
    <t>CARCAL</t>
  </si>
  <si>
    <t>Cardamine californica</t>
  </si>
  <si>
    <t>bittercress, milkmaids</t>
  </si>
  <si>
    <t>CAREDU</t>
  </si>
  <si>
    <t>Carpobrotus edulis</t>
  </si>
  <si>
    <t>Common Iceplant</t>
  </si>
  <si>
    <t>chilensis-pink flowers, edulis-yellow flowers</t>
  </si>
  <si>
    <t>Aizoaceae</t>
  </si>
  <si>
    <t>CARPRA</t>
  </si>
  <si>
    <t>Carex praegracilis</t>
  </si>
  <si>
    <t>field sedge</t>
  </si>
  <si>
    <t>Cyperaceae</t>
  </si>
  <si>
    <t>CARPYC</t>
  </si>
  <si>
    <t>Carduus pycnocephalus</t>
  </si>
  <si>
    <t>Italian thistle</t>
  </si>
  <si>
    <t>CARRAM</t>
  </si>
  <si>
    <t>Cardionema ramosissimum</t>
  </si>
  <si>
    <t>sandmat</t>
  </si>
  <si>
    <t>Caryophyllacaeae</t>
  </si>
  <si>
    <t>CARSPP</t>
  </si>
  <si>
    <t>Carex species</t>
  </si>
  <si>
    <t>sedge</t>
  </si>
  <si>
    <t>CARTRI</t>
  </si>
  <si>
    <t>Carex triquetra</t>
  </si>
  <si>
    <t>triangular fruit sedge</t>
  </si>
  <si>
    <t>CASAFF</t>
  </si>
  <si>
    <t>Castilleja affinis</t>
  </si>
  <si>
    <t>Coastal Paintbrush</t>
  </si>
  <si>
    <t>Orobanchaceae</t>
  </si>
  <si>
    <t>CASDEN</t>
  </si>
  <si>
    <t>Castilleja densiflora</t>
  </si>
  <si>
    <t>CASEXE</t>
  </si>
  <si>
    <t>Castilleja exserta</t>
  </si>
  <si>
    <t>Purple Owl's clover</t>
  </si>
  <si>
    <t>CASFOL</t>
  </si>
  <si>
    <t>Castilleja foliolosa</t>
  </si>
  <si>
    <t>texas paintbrush</t>
  </si>
  <si>
    <t>CAULAS</t>
  </si>
  <si>
    <t>Caulanthus lasiophyllus</t>
  </si>
  <si>
    <t>California mustard</t>
  </si>
  <si>
    <t>CEACRA</t>
  </si>
  <si>
    <t>Ceanothus crassifolius</t>
  </si>
  <si>
    <t>hoary leaved ceantothus</t>
  </si>
  <si>
    <t>Rhamnaceae</t>
  </si>
  <si>
    <t>CEAGRE</t>
  </si>
  <si>
    <t>Ceanothus greggii</t>
  </si>
  <si>
    <t>CEALEU</t>
  </si>
  <si>
    <t>Ceanothus leucodermis</t>
  </si>
  <si>
    <t>CEAMEG</t>
  </si>
  <si>
    <t>Ceanothus megacarpus</t>
  </si>
  <si>
    <t>bigpod ceanothus</t>
  </si>
  <si>
    <t>CEAOLI</t>
  </si>
  <si>
    <t>Ceanothus oliganthus</t>
  </si>
  <si>
    <t>hairy ceanothus</t>
  </si>
  <si>
    <t>CEASPP</t>
  </si>
  <si>
    <t>Ceanothus species</t>
  </si>
  <si>
    <t>CEATOM</t>
  </si>
  <si>
    <t>Ceanothus tomentosus</t>
  </si>
  <si>
    <t>CEAVER</t>
  </si>
  <si>
    <t>Ceanothus verrucosus</t>
  </si>
  <si>
    <t>CENCAL</t>
  </si>
  <si>
    <t>Centaurea calcitrapa</t>
  </si>
  <si>
    <t>Centaurea melitensis</t>
  </si>
  <si>
    <t>tocalote, malta star thistle</t>
  </si>
  <si>
    <t>CERBET</t>
  </si>
  <si>
    <t>Cercocarpus betuloides</t>
  </si>
  <si>
    <t>mountain mahogany</t>
  </si>
  <si>
    <t>CERGLO</t>
  </si>
  <si>
    <t>Cerastium glomeratum</t>
  </si>
  <si>
    <t>sticky mouse ears</t>
  </si>
  <si>
    <t>CHAALB</t>
  </si>
  <si>
    <t>Chamaesyce albomarginata</t>
  </si>
  <si>
    <t>rattlesnake spurge</t>
  </si>
  <si>
    <t>Euphorbiaceae</t>
  </si>
  <si>
    <t>CHAART</t>
  </si>
  <si>
    <t>Chaenactis artemisiifolia</t>
  </si>
  <si>
    <t>white pincushion</t>
  </si>
  <si>
    <t>CHAGLA</t>
  </si>
  <si>
    <t>Chaenactis glabriuscula</t>
  </si>
  <si>
    <t>yellow pincushion</t>
  </si>
  <si>
    <t>CHAPOL</t>
  </si>
  <si>
    <t>Chamaesyce polycarpa</t>
  </si>
  <si>
    <t>small-seeded spurge</t>
  </si>
  <si>
    <t>CHEALB</t>
  </si>
  <si>
    <t>Chenopodium album</t>
  </si>
  <si>
    <t>lamb's quarters</t>
  </si>
  <si>
    <t>CHECAL</t>
  </si>
  <si>
    <t>Chenopodium californicum</t>
  </si>
  <si>
    <t>soaproot</t>
  </si>
  <si>
    <t>CHEMUL</t>
  </si>
  <si>
    <t>Chenopodium multifidum</t>
  </si>
  <si>
    <t>CHEMUR</t>
  </si>
  <si>
    <t>Chenopodium murale</t>
  </si>
  <si>
    <t>CHESPP</t>
  </si>
  <si>
    <t>Chenopodium species</t>
  </si>
  <si>
    <t>unknown chenopode</t>
  </si>
  <si>
    <t>CHEVID</t>
  </si>
  <si>
    <t>Cheilanthes viscida</t>
  </si>
  <si>
    <t>Pteridaceae</t>
  </si>
  <si>
    <t>CHLPAR</t>
  </si>
  <si>
    <t>Chlorogalum parviflorum</t>
  </si>
  <si>
    <t>small-flowered soapplant</t>
  </si>
  <si>
    <t>Agavaceae</t>
  </si>
  <si>
    <t>CHLPOM</t>
  </si>
  <si>
    <t>Chloragalum pomeridianum</t>
  </si>
  <si>
    <t>soap plant (wavy)</t>
  </si>
  <si>
    <t>CHOFIM</t>
  </si>
  <si>
    <t>Chorizanthe fimbriata</t>
  </si>
  <si>
    <t>spine flower</t>
  </si>
  <si>
    <t>Polygonaceae</t>
  </si>
  <si>
    <t>CHOPRO</t>
  </si>
  <si>
    <t>Chorizanthe procumbens</t>
  </si>
  <si>
    <t>CHOSPP</t>
  </si>
  <si>
    <t>Chorizanthe species</t>
  </si>
  <si>
    <t>CIROCC</t>
  </si>
  <si>
    <t>Cirsium occidentale</t>
  </si>
  <si>
    <t>Cobweb thistle</t>
  </si>
  <si>
    <t>CIROCC var CAL</t>
  </si>
  <si>
    <t>Cirsium occidentale  var. californicum</t>
  </si>
  <si>
    <t>CIROCC var OCC</t>
  </si>
  <si>
    <t>Cirsium occidentale var. occidentale </t>
  </si>
  <si>
    <t>CIRVUL</t>
  </si>
  <si>
    <t>Cirsium vulgare</t>
  </si>
  <si>
    <t>Bull thistle</t>
  </si>
  <si>
    <t>CLABOT</t>
  </si>
  <si>
    <t>Clarkia bottae</t>
  </si>
  <si>
    <t>punch bowl clarkia</t>
  </si>
  <si>
    <t>CLAPAR</t>
  </si>
  <si>
    <t>Claytonia parviflora</t>
  </si>
  <si>
    <t>narrow-leaved miner's lettuce</t>
  </si>
  <si>
    <t>CLAPER</t>
  </si>
  <si>
    <t>Claytonia perfoliata</t>
  </si>
  <si>
    <t>miner's lettuce</t>
  </si>
  <si>
    <t>CLAPUR</t>
  </si>
  <si>
    <t>Clarkia purpurea</t>
  </si>
  <si>
    <t>purple clarkia</t>
  </si>
  <si>
    <t>CLELAS</t>
  </si>
  <si>
    <t>Clematis lasiantha</t>
  </si>
  <si>
    <t>virgin's bower</t>
  </si>
  <si>
    <t>Ranunculaceae</t>
  </si>
  <si>
    <t>CLELIN</t>
  </si>
  <si>
    <t>Clematis ligusticifolia</t>
  </si>
  <si>
    <t>CNEDUM</t>
  </si>
  <si>
    <t>Cneoridium dumosum</t>
  </si>
  <si>
    <t>bushrue</t>
  </si>
  <si>
    <t>Rutaceae</t>
  </si>
  <si>
    <t>CO</t>
  </si>
  <si>
    <t>Cobble</t>
  </si>
  <si>
    <t>COLHET</t>
  </si>
  <si>
    <t>Collinsia heterophylla</t>
  </si>
  <si>
    <t>chinese houses</t>
  </si>
  <si>
    <t>CONARV</t>
  </si>
  <si>
    <t>Convolvulus arvensis</t>
  </si>
  <si>
    <t>bindweed</t>
  </si>
  <si>
    <t>CONCAN</t>
  </si>
  <si>
    <t>Conyza canadensis</t>
  </si>
  <si>
    <t>horsetail</t>
  </si>
  <si>
    <t>CONMAC</t>
  </si>
  <si>
    <t>Conium maculatum</t>
  </si>
  <si>
    <t>poison hemlock</t>
  </si>
  <si>
    <t>CONSIM</t>
  </si>
  <si>
    <t>Convolvulus simulans</t>
  </si>
  <si>
    <t>small-flowered morning glory</t>
  </si>
  <si>
    <t>CONYZA</t>
  </si>
  <si>
    <t>Conyza species</t>
  </si>
  <si>
    <t>horseweed</t>
  </si>
  <si>
    <t>Conyza canadensis, Conyza floribunda</t>
  </si>
  <si>
    <t>CORFIL</t>
  </si>
  <si>
    <t>Corethrogyne filaginifolia</t>
  </si>
  <si>
    <t>common sandaster</t>
  </si>
  <si>
    <t>Lessingia filaginifolia</t>
  </si>
  <si>
    <t>CORRIG</t>
  </si>
  <si>
    <t>Cordylanthus rigidus</t>
  </si>
  <si>
    <t>bird's beak</t>
  </si>
  <si>
    <t>CORSEL</t>
  </si>
  <si>
    <t>Cortaderia selloana</t>
  </si>
  <si>
    <t>Pampas grass</t>
  </si>
  <si>
    <t>COTAUS</t>
  </si>
  <si>
    <t>Cotula australis</t>
  </si>
  <si>
    <t>brass buttons</t>
  </si>
  <si>
    <t>Crassula connata</t>
  </si>
  <si>
    <t>sand pygmy weed</t>
  </si>
  <si>
    <t>Crassulaceae</t>
  </si>
  <si>
    <t>CROCAL</t>
  </si>
  <si>
    <t>Croton californica</t>
  </si>
  <si>
    <t>Desert croton</t>
  </si>
  <si>
    <t>CROSET</t>
  </si>
  <si>
    <t>Croton setigerus</t>
  </si>
  <si>
    <t>doveweed, turkey mullein</t>
  </si>
  <si>
    <t>CRYANG</t>
  </si>
  <si>
    <t>Cryptantha angustifolia</t>
  </si>
  <si>
    <t>Cryptantha intermedia</t>
  </si>
  <si>
    <t>common cryptantha</t>
  </si>
  <si>
    <t>Cryptantha micromeres</t>
  </si>
  <si>
    <t>CRYMUR</t>
  </si>
  <si>
    <t>Cryptantha muricata var. jonesii</t>
  </si>
  <si>
    <t>Jone's Cat's-eyes</t>
  </si>
  <si>
    <t>Crypantha maritima</t>
  </si>
  <si>
    <t>CRYSPP</t>
  </si>
  <si>
    <t>Cryptantha species</t>
  </si>
  <si>
    <t>cat's eyes</t>
  </si>
  <si>
    <t>CS(ADEFAS)</t>
  </si>
  <si>
    <t>Crown sprouting Adenostoma fasciculatum</t>
  </si>
  <si>
    <t>CS(ARTCAL)</t>
  </si>
  <si>
    <t>Crown sprouting Artemesia californica</t>
  </si>
  <si>
    <t>California Sagebrush</t>
  </si>
  <si>
    <t>CS(ERIFAS)</t>
  </si>
  <si>
    <t>Crown sprouting Eriogonum fasciculatum</t>
  </si>
  <si>
    <t>Buckwheat</t>
  </si>
  <si>
    <t>CS(MALFAS)</t>
  </si>
  <si>
    <t>Crown sprouting Malacothamnus fasciculatus</t>
  </si>
  <si>
    <t>CS(MALLAU)</t>
  </si>
  <si>
    <t>Crown sprouting Mallosma laurina</t>
  </si>
  <si>
    <t>CS(QUEAGR)</t>
  </si>
  <si>
    <t>Crown sprouting Quercus agrifolia</t>
  </si>
  <si>
    <t>CS(SALAPI)</t>
  </si>
  <si>
    <t>Crown sprouting Salvia apiana</t>
  </si>
  <si>
    <t>white sage</t>
  </si>
  <si>
    <t>Lamiaceae</t>
  </si>
  <si>
    <t>CS(SALMEL)</t>
  </si>
  <si>
    <t>Crown sprouting Salvia mellifera</t>
  </si>
  <si>
    <t>black sage</t>
  </si>
  <si>
    <t>CS(SAMMEX)</t>
  </si>
  <si>
    <t>Crown sprouting Sambucus nigra ssp. caerulea</t>
  </si>
  <si>
    <t>CUCFOE</t>
  </si>
  <si>
    <t>Cucurbita foetidissima</t>
  </si>
  <si>
    <t>coyote gourd</t>
  </si>
  <si>
    <t>Cucurbitaceae</t>
  </si>
  <si>
    <t>CUP THING</t>
  </si>
  <si>
    <t>Unknown plant</t>
  </si>
  <si>
    <t>CUPSPP</t>
  </si>
  <si>
    <t>Hesperocyparis species</t>
  </si>
  <si>
    <t>CUSCAL</t>
  </si>
  <si>
    <t>Cuscuta californica</t>
  </si>
  <si>
    <t>california dodder</t>
  </si>
  <si>
    <t>CUSSPP</t>
  </si>
  <si>
    <t>Cuscuta species</t>
  </si>
  <si>
    <t>dodder, witch's hair</t>
  </si>
  <si>
    <t>CUSCAL, other species</t>
  </si>
  <si>
    <t>CUSSUB</t>
  </si>
  <si>
    <t>Cuscuta subinclusa</t>
  </si>
  <si>
    <t>canyon dodder</t>
  </si>
  <si>
    <t>CYLBIG</t>
  </si>
  <si>
    <t>Cylindropuntia bigelovii</t>
  </si>
  <si>
    <t>teddy bear cholla</t>
  </si>
  <si>
    <t>Cactaceae</t>
  </si>
  <si>
    <t>CYLCAL</t>
  </si>
  <si>
    <t>Cylindropuntia californica</t>
  </si>
  <si>
    <t>california cholla</t>
  </si>
  <si>
    <t>Cylindropuntia prolifera</t>
  </si>
  <si>
    <t>Coast cholla</t>
  </si>
  <si>
    <t>CYNCAR</t>
  </si>
  <si>
    <t>Cynara cardunculus</t>
  </si>
  <si>
    <t>artichoke thistle</t>
  </si>
  <si>
    <t>CYNDAC</t>
  </si>
  <si>
    <t>Cynodon dactylon</t>
  </si>
  <si>
    <t>bermuda grass</t>
  </si>
  <si>
    <t>CYPINV</t>
  </si>
  <si>
    <t>Cyperus involucratus</t>
  </si>
  <si>
    <t>umbrella plant</t>
  </si>
  <si>
    <t>D(ACHMIL)</t>
  </si>
  <si>
    <t>dead Achillea millefolium</t>
  </si>
  <si>
    <t>Dead Native</t>
  </si>
  <si>
    <t>yarrow</t>
  </si>
  <si>
    <t>D(ACMAME)</t>
  </si>
  <si>
    <t>dead Acmispon americanus</t>
  </si>
  <si>
    <t>D(ACMGLA)</t>
  </si>
  <si>
    <t>dead Acmispon glaber</t>
  </si>
  <si>
    <t>D(ACMMIC)</t>
  </si>
  <si>
    <t>dead Acmicspon micranthus</t>
  </si>
  <si>
    <t>grab lotus</t>
  </si>
  <si>
    <t>D(ACMSPP)</t>
  </si>
  <si>
    <t>dead Acmispon species</t>
  </si>
  <si>
    <t>D(ACMSTR)</t>
  </si>
  <si>
    <t>dead Acmispon strigosus</t>
  </si>
  <si>
    <t>D(ADEFAS)</t>
  </si>
  <si>
    <t>dead Adenostoma fasciculatum</t>
  </si>
  <si>
    <t>D(AGRPAL)</t>
  </si>
  <si>
    <t>dead Agrostis pallens</t>
  </si>
  <si>
    <t>D(AMAALB)</t>
  </si>
  <si>
    <t>dead Amaranthus albus</t>
  </si>
  <si>
    <t>Dead Non-Native</t>
  </si>
  <si>
    <t>D(AMBACA)</t>
  </si>
  <si>
    <t>dead Ambrosia acanthicarpa</t>
  </si>
  <si>
    <t>D(AMBPSI)</t>
  </si>
  <si>
    <t>dead Ambrosia psilostachya</t>
  </si>
  <si>
    <t>D(AMOCAL)</t>
  </si>
  <si>
    <t>dead Amorpha californica</t>
  </si>
  <si>
    <t>D(AMOFRU)</t>
  </si>
  <si>
    <t>dead Amorpha fruticosa</t>
  </si>
  <si>
    <t>D(AMSINT)</t>
  </si>
  <si>
    <t>dead Amsinckia intermedia</t>
  </si>
  <si>
    <t>D(AMSMEN)</t>
  </si>
  <si>
    <t>dead Amsinckia menziesii var intermedia</t>
  </si>
  <si>
    <t>D(ANAARV)</t>
  </si>
  <si>
    <t>dead Anagallis arvensis</t>
  </si>
  <si>
    <t>D(ANECAL)</t>
  </si>
  <si>
    <t>dead Anemopsis californica</t>
  </si>
  <si>
    <t>D(ANTCAU)</t>
  </si>
  <si>
    <t>dead Anthriscus caucalis</t>
  </si>
  <si>
    <t>D(ANTCOU)</t>
  </si>
  <si>
    <t>dead Antirrhinum coulterianum</t>
  </si>
  <si>
    <t>Scrophulariaceae</t>
  </si>
  <si>
    <t>D(ANTKEL)</t>
  </si>
  <si>
    <t>dead Antirrhinum kelloggii</t>
  </si>
  <si>
    <t>D(ANTNUT)</t>
  </si>
  <si>
    <t>dead Antirrhinum nuttallianum</t>
  </si>
  <si>
    <t>D(APIANG)</t>
  </si>
  <si>
    <t>dead Apiastrum angustifolium</t>
  </si>
  <si>
    <t>D(APIGRA)</t>
  </si>
  <si>
    <t>dead Apium graveolens</t>
  </si>
  <si>
    <t>D(APOCAN)</t>
  </si>
  <si>
    <t>dead Apocynum cannabinum</t>
  </si>
  <si>
    <t>D(ARASER)</t>
  </si>
  <si>
    <t>dead Araujia sericifera</t>
  </si>
  <si>
    <t>D(ARTCAL)</t>
  </si>
  <si>
    <t>dead Artemisia californica</t>
  </si>
  <si>
    <t>D(ARTDOU)</t>
  </si>
  <si>
    <t>dead Artemisia douglasiana</t>
  </si>
  <si>
    <t>D(ARTDRA)</t>
  </si>
  <si>
    <t>dead Artemisia dracunculus</t>
  </si>
  <si>
    <t>D(ARUDON)</t>
  </si>
  <si>
    <t>dead Arundo donax</t>
  </si>
  <si>
    <t>D(ASCERI)</t>
  </si>
  <si>
    <t>dead Asclepias eriocarpa</t>
  </si>
  <si>
    <t>D(ASCFAS)</t>
  </si>
  <si>
    <t>dead Asclepias fascicularis</t>
  </si>
  <si>
    <t>D(ASTGAM)</t>
  </si>
  <si>
    <t>dead Astragalus gambelianus</t>
  </si>
  <si>
    <t>D(ASTTRI)</t>
  </si>
  <si>
    <t>dead Astragalus trichopodus</t>
  </si>
  <si>
    <t>D(ATHPUS)</t>
  </si>
  <si>
    <t>dead Athysanus pusillus</t>
  </si>
  <si>
    <t>D(ATRCAN)</t>
  </si>
  <si>
    <t>dead Atriplex canescens</t>
  </si>
  <si>
    <t>Chenopodaceae</t>
  </si>
  <si>
    <t>D(ATRLEN)</t>
  </si>
  <si>
    <t>dead Atriplex lentiformis</t>
  </si>
  <si>
    <t>D(ATRSEM)</t>
  </si>
  <si>
    <t>dead Atriplex semibaccata</t>
  </si>
  <si>
    <t>D(AVEBAR)</t>
  </si>
  <si>
    <t>dead Avena barbata</t>
  </si>
  <si>
    <t>D(AVEFAT)</t>
  </si>
  <si>
    <t>dead Avena fatua</t>
  </si>
  <si>
    <t>D(AVESPP)</t>
  </si>
  <si>
    <t>dead Avena species</t>
  </si>
  <si>
    <t>D(BACPIL)</t>
  </si>
  <si>
    <t>dead Baccharis pilularis</t>
  </si>
  <si>
    <t>D(BACSAL)</t>
  </si>
  <si>
    <t>dead Baccharis salicifolia</t>
  </si>
  <si>
    <t>D(BACSALICINA)</t>
  </si>
  <si>
    <t>dead Baccharis salicina</t>
  </si>
  <si>
    <t>D(BACSAR)</t>
  </si>
  <si>
    <t>dead Baccharis sarothroides</t>
  </si>
  <si>
    <t>D(BEBJUN)</t>
  </si>
  <si>
    <t>dead Bebbia juncea</t>
  </si>
  <si>
    <t>D(BLOCRO)</t>
  </si>
  <si>
    <t>dead Bloomeria crocea</t>
  </si>
  <si>
    <t>D(BRADIS)</t>
  </si>
  <si>
    <t>dead Brachypodium distachyon</t>
  </si>
  <si>
    <t>D(BRANIG)</t>
  </si>
  <si>
    <t>dead Brassica nigra</t>
  </si>
  <si>
    <t>D(BRATOU)</t>
  </si>
  <si>
    <t>dead Brassica tournefortii</t>
  </si>
  <si>
    <t>D(BRICAL)</t>
  </si>
  <si>
    <t>dead Brickellia californica</t>
  </si>
  <si>
    <t>D(BROCAR)</t>
  </si>
  <si>
    <t>dead Bromus carinatus</t>
  </si>
  <si>
    <t>D(BROCAT)</t>
  </si>
  <si>
    <t>dead Bromus catharticus</t>
  </si>
  <si>
    <t>D(BRODIA)</t>
  </si>
  <si>
    <t>dead Bromus diandrus</t>
  </si>
  <si>
    <t>D(BROHOR)</t>
  </si>
  <si>
    <t>dead Bromus hordeaceus</t>
  </si>
  <si>
    <t>D(BROMAD)</t>
  </si>
  <si>
    <t>dead Bromus madritensis</t>
  </si>
  <si>
    <t>D(CALCAT)</t>
  </si>
  <si>
    <t>dead Calochortus catalinae</t>
  </si>
  <si>
    <t>D(CALCIL)</t>
  </si>
  <si>
    <t>dead Calandrina ciliata</t>
  </si>
  <si>
    <t>D(CALMAC)</t>
  </si>
  <si>
    <t>dead Calystegia macrostegia</t>
  </si>
  <si>
    <t>D(CALSPL)</t>
  </si>
  <si>
    <t>dead Calochortus splendens</t>
  </si>
  <si>
    <t>D(CALWEEI)</t>
  </si>
  <si>
    <t>dead Calochortus weedii var. intermedius</t>
  </si>
  <si>
    <t>D(CALWEEW)</t>
  </si>
  <si>
    <t>dead Calochortus weedii var. weedii</t>
  </si>
  <si>
    <t>D(CAMBIS)</t>
  </si>
  <si>
    <t>dead Camissoniopsis bistorta</t>
  </si>
  <si>
    <t>D(CAMMIC)</t>
  </si>
  <si>
    <t>dead Camissoniopsis micrantha</t>
  </si>
  <si>
    <t>D(CAMSPP)</t>
  </si>
  <si>
    <t>dead Camissoniopsis species</t>
  </si>
  <si>
    <t>D(CAPBUR)</t>
  </si>
  <si>
    <t>dead Capsella bursa-pastoris</t>
  </si>
  <si>
    <t>D(CARCAL)</t>
  </si>
  <si>
    <t>dead Cardamine californica</t>
  </si>
  <si>
    <t>D(CAREDU)</t>
  </si>
  <si>
    <t>dead Carpobrotus edulis</t>
  </si>
  <si>
    <t>D(CARPYC)</t>
  </si>
  <si>
    <t>dead Carduus pycnocephalus</t>
  </si>
  <si>
    <t>D(CASAFF)</t>
  </si>
  <si>
    <t>dead Castilleja affinis</t>
  </si>
  <si>
    <t>D(CASEXE)</t>
  </si>
  <si>
    <t>dead Castilleja exserta</t>
  </si>
  <si>
    <t>D(CASFOL)</t>
  </si>
  <si>
    <t>dead Castilleja foliolosa</t>
  </si>
  <si>
    <t>D(CEACRA)</t>
  </si>
  <si>
    <t>dead Ceanothus crassifolius</t>
  </si>
  <si>
    <t>D(CEAMEG)</t>
  </si>
  <si>
    <t>dead Ceanothus megacarpus</t>
  </si>
  <si>
    <t>D(CEAOLI)</t>
  </si>
  <si>
    <t>dead Ceanothus oliganthus</t>
  </si>
  <si>
    <t>D(CENMEL)</t>
  </si>
  <si>
    <t>dead Centaurea melitensis</t>
  </si>
  <si>
    <t>D(CERBET)</t>
  </si>
  <si>
    <t>dead Cercocarpus betuloides</t>
  </si>
  <si>
    <t>D(CHAALB)</t>
  </si>
  <si>
    <t>dead Chamaesyce albomarginata</t>
  </si>
  <si>
    <t>Euphorbidaceae</t>
  </si>
  <si>
    <t>D(CHAART)</t>
  </si>
  <si>
    <t>dead Chaenactis artemisiifolia</t>
  </si>
  <si>
    <t>D(CHAGLA)</t>
  </si>
  <si>
    <t>dead Chaenactis glabriuscula</t>
  </si>
  <si>
    <t>D(CHAPOL)</t>
  </si>
  <si>
    <t>dead Chamaesyce polycarpa</t>
  </si>
  <si>
    <t>D(CHECAL)</t>
  </si>
  <si>
    <t>dead Chenopodium californicum</t>
  </si>
  <si>
    <t>D(CHLPOM)</t>
  </si>
  <si>
    <t>dead Chloragalum pomeridianum</t>
  </si>
  <si>
    <t>D(CIROCC var CAL)</t>
  </si>
  <si>
    <t>dead Cirsium occidentale  var. californicum</t>
  </si>
  <si>
    <t>D(CIROCC var OCC)</t>
  </si>
  <si>
    <t>dead Cirsium occidentale var. occidentale </t>
  </si>
  <si>
    <t>D(CIROCC)</t>
  </si>
  <si>
    <t>dead Cirsium occidentale</t>
  </si>
  <si>
    <t>D(CIRVUL)</t>
  </si>
  <si>
    <t>dead Cirsium vulgare</t>
  </si>
  <si>
    <t>D(CLABOT)</t>
  </si>
  <si>
    <t>dead Clarkia bottae</t>
  </si>
  <si>
    <t>D(CLALAS)</t>
  </si>
  <si>
    <t>dead Clematis lasiantha</t>
  </si>
  <si>
    <t>D(CLAPAR)</t>
  </si>
  <si>
    <t>dead Claytonia parviflora</t>
  </si>
  <si>
    <t>D(CLAPER)</t>
  </si>
  <si>
    <t>dead Claytonia perfoliata</t>
  </si>
  <si>
    <t>D(CLAPUR)</t>
  </si>
  <si>
    <t>dead Clarkia purpurea</t>
  </si>
  <si>
    <t>D(CLELIN)</t>
  </si>
  <si>
    <t>dead Clematis ligusticifolia</t>
  </si>
  <si>
    <t>D(COLHET)</t>
  </si>
  <si>
    <t>dead Collinsia heterophylla</t>
  </si>
  <si>
    <t>D(CONARV)</t>
  </si>
  <si>
    <t>dead Convolvulus arvensis</t>
  </si>
  <si>
    <t>D(CONCAN)</t>
  </si>
  <si>
    <t>dead Conyza canadensis</t>
  </si>
  <si>
    <t>D(CONMAC)</t>
  </si>
  <si>
    <t>dead Conium maculatum</t>
  </si>
  <si>
    <t>D(CONSIM)</t>
  </si>
  <si>
    <t>dead Convolvulus simulans</t>
  </si>
  <si>
    <t>D(CONYZA)</t>
  </si>
  <si>
    <t>dead Conyza species</t>
  </si>
  <si>
    <t>D(CORFIL)</t>
  </si>
  <si>
    <t>dead Corethrogyne filaginifolia</t>
  </si>
  <si>
    <t>D(CORRIG)</t>
  </si>
  <si>
    <t>dead Cordylanthus rigidus</t>
  </si>
  <si>
    <t>D(CORSEL)</t>
  </si>
  <si>
    <t>dead Cortaderia selloana</t>
  </si>
  <si>
    <t>D(CRACON)</t>
  </si>
  <si>
    <t>dead Crassula connata</t>
  </si>
  <si>
    <t>D(CROCAL)</t>
  </si>
  <si>
    <t>dead Croton californica</t>
  </si>
  <si>
    <t>D(CROSET)</t>
  </si>
  <si>
    <t>dead Croton setigerus</t>
  </si>
  <si>
    <t>doveweed</t>
  </si>
  <si>
    <t>D(CRYINT)</t>
  </si>
  <si>
    <t>dead Cryptantha intermedia</t>
  </si>
  <si>
    <t>D(CRYSPP)</t>
  </si>
  <si>
    <t>dead Cryptantha species</t>
  </si>
  <si>
    <t>D(CUCFOE)</t>
  </si>
  <si>
    <t>dead Cucurbita foetidissima</t>
  </si>
  <si>
    <t>D(CUSCAL)</t>
  </si>
  <si>
    <t>dead Cuscuta californica</t>
  </si>
  <si>
    <t>D(CUSSPP)</t>
  </si>
  <si>
    <t>dead Cuscuta species</t>
  </si>
  <si>
    <t>D(CUSSUB)</t>
  </si>
  <si>
    <t>dead Cuscuta subinclusa</t>
  </si>
  <si>
    <t>D(CYLPRO)</t>
  </si>
  <si>
    <t>dead Cylindropuntia prolifera</t>
  </si>
  <si>
    <t>D(CYNCAR)</t>
  </si>
  <si>
    <t>dead Cynara cardunculus</t>
  </si>
  <si>
    <t>D(CYNDAC)</t>
  </si>
  <si>
    <t>dead Cynodon dactylon</t>
  </si>
  <si>
    <t>D(CYPINV)</t>
  </si>
  <si>
    <t>dead Cyperus involucratus</t>
  </si>
  <si>
    <t>D(DATSTR)</t>
  </si>
  <si>
    <t>dead Datura stramonium</t>
  </si>
  <si>
    <t>Jimsom weed</t>
  </si>
  <si>
    <t>Solanaceae</t>
  </si>
  <si>
    <t>D(DATWRI)</t>
  </si>
  <si>
    <t>dead Datura wrightii</t>
  </si>
  <si>
    <t>D(DAUPUS)</t>
  </si>
  <si>
    <t>dead Daucus pusillus</t>
  </si>
  <si>
    <t>wild carrot</t>
  </si>
  <si>
    <t>D(DEIFAS)</t>
  </si>
  <si>
    <t>dead Deinandra fasciculata</t>
  </si>
  <si>
    <t>clustered tarweed</t>
  </si>
  <si>
    <t>Hemizonia fasciculata</t>
  </si>
  <si>
    <t>D(DEIKEL)</t>
  </si>
  <si>
    <t>dead Deinandra kellogii</t>
  </si>
  <si>
    <t>tarweed</t>
  </si>
  <si>
    <t>D(DEIPAN)</t>
  </si>
  <si>
    <t>dead Deinandra paniculata</t>
  </si>
  <si>
    <t>paniculate tarweed</t>
  </si>
  <si>
    <t>D(DEISPP)</t>
  </si>
  <si>
    <t>dead Deinadra species</t>
  </si>
  <si>
    <t>D(DELCAR)</t>
  </si>
  <si>
    <t>dead Delphinium cardinale</t>
  </si>
  <si>
    <t>scarlett larkspur</t>
  </si>
  <si>
    <t>D(DELPAR)</t>
  </si>
  <si>
    <t>dead Delphinum parryi</t>
  </si>
  <si>
    <t>larkspur</t>
  </si>
  <si>
    <t>D(DENRIG)</t>
  </si>
  <si>
    <t>dead Dendromecon rigida</t>
  </si>
  <si>
    <t>D(DICCAP)</t>
  </si>
  <si>
    <t>dead Dichelostemma capitatum</t>
  </si>
  <si>
    <t>school bells</t>
  </si>
  <si>
    <t>D(DISSPI)</t>
  </si>
  <si>
    <t xml:space="preserve">dead Distichlis spicata </t>
  </si>
  <si>
    <t>saltgrass</t>
  </si>
  <si>
    <t>D(DUDLAN)</t>
  </si>
  <si>
    <t>dead Dudleya lanceolata</t>
  </si>
  <si>
    <t>lanceleaf liveforever</t>
  </si>
  <si>
    <t>D(DUDMUL)</t>
  </si>
  <si>
    <t>dead Dudleya multicaulis</t>
  </si>
  <si>
    <t>D(DUDPUL)</t>
  </si>
  <si>
    <t>dead Dudleya pulverulenta</t>
  </si>
  <si>
    <t>chalk dudleya</t>
  </si>
  <si>
    <t>D(ELYCON)</t>
  </si>
  <si>
    <t>dead Elymus condensatus</t>
  </si>
  <si>
    <t>Giant Wild Rye</t>
  </si>
  <si>
    <t>Leymus condensatus (LEYCON)</t>
  </si>
  <si>
    <t>D(ELYGLA)</t>
  </si>
  <si>
    <t>dead Elymus glaucus</t>
  </si>
  <si>
    <t>blue wild rye</t>
  </si>
  <si>
    <t>D(EMMPEN)</t>
  </si>
  <si>
    <t>dead Emmenanthe penduliflora</t>
  </si>
  <si>
    <t>whispering bells</t>
  </si>
  <si>
    <t>D(ENCCAL)</t>
  </si>
  <si>
    <t>dead Encelia californica</t>
  </si>
  <si>
    <t>Bush sunflower</t>
  </si>
  <si>
    <t>D(ENCFAR)</t>
  </si>
  <si>
    <t>dead Encelia farinosa</t>
  </si>
  <si>
    <t>brittle bush</t>
  </si>
  <si>
    <t>D(EPICAN spp can)</t>
  </si>
  <si>
    <t>dead Epilobium canum ssp canum</t>
  </si>
  <si>
    <t>California fuschia</t>
  </si>
  <si>
    <t>D(EPICAN ssp lat)</t>
  </si>
  <si>
    <t>dead Epilobium canum ssp latifolium</t>
  </si>
  <si>
    <t>D(EPICAN)</t>
  </si>
  <si>
    <t>dead Epilobium canum</t>
  </si>
  <si>
    <t>D(EPICIL)</t>
  </si>
  <si>
    <t>dead Epilobium ciliatum</t>
  </si>
  <si>
    <t>willow herb</t>
  </si>
  <si>
    <t>D(ERICON)</t>
  </si>
  <si>
    <t>dead Eriophyllum confertiflorum</t>
  </si>
  <si>
    <t>Golden yarrow</t>
  </si>
  <si>
    <t>D(ERICRA)</t>
  </si>
  <si>
    <t>dead Eriodictyon crassifolium</t>
  </si>
  <si>
    <t>Yerba Santa</t>
  </si>
  <si>
    <t>D(ERIELO)</t>
  </si>
  <si>
    <t>dead Eriogonum elongatum</t>
  </si>
  <si>
    <t>long-stemmed buckwheat</t>
  </si>
  <si>
    <t>D(ERIFAS-S)</t>
  </si>
  <si>
    <t>dead Eriogonum fasciculatum ssp. Foliosum</t>
  </si>
  <si>
    <t>D(ERIFAS)</t>
  </si>
  <si>
    <t>dead Eriogonum fasciculatum</t>
  </si>
  <si>
    <t>California Buckwheat</t>
  </si>
  <si>
    <t>D(ERIPAL)</t>
  </si>
  <si>
    <t>dead Ericameria palmeri</t>
  </si>
  <si>
    <t>Palmer's goldenbush</t>
  </si>
  <si>
    <t>D(ERIPIN)</t>
  </si>
  <si>
    <t>dead Ericameria pinifolia</t>
  </si>
  <si>
    <t>pine bush</t>
  </si>
  <si>
    <t>D(ERISAP)</t>
  </si>
  <si>
    <t>dead Eriastrum sapphirinum</t>
  </si>
  <si>
    <t>sapphire woolly star</t>
  </si>
  <si>
    <t>D(EROBOT)</t>
  </si>
  <si>
    <t>dead Erodium botrys</t>
  </si>
  <si>
    <t>long beak filaree</t>
  </si>
  <si>
    <t>Geraniaceae</t>
  </si>
  <si>
    <t>D(EROBRA)</t>
  </si>
  <si>
    <t>dead Erodium brachycarpum</t>
  </si>
  <si>
    <t>white stem, fat leaves</t>
  </si>
  <si>
    <t>D(EROCIC)</t>
  </si>
  <si>
    <t>dead Erodium cicutarium</t>
  </si>
  <si>
    <t>red stem filaree</t>
  </si>
  <si>
    <t>D(EROMOS)</t>
  </si>
  <si>
    <t>dead Erodium moschatum</t>
  </si>
  <si>
    <t>white stem filaree</t>
  </si>
  <si>
    <t>D(EROSPP)</t>
  </si>
  <si>
    <t>dead Erodium species</t>
  </si>
  <si>
    <t>filaree</t>
  </si>
  <si>
    <t>D(ESCCAL)</t>
  </si>
  <si>
    <t>dead Eschscholzia californica</t>
  </si>
  <si>
    <t>California Poppy</t>
  </si>
  <si>
    <t>Papaveraceae</t>
  </si>
  <si>
    <t>D(EUCCHR)</t>
  </si>
  <si>
    <t>dead Eucrypta crysanthemfolia</t>
  </si>
  <si>
    <t>common eucrypta</t>
  </si>
  <si>
    <t>D(EULCAL)</t>
  </si>
  <si>
    <t>dead Eulobus californicus</t>
  </si>
  <si>
    <t>california primrose</t>
  </si>
  <si>
    <t>D(EUPPEP)</t>
  </si>
  <si>
    <t>dead Euphorbia peplus</t>
  </si>
  <si>
    <t>pertty spurge</t>
  </si>
  <si>
    <t>D(FOEVUL)</t>
  </si>
  <si>
    <t>dead Foeniculum vulgare</t>
  </si>
  <si>
    <t>Fennel</t>
  </si>
  <si>
    <t>D(FRIBIF)</t>
  </si>
  <si>
    <t>dead Fritillaria biflora</t>
  </si>
  <si>
    <t>Chocolate lily</t>
  </si>
  <si>
    <t>D(FUNCYN)</t>
  </si>
  <si>
    <t>dead Funastrum cynanchoides</t>
  </si>
  <si>
    <t>climbing milkweed</t>
  </si>
  <si>
    <t>Asclepiadaceae</t>
  </si>
  <si>
    <t>D(GALANG)</t>
  </si>
  <si>
    <t>dead Galium angustifolium</t>
  </si>
  <si>
    <t>bedstraw (Shrubby)</t>
  </si>
  <si>
    <t>Rubiaceae</t>
  </si>
  <si>
    <t>D(GALAPA)</t>
  </si>
  <si>
    <t>dead Galium aparine</t>
  </si>
  <si>
    <t>common bedstraw</t>
  </si>
  <si>
    <t>or Galium parisiense (not-native)</t>
  </si>
  <si>
    <t>D(GAZLIN)</t>
  </si>
  <si>
    <t>dead Gazania linearis</t>
  </si>
  <si>
    <t>treasureflower</t>
  </si>
  <si>
    <t>D(GERROT)</t>
  </si>
  <si>
    <t>dead Geranium rotundifolium</t>
  </si>
  <si>
    <t>round leaf geranium</t>
  </si>
  <si>
    <t>D(GILANG)</t>
  </si>
  <si>
    <t>dead Gilia angelensis</t>
  </si>
  <si>
    <t>D(GLECOR)</t>
  </si>
  <si>
    <t>dead Glebionis coronaria</t>
  </si>
  <si>
    <t>garland Daisy</t>
  </si>
  <si>
    <t>D(GRICAM)</t>
  </si>
  <si>
    <t>dead Grindelia camporum</t>
  </si>
  <si>
    <t>Gumplant</t>
  </si>
  <si>
    <t>D(GUTCAL)</t>
  </si>
  <si>
    <t>dead Gutierrezia californica</t>
  </si>
  <si>
    <t>california matchweed</t>
  </si>
  <si>
    <t>D(HARPAL)</t>
  </si>
  <si>
    <t>dead Harpagonella palmeri</t>
  </si>
  <si>
    <t>palmer's grappling hook</t>
  </si>
  <si>
    <t>D(HAZSQU)</t>
  </si>
  <si>
    <t>dead Hazardia squarrosa</t>
  </si>
  <si>
    <t>sawtooth goldenbush</t>
  </si>
  <si>
    <t>D(HEDCRE)</t>
  </si>
  <si>
    <t>dead Hedypnois cretica</t>
  </si>
  <si>
    <t>crete weed</t>
  </si>
  <si>
    <t>D(HELANN)</t>
  </si>
  <si>
    <t>dead Helianthus annuus</t>
  </si>
  <si>
    <t>Annual sunflower</t>
  </si>
  <si>
    <t>D(HELCUR)</t>
  </si>
  <si>
    <t>dead Heliotropium curassavicum</t>
  </si>
  <si>
    <t>seaside heliotrope</t>
  </si>
  <si>
    <t>D(HELGRA)</t>
  </si>
  <si>
    <t>dead Helianthus gracilentus</t>
  </si>
  <si>
    <t>slender sunflower</t>
  </si>
  <si>
    <t>D(HELSCO)</t>
  </si>
  <si>
    <t>dead Helianthemum scoparium</t>
  </si>
  <si>
    <t>rock rose</t>
  </si>
  <si>
    <t>Cistaceae</t>
  </si>
  <si>
    <t>D(HESFOR)</t>
  </si>
  <si>
    <t>dead Hesperocyparis forbesii </t>
  </si>
  <si>
    <t>Tecate Cypress</t>
  </si>
  <si>
    <t>Cupressaceae</t>
  </si>
  <si>
    <t>D(HESWHI)</t>
  </si>
  <si>
    <t>dead Hesperoyucca whipplei</t>
  </si>
  <si>
    <t>Chaparral Yucca</t>
  </si>
  <si>
    <t>Yucca whipplei</t>
  </si>
  <si>
    <t>D(HETARB)</t>
  </si>
  <si>
    <t>dead Heteromeles arbutifolia</t>
  </si>
  <si>
    <t>Toyon, holly berry</t>
  </si>
  <si>
    <t>D(HETGRA)</t>
  </si>
  <si>
    <t>dead Heterotheca grandiflora</t>
  </si>
  <si>
    <t>telegraph weed</t>
  </si>
  <si>
    <t>D(HIRINC)</t>
  </si>
  <si>
    <t>dead Hirschfeldia incana</t>
  </si>
  <si>
    <t>D(HORMUR)</t>
  </si>
  <si>
    <t>dead Hordeum murinum</t>
  </si>
  <si>
    <t>foxtail barley</t>
  </si>
  <si>
    <t>D(HYPGLA)</t>
  </si>
  <si>
    <t>dead Hypochaeris glabra</t>
  </si>
  <si>
    <t>smooth cat's ear</t>
  </si>
  <si>
    <t>D(ISOMEN)</t>
  </si>
  <si>
    <t>dead Isocoma menziesii</t>
  </si>
  <si>
    <t>goldenbush</t>
  </si>
  <si>
    <t>D(JEPPAR)</t>
  </si>
  <si>
    <t>dead Jepsonia parryi</t>
  </si>
  <si>
    <t>Parry's jepsonia</t>
  </si>
  <si>
    <t>Saxifragaceae</t>
  </si>
  <si>
    <t>D(JUNSPP)</t>
  </si>
  <si>
    <t>dead Juncus species</t>
  </si>
  <si>
    <t>Juncaceae</t>
  </si>
  <si>
    <t>D(KECANT)</t>
  </si>
  <si>
    <t>dead Keckiella antirrhinoides</t>
  </si>
  <si>
    <t>chaparral beardtongue</t>
  </si>
  <si>
    <t>D(KECCOR)</t>
  </si>
  <si>
    <t>dead Keckiella cordifolia</t>
  </si>
  <si>
    <t>climbing penstemmon</t>
  </si>
  <si>
    <t>D(LACSER)</t>
  </si>
  <si>
    <t>dead Lactuca serriola</t>
  </si>
  <si>
    <t>Prickly lettuce</t>
  </si>
  <si>
    <t>D(LAECOU)</t>
  </si>
  <si>
    <t>dead Laennecia coulteri</t>
  </si>
  <si>
    <t>Conyza coulteri</t>
  </si>
  <si>
    <t>D(LAMAMP)</t>
  </si>
  <si>
    <t>dead Lamium amplexicaule</t>
  </si>
  <si>
    <t>henbit</t>
  </si>
  <si>
    <t>D(LAMAUR)</t>
  </si>
  <si>
    <t>dead Lamarchia aurea</t>
  </si>
  <si>
    <t>moustache grass</t>
  </si>
  <si>
    <t>D(LASGRA)</t>
  </si>
  <si>
    <t>dead Lasthenia gracilis</t>
  </si>
  <si>
    <t>needle golden fields</t>
  </si>
  <si>
    <t>D(LASSPP)</t>
  </si>
  <si>
    <t>dead Lasthenia species</t>
  </si>
  <si>
    <t>golden fields</t>
  </si>
  <si>
    <t>D(LATVES)</t>
  </si>
  <si>
    <t>dead Lathyrus vestitus</t>
  </si>
  <si>
    <t>pacific pea</t>
  </si>
  <si>
    <t>D(LAYPLA)</t>
  </si>
  <si>
    <t>dead Layia platyglossa</t>
  </si>
  <si>
    <t>tidy tips</t>
  </si>
  <si>
    <t>D(LEPFLO)</t>
  </si>
  <si>
    <t>dead Leptosiphon floribundus</t>
  </si>
  <si>
    <t>many-flowered linanthus</t>
  </si>
  <si>
    <t>D(LEPLAT)</t>
  </si>
  <si>
    <t>dead Lepidium latifolium</t>
  </si>
  <si>
    <t>perennial pepperweed</t>
  </si>
  <si>
    <t>D(LEPLIN)</t>
  </si>
  <si>
    <t>dead Leptosiphon liniflorus</t>
  </si>
  <si>
    <t>narrow-flower flaxflower</t>
  </si>
  <si>
    <t>D(LEPNIT)</t>
  </si>
  <si>
    <t>dead Lepidium nitidum</t>
  </si>
  <si>
    <t>shining peppergrass</t>
  </si>
  <si>
    <t>D(LEPSQU)</t>
  </si>
  <si>
    <t>dead Lepidospartum squamatum </t>
  </si>
  <si>
    <t>scalebroom</t>
  </si>
  <si>
    <t>D(LINCAL)</t>
  </si>
  <si>
    <t>dead Linanthus californicus</t>
  </si>
  <si>
    <t>prickly phlox</t>
  </si>
  <si>
    <t>Leptodactylon californicum</t>
  </si>
  <si>
    <t>D(LINDIA)</t>
  </si>
  <si>
    <t>dead Linanthus dianthiflorus</t>
  </si>
  <si>
    <t>fringed linanthus</t>
  </si>
  <si>
    <t>D(LOGFIL)</t>
  </si>
  <si>
    <t>dead Logfia filanginoides</t>
  </si>
  <si>
    <t>california cottonrose</t>
  </si>
  <si>
    <t>D(LOGGAL)</t>
  </si>
  <si>
    <t>dead Logfia gallica</t>
  </si>
  <si>
    <t>similar native</t>
  </si>
  <si>
    <t>D(LOLMUL)</t>
  </si>
  <si>
    <t>dead Lolium multiflorum</t>
  </si>
  <si>
    <t>Festuca perennis (current)</t>
  </si>
  <si>
    <t>D(LONSUB)</t>
  </si>
  <si>
    <t>dead Lonicera subspicata</t>
  </si>
  <si>
    <t>southern honeysuckle</t>
  </si>
  <si>
    <t>Caprifoliaceae</t>
  </si>
  <si>
    <t>D(LOTHAM)</t>
  </si>
  <si>
    <t>D(LOTPUR)</t>
  </si>
  <si>
    <t>D(LOTSCO)</t>
  </si>
  <si>
    <t>D(LOTSTR)</t>
  </si>
  <si>
    <t>D(LUPALB)</t>
  </si>
  <si>
    <t>dead Lupinus albifrons</t>
  </si>
  <si>
    <t>bush lupin</t>
  </si>
  <si>
    <t>D(LUPBIC)</t>
  </si>
  <si>
    <t>dead Lupinus bicolor</t>
  </si>
  <si>
    <t>miniature lupine</t>
  </si>
  <si>
    <t>D(LUPEXC)</t>
  </si>
  <si>
    <t>dead Lupinus excubitus</t>
  </si>
  <si>
    <t>grapesoda lupine</t>
  </si>
  <si>
    <t>D(LUPLON)</t>
  </si>
  <si>
    <t xml:space="preserve">dead Lupinus longifolius </t>
  </si>
  <si>
    <t>confused with albifrons</t>
  </si>
  <si>
    <t>D(LUPMIC)</t>
  </si>
  <si>
    <t>dead Lupinus microcarpus</t>
  </si>
  <si>
    <t>Chick Lupine</t>
  </si>
  <si>
    <t>D(LUPSPA)</t>
  </si>
  <si>
    <t>dead Lupinus sparsiflorus</t>
  </si>
  <si>
    <t>D(LUPSUC)</t>
  </si>
  <si>
    <t>dead Lupinus succulentus</t>
  </si>
  <si>
    <t>Arroyo Lupine</t>
  </si>
  <si>
    <t>D(LUPTRU)</t>
  </si>
  <si>
    <t>dead Lupinus truncatus</t>
  </si>
  <si>
    <t>collar lupine</t>
  </si>
  <si>
    <t>D(MALFAS)</t>
  </si>
  <si>
    <t>dead Malacothamnus fasciculatus</t>
  </si>
  <si>
    <t>Bush mallow</t>
  </si>
  <si>
    <t>Malvaceae</t>
  </si>
  <si>
    <t>D(MALLAU)</t>
  </si>
  <si>
    <t>dead Malosma laurina</t>
  </si>
  <si>
    <t>laurel sumac</t>
  </si>
  <si>
    <t>Anacardiaceae</t>
  </si>
  <si>
    <t>D(MALPAR)</t>
  </si>
  <si>
    <t>dead Malva parviflora</t>
  </si>
  <si>
    <t>cheeseweed</t>
  </si>
  <si>
    <t>D(MALSAX)</t>
  </si>
  <si>
    <t>dead Malacothrix saxatilis</t>
  </si>
  <si>
    <t>Cliff aster</t>
  </si>
  <si>
    <t>D(MARMAC)</t>
  </si>
  <si>
    <t>dead Marah macrocarpa</t>
  </si>
  <si>
    <t>wild cucumber vine</t>
  </si>
  <si>
    <t>D(MARVUL)</t>
  </si>
  <si>
    <t>dead Marrubium vulgare</t>
  </si>
  <si>
    <t>horehound</t>
  </si>
  <si>
    <t>D(MEDPOL)</t>
  </si>
  <si>
    <t>dead Medicago polymorpha</t>
  </si>
  <si>
    <t>Bur clover</t>
  </si>
  <si>
    <t>D(MELALB)</t>
  </si>
  <si>
    <t>dead Melilotus albus</t>
  </si>
  <si>
    <t>white sweetclover</t>
  </si>
  <si>
    <t>D(MELIMP)</t>
  </si>
  <si>
    <t>dead Melica imperfecta</t>
  </si>
  <si>
    <t>D(MELIND)</t>
  </si>
  <si>
    <t>dead Melilotus indicus</t>
  </si>
  <si>
    <t>Annual yellow sweetclover</t>
  </si>
  <si>
    <t>D(MENSPI)</t>
  </si>
  <si>
    <t>dead Mentha spicata</t>
  </si>
  <si>
    <t>spearmint</t>
  </si>
  <si>
    <t>D(MIMAUR)</t>
  </si>
  <si>
    <t>dead Mimulus aurantiacus</t>
  </si>
  <si>
    <t>Sticky monkeyflower</t>
  </si>
  <si>
    <t>Diplacus puniceus</t>
  </si>
  <si>
    <t>Phrymaceae</t>
  </si>
  <si>
    <t>D(MIMCAR)</t>
  </si>
  <si>
    <t>dead Mimulus cardinalis</t>
  </si>
  <si>
    <t>scarlett monkeyflower</t>
  </si>
  <si>
    <t>Erythranthe cardinalis</t>
  </si>
  <si>
    <t>D(MIRLAE)</t>
  </si>
  <si>
    <t>dead Mirabilis laevis</t>
  </si>
  <si>
    <t>California four o'clock</t>
  </si>
  <si>
    <t>Mirabilis californica</t>
  </si>
  <si>
    <t>Nyctaginaceae</t>
  </si>
  <si>
    <t>D(NASOFF)</t>
  </si>
  <si>
    <t>dead Nasturtium officinale</t>
  </si>
  <si>
    <t>watercress</t>
  </si>
  <si>
    <t>D(NATSHRUB)</t>
  </si>
  <si>
    <t>dead native shrub</t>
  </si>
  <si>
    <t>dead Native Shrub</t>
  </si>
  <si>
    <t>D(NEMMEN)</t>
  </si>
  <si>
    <t>dead Nemophila menziesii</t>
  </si>
  <si>
    <t>baby blue eyes</t>
  </si>
  <si>
    <t>D(NICGLA)</t>
  </si>
  <si>
    <t>dead Nicotiana glauca</t>
  </si>
  <si>
    <t>tree tobacco</t>
  </si>
  <si>
    <t>D(NICQUA)</t>
  </si>
  <si>
    <t>dead Nicotiana quadrivalvis</t>
  </si>
  <si>
    <t>coyote tobacco</t>
  </si>
  <si>
    <t>D(NNF)</t>
  </si>
  <si>
    <t>dead Non Native Forb</t>
  </si>
  <si>
    <t>D(NNG)</t>
  </si>
  <si>
    <t>dead Non Native Grass</t>
  </si>
  <si>
    <t>D(NOLCIS)</t>
  </si>
  <si>
    <t>dead Nolina cismontana</t>
  </si>
  <si>
    <t>Peninsular beargrass</t>
  </si>
  <si>
    <t>D(NUTTEX)</t>
  </si>
  <si>
    <t>dead Nuttallanthus texanus</t>
  </si>
  <si>
    <t>toadflax</t>
  </si>
  <si>
    <t>D(OENELA)</t>
  </si>
  <si>
    <t>dead Oenothera elata</t>
  </si>
  <si>
    <t>evening primrose</t>
  </si>
  <si>
    <t>D(OPULIT)</t>
  </si>
  <si>
    <t>dead Opuntia littoralis</t>
  </si>
  <si>
    <t>Prickly pear cactus</t>
  </si>
  <si>
    <t>D(OSMTEN)</t>
  </si>
  <si>
    <t>dead Osmadenia tenella</t>
  </si>
  <si>
    <t>false rosinweed</t>
  </si>
  <si>
    <t>D(OXAPES)</t>
  </si>
  <si>
    <t>dead Oxalis pes-caprae</t>
  </si>
  <si>
    <t>sourgrass</t>
  </si>
  <si>
    <t>Oxalidaceae</t>
  </si>
  <si>
    <t>D(PENHET)</t>
  </si>
  <si>
    <t>dead Penstemon heterophyllus</t>
  </si>
  <si>
    <t>foothill penstemmon</t>
  </si>
  <si>
    <t>D(PENSPE)</t>
  </si>
  <si>
    <t>dead Penstemon spectabilis</t>
  </si>
  <si>
    <t>showy penstemmon</t>
  </si>
  <si>
    <t>D(PERARB)</t>
  </si>
  <si>
    <t>dead Peritoma arborea</t>
  </si>
  <si>
    <t>Bladderpod</t>
  </si>
  <si>
    <t>Isomeris arborea (ISOARB)</t>
  </si>
  <si>
    <t>Cleomaceae</t>
  </si>
  <si>
    <t>D(PHACIC)</t>
  </si>
  <si>
    <t>dead Phacelia cicutaria</t>
  </si>
  <si>
    <t>Caterpillar Phacelia</t>
  </si>
  <si>
    <t>D(PHACIL)</t>
  </si>
  <si>
    <t>dead Phacelia ciliata</t>
  </si>
  <si>
    <t>Great Valley Phacelia</t>
  </si>
  <si>
    <t>D(PHADIS)</t>
  </si>
  <si>
    <t>dead Phacelia distans</t>
  </si>
  <si>
    <t>common phacelia</t>
  </si>
  <si>
    <t>D(PHAHUB)</t>
  </si>
  <si>
    <t>dead Phacelia hubbyi</t>
  </si>
  <si>
    <t>Hubby's Phacelia</t>
  </si>
  <si>
    <t>D(PHAPAR)</t>
  </si>
  <si>
    <t>dead Phacelia parryi</t>
  </si>
  <si>
    <t>D(PHARAM)</t>
  </si>
  <si>
    <t>dead Phacelia ramosissima</t>
  </si>
  <si>
    <t>Branching phacelia</t>
  </si>
  <si>
    <t>D(PHOAUR)</t>
  </si>
  <si>
    <t>dead Pholistoma auritum</t>
  </si>
  <si>
    <t>fiesta flower</t>
  </si>
  <si>
    <t>D(PIBIND)</t>
  </si>
  <si>
    <t>dead Ribes indecorum</t>
  </si>
  <si>
    <t>white flowered currant</t>
  </si>
  <si>
    <t>Grossulariaceae</t>
  </si>
  <si>
    <t>D(PICECH)</t>
  </si>
  <si>
    <t>dead Picris echiodes</t>
  </si>
  <si>
    <t>Bristly ox-tongue</t>
  </si>
  <si>
    <t>D(PICMON)</t>
  </si>
  <si>
    <t>dead Pickeringia montana</t>
  </si>
  <si>
    <t>chaparral pea</t>
  </si>
  <si>
    <t>D(PLACOL)</t>
  </si>
  <si>
    <t>dead Plagiobothrys collinus</t>
  </si>
  <si>
    <t>Cooper's popcornflower</t>
  </si>
  <si>
    <t>D(PLAERE)</t>
  </si>
  <si>
    <t>dead Plantago erecta</t>
  </si>
  <si>
    <t>California plantain</t>
  </si>
  <si>
    <t>D(PLALAN)</t>
  </si>
  <si>
    <t>dead Plantago lanceolata</t>
  </si>
  <si>
    <t>English Plantain</t>
  </si>
  <si>
    <t>D(PLAMAJ)</t>
  </si>
  <si>
    <t>dead Plantago major</t>
  </si>
  <si>
    <t>common plantain</t>
  </si>
  <si>
    <t>D(PLANOT)</t>
  </si>
  <si>
    <t>dead Plagiobothrys nothofulvus</t>
  </si>
  <si>
    <t>Rusty popcornflower</t>
  </si>
  <si>
    <t>D(PLARAC)</t>
  </si>
  <si>
    <t>dead Platanus racemosa</t>
  </si>
  <si>
    <t>California Sycamore</t>
  </si>
  <si>
    <t>Platanaceae</t>
  </si>
  <si>
    <t>D(PLASPP)</t>
  </si>
  <si>
    <t>dead Plagiobothrys species</t>
  </si>
  <si>
    <t>D(PLUSER)</t>
  </si>
  <si>
    <t>dead Pluchea sericea</t>
  </si>
  <si>
    <t>arrow weed</t>
  </si>
  <si>
    <t>D(PSEBEN)</t>
  </si>
  <si>
    <t>dead Pseudognaphalium beneolens</t>
  </si>
  <si>
    <t>D(PSEBIC)</t>
  </si>
  <si>
    <t>dead Pseudognaphalium bicolor</t>
  </si>
  <si>
    <t>two-color rabbit tobacco</t>
  </si>
  <si>
    <t>D(PSEBIO)</t>
  </si>
  <si>
    <t xml:space="preserve">dead Pseudognaphalium biolettii </t>
  </si>
  <si>
    <t>D(PSECAL)</t>
  </si>
  <si>
    <t xml:space="preserve">dead Pseudognaphalium californicum </t>
  </si>
  <si>
    <t>D(PSEMIC)</t>
  </si>
  <si>
    <t>dead Pseudognaphalium microcephalum</t>
  </si>
  <si>
    <t>D(PSERAM)</t>
  </si>
  <si>
    <t>dead Pseudognaphalium ramosissimum</t>
  </si>
  <si>
    <t>D(PTEDRY)</t>
  </si>
  <si>
    <t>dead Pterostegia drymarioides</t>
  </si>
  <si>
    <t>fairy mist</t>
  </si>
  <si>
    <t>D(PULPAL)</t>
  </si>
  <si>
    <t>dead Pulicaria paludosa</t>
  </si>
  <si>
    <t>spanish sunflower</t>
  </si>
  <si>
    <t>D(QUEAGR)</t>
  </si>
  <si>
    <t>dead Quercus agrifolia</t>
  </si>
  <si>
    <t>coast live oak</t>
  </si>
  <si>
    <t>Fagaceae</t>
  </si>
  <si>
    <t>D(QUEBER)</t>
  </si>
  <si>
    <t>dead Quercus berberidifolia</t>
  </si>
  <si>
    <t>scrub oak</t>
  </si>
  <si>
    <t>D(RAFCAL)</t>
  </si>
  <si>
    <t>dead Rafinesquia californica</t>
  </si>
  <si>
    <t>chicory</t>
  </si>
  <si>
    <t>D(RANCAL)</t>
  </si>
  <si>
    <t>dead Ranunculus californicus</t>
  </si>
  <si>
    <t>California buttercup</t>
  </si>
  <si>
    <t>D(RAPSAT)</t>
  </si>
  <si>
    <t>dead Raphanus sativus</t>
  </si>
  <si>
    <t>wild radish</t>
  </si>
  <si>
    <t>D(RHAILI)</t>
  </si>
  <si>
    <t>dead Rhamnus ilicifolia</t>
  </si>
  <si>
    <t>evergreen buckthorn</t>
  </si>
  <si>
    <t>D(RHUINT)</t>
  </si>
  <si>
    <t>dead Rhus integrifolia</t>
  </si>
  <si>
    <t>lemonade berry</t>
  </si>
  <si>
    <t>D(RHUOVA)</t>
  </si>
  <si>
    <t>dead Rhus ovata</t>
  </si>
  <si>
    <t>sugarbush</t>
  </si>
  <si>
    <t>D(RIBSPE)</t>
  </si>
  <si>
    <t>dead Ribes speciosum</t>
  </si>
  <si>
    <t>fuschia-flowered gooseberry</t>
  </si>
  <si>
    <t>D(RICCOM)</t>
  </si>
  <si>
    <t>dead Ricinus communis</t>
  </si>
  <si>
    <t>Castor Bean</t>
  </si>
  <si>
    <t>D(ROMCOU)</t>
  </si>
  <si>
    <t>dead Romneya coulteri</t>
  </si>
  <si>
    <t>matilija poppy</t>
  </si>
  <si>
    <t>D(ROSCAL)</t>
  </si>
  <si>
    <t>dead Rosa californica</t>
  </si>
  <si>
    <t>california wild rose</t>
  </si>
  <si>
    <t>D(RUBURS)</t>
  </si>
  <si>
    <t>dead Rubus ursinus</t>
  </si>
  <si>
    <t>california blackberry</t>
  </si>
  <si>
    <t>D(RUMCRI)</t>
  </si>
  <si>
    <t>dead Rumex crispus</t>
  </si>
  <si>
    <t>curly dock</t>
  </si>
  <si>
    <t>D(RUMEX)</t>
  </si>
  <si>
    <t>dead Rumex species</t>
  </si>
  <si>
    <t>D(RUMHYM)</t>
  </si>
  <si>
    <t>dead Rumex hymenosepalus</t>
  </si>
  <si>
    <t>D(SALAPI)</t>
  </si>
  <si>
    <t>dead Salvia apiana</t>
  </si>
  <si>
    <t>White Sage</t>
  </si>
  <si>
    <t>D(SALCOL)</t>
  </si>
  <si>
    <t>dead Salvia columbariae</t>
  </si>
  <si>
    <t>Chia sage</t>
  </si>
  <si>
    <t>D(SALEXI)</t>
  </si>
  <si>
    <t>dead Salix exigua</t>
  </si>
  <si>
    <t>sandbar willow</t>
  </si>
  <si>
    <t>Salicaceae</t>
  </si>
  <si>
    <t>D(SALGOO)</t>
  </si>
  <si>
    <t>dead Salix gooddingii</t>
  </si>
  <si>
    <t>black willow</t>
  </si>
  <si>
    <t>D(SALIXSPP)</t>
  </si>
  <si>
    <t>dead Salix species</t>
  </si>
  <si>
    <t>willow</t>
  </si>
  <si>
    <t>D(SALLAE)</t>
  </si>
  <si>
    <t>dead Salix laevigata</t>
  </si>
  <si>
    <t>red willow</t>
  </si>
  <si>
    <t>D(SALLAS)</t>
  </si>
  <si>
    <t>dead Salix lasiolepis</t>
  </si>
  <si>
    <t>arroyo willow</t>
  </si>
  <si>
    <t>D(SALLEU)</t>
  </si>
  <si>
    <t>dead Salvia leucophylla</t>
  </si>
  <si>
    <t>purple sage</t>
  </si>
  <si>
    <t>D(SALMEL)</t>
  </si>
  <si>
    <t>dead Salvia mellifera</t>
  </si>
  <si>
    <t>Black Sage</t>
  </si>
  <si>
    <t>D(SALSPA)</t>
  </si>
  <si>
    <t>dead Salvia spathacea</t>
  </si>
  <si>
    <t>Hummingbird sage</t>
  </si>
  <si>
    <t>D(SALTRA)</t>
  </si>
  <si>
    <t>dead Salsola tragus</t>
  </si>
  <si>
    <t>Russian thistle, tumbleweed</t>
  </si>
  <si>
    <t>D(SAMNIG)</t>
  </si>
  <si>
    <t>dead Sambucus nigra</t>
  </si>
  <si>
    <t>Elderberry</t>
  </si>
  <si>
    <t>Sambucus mexicana (SAMMEX)</t>
  </si>
  <si>
    <t>Adoxaceae</t>
  </si>
  <si>
    <t>D(SANARG)</t>
  </si>
  <si>
    <t>dead Sanicula arguta</t>
  </si>
  <si>
    <t>sharp toothed snakeroot</t>
  </si>
  <si>
    <t>D(SANBIP)</t>
  </si>
  <si>
    <t>dead Sanicula bipinnatifida</t>
  </si>
  <si>
    <t>purple sanicle</t>
  </si>
  <si>
    <t>D(SANCRA)</t>
  </si>
  <si>
    <t>dead Sanicula crassicaulis</t>
  </si>
  <si>
    <t>pacific sanicle</t>
  </si>
  <si>
    <t>D(SCHBAR)</t>
  </si>
  <si>
    <t>dead Schismus barbatus</t>
  </si>
  <si>
    <t>D(SCRCAL)</t>
  </si>
  <si>
    <t>dead Scrophularia californica</t>
  </si>
  <si>
    <t>California figwort</t>
  </si>
  <si>
    <t>D(SENVUL)</t>
  </si>
  <si>
    <t>dead Senecio vulgaris</t>
  </si>
  <si>
    <t>D(SHRUB)</t>
  </si>
  <si>
    <t>dead shrub</t>
  </si>
  <si>
    <t>D(SIDMAL)</t>
  </si>
  <si>
    <t>dead Sidalcea malviflora</t>
  </si>
  <si>
    <t>checker bloom</t>
  </si>
  <si>
    <t>D(SILGAL)</t>
  </si>
  <si>
    <t>dead Silene gallica</t>
  </si>
  <si>
    <t>D(SILLAC)</t>
  </si>
  <si>
    <t>dead Silene laciniata</t>
  </si>
  <si>
    <t>cardinal catchfly</t>
  </si>
  <si>
    <t>D(SILMAR)</t>
  </si>
  <si>
    <t>dead Silybum marianum</t>
  </si>
  <si>
    <t>Milk thistle</t>
  </si>
  <si>
    <t>D(SISBEL)</t>
  </si>
  <si>
    <t>dead Sisyrinchium bellum</t>
  </si>
  <si>
    <t>blue-eyed grass</t>
  </si>
  <si>
    <t>Iridaceae</t>
  </si>
  <si>
    <t>D(SISIRI)</t>
  </si>
  <si>
    <t>dead Sisymbrium irio</t>
  </si>
  <si>
    <t>london rocket</t>
  </si>
  <si>
    <t>D(SISOFF)</t>
  </si>
  <si>
    <t>dead Sisymbrium officinale</t>
  </si>
  <si>
    <t>hedge mustard</t>
  </si>
  <si>
    <t>D(SOLAME)</t>
  </si>
  <si>
    <t>dead Solanum americanum</t>
  </si>
  <si>
    <t>white nightshade</t>
  </si>
  <si>
    <t>D(SOLDOU)</t>
  </si>
  <si>
    <t>dead Solanum douglasii</t>
  </si>
  <si>
    <t>nightshade</t>
  </si>
  <si>
    <t>D(SOLELA)</t>
  </si>
  <si>
    <t>dead Solanum elaeagnifolium</t>
  </si>
  <si>
    <t>silver leaved horse nettle</t>
  </si>
  <si>
    <t>D(SOLSPP)</t>
  </si>
  <si>
    <t>dead Solanum species</t>
  </si>
  <si>
    <t>americanum, sarrachoides, etc.</t>
  </si>
  <si>
    <t>D(SOLUMB)</t>
  </si>
  <si>
    <t>dead Solanum umbelliferum</t>
  </si>
  <si>
    <t>blue witch nightshade</t>
  </si>
  <si>
    <t>D(SOLVEL)</t>
  </si>
  <si>
    <t>dead Solidago velutina  ssp. californica</t>
  </si>
  <si>
    <t>goldenrod</t>
  </si>
  <si>
    <t>Solidago californica</t>
  </si>
  <si>
    <t>D(SOLXAN)</t>
  </si>
  <si>
    <t>dead Solanum xanti</t>
  </si>
  <si>
    <t>purple nightshade</t>
  </si>
  <si>
    <t>D(SONASP)</t>
  </si>
  <si>
    <t>dead Sonchus asper</t>
  </si>
  <si>
    <t>pricky sowthistle</t>
  </si>
  <si>
    <t>D(SONOLE)</t>
  </si>
  <si>
    <t>dead Sonchus oleraceus</t>
  </si>
  <si>
    <t>sowthistle</t>
  </si>
  <si>
    <t>D(SONSPP)</t>
  </si>
  <si>
    <t>dead Sonchus species</t>
  </si>
  <si>
    <t>Sonchus asper (prickly), Sonchus oleraceus</t>
  </si>
  <si>
    <t>D(SPAJUN)</t>
  </si>
  <si>
    <t>dead Spartium junceum</t>
  </si>
  <si>
    <t>Spanish broom</t>
  </si>
  <si>
    <t>D(STAAJU)</t>
  </si>
  <si>
    <t>dead Stachys ajugoides</t>
  </si>
  <si>
    <t>hedge nettle</t>
  </si>
  <si>
    <t>similat to STARIG</t>
  </si>
  <si>
    <t>D(STARIG)</t>
  </si>
  <si>
    <t>dead Stachys rigida var. rigida</t>
  </si>
  <si>
    <t>D(STEDIE)</t>
  </si>
  <si>
    <t>dead Stephanomeria diegensis</t>
  </si>
  <si>
    <t>wreath plant</t>
  </si>
  <si>
    <t>D(STEEXI)</t>
  </si>
  <si>
    <t>dead Stephanomeria exigua</t>
  </si>
  <si>
    <t>small wreath plant</t>
  </si>
  <si>
    <t>D(STEHET)</t>
  </si>
  <si>
    <t>dead Stebbinsoseris heterocarpa</t>
  </si>
  <si>
    <t>brown puffs</t>
  </si>
  <si>
    <t>D(STEMED)</t>
  </si>
  <si>
    <t>dead Stellaria media</t>
  </si>
  <si>
    <t>common chickweed</t>
  </si>
  <si>
    <t>D(STEVIR)</t>
  </si>
  <si>
    <t>dead Stephanomeria virgata</t>
  </si>
  <si>
    <t>tall wreath plant</t>
  </si>
  <si>
    <t>similar to STEEXI</t>
  </si>
  <si>
    <t>D(STILEP)</t>
  </si>
  <si>
    <t>dead Stipa lepida</t>
  </si>
  <si>
    <t>Foothill needlegrass</t>
  </si>
  <si>
    <t>Nassela lepida (NASLEP)</t>
  </si>
  <si>
    <t>D(STIMIL)</t>
  </si>
  <si>
    <t>dead Stipa miliacea</t>
  </si>
  <si>
    <t>smilo grass</t>
  </si>
  <si>
    <t>D(STIPUL)</t>
  </si>
  <si>
    <t>dead Stipa pulchra</t>
  </si>
  <si>
    <t>Purple Needle Grass</t>
  </si>
  <si>
    <t>Nasella pulchra (NASPUL)</t>
  </si>
  <si>
    <t>D(TAMRAM)</t>
  </si>
  <si>
    <t>dead Tamarix ramosissima</t>
  </si>
  <si>
    <t>Tamarisk</t>
  </si>
  <si>
    <t>Tamariacaeae</t>
  </si>
  <si>
    <t>D(THYCUR)</t>
  </si>
  <si>
    <t>dead Thysanocarpus curvipes</t>
  </si>
  <si>
    <t>fringepod</t>
  </si>
  <si>
    <t>D(THYLAC)</t>
  </si>
  <si>
    <t>dead Thysanocarpus lacianatus</t>
  </si>
  <si>
    <t>D(TOXDIV)</t>
  </si>
  <si>
    <t>dead Toxicodendron diversilobum</t>
  </si>
  <si>
    <t>Poison Oak</t>
  </si>
  <si>
    <t>D(TREE)</t>
  </si>
  <si>
    <t>dead tree</t>
  </si>
  <si>
    <t>D(TRILANA)</t>
  </si>
  <si>
    <t>dead Trichostema lanatum</t>
  </si>
  <si>
    <t>wooly bluecurls</t>
  </si>
  <si>
    <t>D(TRILANC)</t>
  </si>
  <si>
    <t>dead Trichostema lanceolatum</t>
  </si>
  <si>
    <t>vinegarweed</t>
  </si>
  <si>
    <t>D(TRISPP)</t>
  </si>
  <si>
    <t>dead Trifolium species</t>
  </si>
  <si>
    <t>D(TYPDOM)</t>
  </si>
  <si>
    <t>dead Typha domingensis</t>
  </si>
  <si>
    <t>southern cattail</t>
  </si>
  <si>
    <t>Typhaceae</t>
  </si>
  <si>
    <t>D(TYPLAT)</t>
  </si>
  <si>
    <t>dead Typha latifolia</t>
  </si>
  <si>
    <t>common cattail</t>
  </si>
  <si>
    <t>D(TYPSPP)</t>
  </si>
  <si>
    <t>dead Typha species</t>
  </si>
  <si>
    <t>cattail species</t>
  </si>
  <si>
    <t>D(ULMPAR)</t>
  </si>
  <si>
    <t>dead Ulmus parvifolia</t>
  </si>
  <si>
    <t>Siberian elm</t>
  </si>
  <si>
    <t>Ulmaceae</t>
  </si>
  <si>
    <t>D(UNKFORB)</t>
  </si>
  <si>
    <t>dead Unknown Forb</t>
  </si>
  <si>
    <t>D(UNKGRASS)</t>
  </si>
  <si>
    <t>dead Unknown Grass</t>
  </si>
  <si>
    <t>D(UNKNOWN)</t>
  </si>
  <si>
    <t>dead Unknown Species</t>
  </si>
  <si>
    <t>D(UROLIN)</t>
  </si>
  <si>
    <t>dead Uropappus lindleyi</t>
  </si>
  <si>
    <t>silverpuffs</t>
  </si>
  <si>
    <t>Microseris lindleyi</t>
  </si>
  <si>
    <t>D(URTDIO)</t>
  </si>
  <si>
    <t>dead Urtica dioica</t>
  </si>
  <si>
    <t>stinging nettle</t>
  </si>
  <si>
    <t>Urticaceae</t>
  </si>
  <si>
    <t>D(URTURE)</t>
  </si>
  <si>
    <t>dead Urtica urens</t>
  </si>
  <si>
    <t>D(VERLAS)</t>
  </si>
  <si>
    <t>dead Verbena lasiostachys</t>
  </si>
  <si>
    <t>common verbena</t>
  </si>
  <si>
    <t>Verbenaceae</t>
  </si>
  <si>
    <t>D(VERVIR)</t>
  </si>
  <si>
    <t>dead Verbascum virgatum</t>
  </si>
  <si>
    <t>wand mullein</t>
  </si>
  <si>
    <t>D(VICVIL)</t>
  </si>
  <si>
    <t>dead Vicia villosa</t>
  </si>
  <si>
    <t>vetch</t>
  </si>
  <si>
    <t>D(VIOPED)</t>
  </si>
  <si>
    <t>dead Viola pedunculata</t>
  </si>
  <si>
    <t>california golden violet</t>
  </si>
  <si>
    <t>Violaceae</t>
  </si>
  <si>
    <t>D(VULMYU)</t>
  </si>
  <si>
    <t>dead Vulpia myuros</t>
  </si>
  <si>
    <t>rattail grass</t>
  </si>
  <si>
    <t>Festuca myuros</t>
  </si>
  <si>
    <t>D(XANSTR)</t>
  </si>
  <si>
    <t>dead Xanthium strumarium</t>
  </si>
  <si>
    <t>cockle burr</t>
  </si>
  <si>
    <t>D(ZELVEN)</t>
  </si>
  <si>
    <t>dead Zeltnera venusta</t>
  </si>
  <si>
    <t>charming centaury</t>
  </si>
  <si>
    <t>Gentianaceae</t>
  </si>
  <si>
    <t>DATSTR</t>
  </si>
  <si>
    <t>Datura stramonium</t>
  </si>
  <si>
    <t>DATWRI</t>
  </si>
  <si>
    <t>Datura wrightii</t>
  </si>
  <si>
    <t>Daucus pusillus</t>
  </si>
  <si>
    <t>DCS(ADEFAS)</t>
  </si>
  <si>
    <t>Dead part of crown sprouting Adenostoma fasciculatum</t>
  </si>
  <si>
    <t>DCS(ERIFAS)</t>
  </si>
  <si>
    <t>Dead part of crown sprouting Eriogonum fasciculatum</t>
  </si>
  <si>
    <t>DCS(MALFAS)</t>
  </si>
  <si>
    <t>Dead part of crown sprouting Malacothamnus fasciculatus</t>
  </si>
  <si>
    <t>DCS(MALLAU)</t>
  </si>
  <si>
    <t>Dead part of crown sprouting Mallosma laurina</t>
  </si>
  <si>
    <t>DCS(QUEAGR)</t>
  </si>
  <si>
    <t>Dead part of crown sprouting Quercus agrifolia</t>
  </si>
  <si>
    <t>DCS(SALAPI)</t>
  </si>
  <si>
    <t>Dead part of crown sprouting Salvia apiana</t>
  </si>
  <si>
    <t>DCS(SALMEL)</t>
  </si>
  <si>
    <t>Dead part of crown sprouting Salvia mellifera</t>
  </si>
  <si>
    <t>DCS(SAMMEX)</t>
  </si>
  <si>
    <t>Dead part  of crown sprouting Sambucus nigra ssp. Caerulea</t>
  </si>
  <si>
    <t>Deinandra fasciculata</t>
  </si>
  <si>
    <t>DEIKEL</t>
  </si>
  <si>
    <t>Deinandra kellogii</t>
  </si>
  <si>
    <t>DEIPAN</t>
  </si>
  <si>
    <t>Deinandra paniculata</t>
  </si>
  <si>
    <t>DEISPP</t>
  </si>
  <si>
    <t>Deinadra species</t>
  </si>
  <si>
    <t>DELCAR</t>
  </si>
  <si>
    <t>Delphinium cardinale</t>
  </si>
  <si>
    <t>DELPAR</t>
  </si>
  <si>
    <t>Delphinum parryi</t>
  </si>
  <si>
    <t>DENRIG</t>
  </si>
  <si>
    <t>Dendromecon rigida</t>
  </si>
  <si>
    <t>bush poppy</t>
  </si>
  <si>
    <t>DESPIN</t>
  </si>
  <si>
    <t>Descurainia pinnata</t>
  </si>
  <si>
    <t>tansy mustard</t>
  </si>
  <si>
    <t>DICCAP</t>
  </si>
  <si>
    <t>Dichelostemma capitatum</t>
  </si>
  <si>
    <t>DICOCC</t>
  </si>
  <si>
    <t>Dichondra occidentalis</t>
  </si>
  <si>
    <t>western dichondra</t>
  </si>
  <si>
    <t>DIPAUR</t>
  </si>
  <si>
    <t>Mimulus aurantiacus</t>
  </si>
  <si>
    <t>DIPPUN</t>
  </si>
  <si>
    <t>DISLIT</t>
  </si>
  <si>
    <t>Distichlis littoralis</t>
  </si>
  <si>
    <t>shore grass</t>
  </si>
  <si>
    <t>DISSPI</t>
  </si>
  <si>
    <t xml:space="preserve">Distichlis spicata </t>
  </si>
  <si>
    <t>DODCLE</t>
  </si>
  <si>
    <t>Dodecatheon clevelandii</t>
  </si>
  <si>
    <t>shooting star</t>
  </si>
  <si>
    <t>DPL(ADEFAS)</t>
  </si>
  <si>
    <t>Dead part of living Adenostoma fasciculatum</t>
  </si>
  <si>
    <t>DPL(ARTCAL)</t>
  </si>
  <si>
    <t>Dead part of living Artemisia californica</t>
  </si>
  <si>
    <t>DPL(CEACRA)</t>
  </si>
  <si>
    <t>Dead part of living Ceanothus crassifolius</t>
  </si>
  <si>
    <t>DPL(CEAMEG)</t>
  </si>
  <si>
    <t>Dead part of living Ceanothus megacarpus</t>
  </si>
  <si>
    <t>DPL(ENCCAL)</t>
  </si>
  <si>
    <t>Dead part of living Encelia californica</t>
  </si>
  <si>
    <t>California bush sunflower</t>
  </si>
  <si>
    <t>DPL(ERIFAS)</t>
  </si>
  <si>
    <t>Dead part of living Eriogonum fasciculatum</t>
  </si>
  <si>
    <t>DPL(HETARB)</t>
  </si>
  <si>
    <t>Dead part of living Heteromeles arbutifolia</t>
  </si>
  <si>
    <t>DPL(KECANT)</t>
  </si>
  <si>
    <t>Dead part of living Keckiella antirrhinoides</t>
  </si>
  <si>
    <t>DPL(MALFAS)</t>
  </si>
  <si>
    <t>Dead part of living Malocothamnus fasciculatus</t>
  </si>
  <si>
    <t>DPL(MALLAU)</t>
  </si>
  <si>
    <t>Dead part of living Mallosma laurina</t>
  </si>
  <si>
    <t>Dead part of living Malosma laurina</t>
  </si>
  <si>
    <t>DPL(MIMAUR)</t>
  </si>
  <si>
    <t>Dead part of living Mimulus aurantiacus</t>
  </si>
  <si>
    <t>Monkeyflower</t>
  </si>
  <si>
    <t>DPL(QUEAGR)</t>
  </si>
  <si>
    <t>Dead part of living Quercus agrifolia</t>
  </si>
  <si>
    <t>DPL(QUEBER)</t>
  </si>
  <si>
    <t>Dead part of living Quercus berberidifolia</t>
  </si>
  <si>
    <t>DPL(RHUINT)</t>
  </si>
  <si>
    <t>Dead part of living Rhus integrifolia</t>
  </si>
  <si>
    <t>DPL(SALLEU)</t>
  </si>
  <si>
    <t>Dead part of living Salvia leucophylla</t>
  </si>
  <si>
    <t>DPL(SALMEL)</t>
  </si>
  <si>
    <t>Dead part of living Salvia Mellifera</t>
  </si>
  <si>
    <t>DUDLAN</t>
  </si>
  <si>
    <t>Dudleya lanceolata</t>
  </si>
  <si>
    <t>DUDMUL</t>
  </si>
  <si>
    <t>Dudleya multicaulis</t>
  </si>
  <si>
    <t>many stemmed dudleya</t>
  </si>
  <si>
    <t>DUDPUL</t>
  </si>
  <si>
    <t>Dudleya pulverulenta</t>
  </si>
  <si>
    <t>DUDVIS</t>
  </si>
  <si>
    <t>Dudleya viscida</t>
  </si>
  <si>
    <t>stick live-forever</t>
  </si>
  <si>
    <t>DYSSPP</t>
  </si>
  <si>
    <t>Dysphania spp</t>
  </si>
  <si>
    <t>mexican tea</t>
  </si>
  <si>
    <t>EHRCAL</t>
  </si>
  <si>
    <t>Ehrharta calycina</t>
  </si>
  <si>
    <t>perennial veldtgrass</t>
  </si>
  <si>
    <t>EHRCHR</t>
  </si>
  <si>
    <t>Ehrendorferia chrysantha</t>
  </si>
  <si>
    <t>golden eardrops</t>
  </si>
  <si>
    <t>ELEMON</t>
  </si>
  <si>
    <t>Eleocharis montevidensis</t>
  </si>
  <si>
    <t>spike rush</t>
  </si>
  <si>
    <t>ELYCON</t>
  </si>
  <si>
    <t>Elymus condensatus</t>
  </si>
  <si>
    <t>ELYGLA</t>
  </si>
  <si>
    <t>Elymus glaucus</t>
  </si>
  <si>
    <t>EMMPEN</t>
  </si>
  <si>
    <t>Emmenanthe penduliflora</t>
  </si>
  <si>
    <t>ENCCAL</t>
  </si>
  <si>
    <t>Encelia californica</t>
  </si>
  <si>
    <t>ENCFAR</t>
  </si>
  <si>
    <t>Encelia farinosa</t>
  </si>
  <si>
    <t>EPICAN</t>
  </si>
  <si>
    <t>Epilobium canum</t>
  </si>
  <si>
    <t>EPICAN spp can</t>
  </si>
  <si>
    <t>Epilobium canum ssp canum</t>
  </si>
  <si>
    <t>EPICAN ssp lat</t>
  </si>
  <si>
    <t>Epilobium canum ssp latifolium</t>
  </si>
  <si>
    <t>EPICIL</t>
  </si>
  <si>
    <t>Epilobium ciliatum</t>
  </si>
  <si>
    <t>ERIBON</t>
  </si>
  <si>
    <t>Erigeron bonariensis</t>
  </si>
  <si>
    <t>ERICAN</t>
  </si>
  <si>
    <t>Erigeron canadensis</t>
  </si>
  <si>
    <t>ERICON</t>
  </si>
  <si>
    <t>Eriophyllum confertiflorum</t>
  </si>
  <si>
    <t>ERICRA</t>
  </si>
  <si>
    <t>Eriodictyon crassifolium</t>
  </si>
  <si>
    <t>ERIELO</t>
  </si>
  <si>
    <t>Eriogonum elongatum</t>
  </si>
  <si>
    <t>Eriogonum fasciculatum</t>
  </si>
  <si>
    <t>ERIFAS-S</t>
  </si>
  <si>
    <t>Eriogonum fasciculatum ssp. Foliosum</t>
  </si>
  <si>
    <t>ERIFIL</t>
  </si>
  <si>
    <t>Eriastrum filifolium</t>
  </si>
  <si>
    <t>ERIFOL</t>
  </si>
  <si>
    <t>Erigeron foliosus</t>
  </si>
  <si>
    <t>Fleabane daisy</t>
  </si>
  <si>
    <t>ERIPAL</t>
  </si>
  <si>
    <t>Ericameria palmeri</t>
  </si>
  <si>
    <t>ERIPIN</t>
  </si>
  <si>
    <t>Ericameria pinifolia</t>
  </si>
  <si>
    <t>ERISAP</t>
  </si>
  <si>
    <t>Eriastrum sapphirinum</t>
  </si>
  <si>
    <t>Erodium botrys</t>
  </si>
  <si>
    <t>EROBRA</t>
  </si>
  <si>
    <t>Erodium brachycarpum</t>
  </si>
  <si>
    <t>Erodium cicutarium</t>
  </si>
  <si>
    <t>Erodium moschatum</t>
  </si>
  <si>
    <t>Erodium species</t>
  </si>
  <si>
    <t>ERYCAP</t>
  </si>
  <si>
    <t>Erysimum capitatum</t>
  </si>
  <si>
    <t>wallflower</t>
  </si>
  <si>
    <t>ESCCAL</t>
  </si>
  <si>
    <t>Eschscholzia californica</t>
  </si>
  <si>
    <t>EUCCHR</t>
  </si>
  <si>
    <t>Eucrypta chrysanthemifolia</t>
  </si>
  <si>
    <t>EULCAL</t>
  </si>
  <si>
    <t>Eulobus californicus</t>
  </si>
  <si>
    <t>EUPALB</t>
  </si>
  <si>
    <t>Euphorbia albomarginata</t>
  </si>
  <si>
    <t>rattlesnake sandmat</t>
  </si>
  <si>
    <t>EUPMIS</t>
  </si>
  <si>
    <t>Euphorbia misera</t>
  </si>
  <si>
    <t>cliff spurge</t>
  </si>
  <si>
    <t>EUPPEP</t>
  </si>
  <si>
    <t>Euphorbia peplus</t>
  </si>
  <si>
    <t>F</t>
  </si>
  <si>
    <t>Fine woody debris</t>
  </si>
  <si>
    <t>FERVIR</t>
  </si>
  <si>
    <t>Ferocactus viridescens</t>
  </si>
  <si>
    <t>san diego barrel cactus</t>
  </si>
  <si>
    <t>FESARU</t>
  </si>
  <si>
    <t>Festuca arundinacea</t>
  </si>
  <si>
    <t>tall fescue</t>
  </si>
  <si>
    <t>Vulpia myuros</t>
  </si>
  <si>
    <t>FESPER</t>
  </si>
  <si>
    <t>Festuca perennis</t>
  </si>
  <si>
    <t>Italian rye</t>
  </si>
  <si>
    <t>Lolium multiflorum</t>
  </si>
  <si>
    <t>FILGAL</t>
  </si>
  <si>
    <t>Logfia gallica</t>
  </si>
  <si>
    <t>narrow leaf cottonrose</t>
  </si>
  <si>
    <t>FOEVUL</t>
  </si>
  <si>
    <t>Foeniculum vulgare</t>
  </si>
  <si>
    <t>FRAPAR</t>
  </si>
  <si>
    <t>Frasera parryi</t>
  </si>
  <si>
    <t>FRASPP</t>
  </si>
  <si>
    <t>Fraxinus species</t>
  </si>
  <si>
    <t>ash</t>
  </si>
  <si>
    <t>Oleaceae</t>
  </si>
  <si>
    <t>FRIBIF</t>
  </si>
  <si>
    <t>Fritillaria biflora</t>
  </si>
  <si>
    <t>FUNCYN</t>
  </si>
  <si>
    <t>Funastrum cynanchoides</t>
  </si>
  <si>
    <t>GALAND</t>
  </si>
  <si>
    <t>Galium andrewsii</t>
  </si>
  <si>
    <t>phlox-leaved bedstraw</t>
  </si>
  <si>
    <t>GALANG</t>
  </si>
  <si>
    <t>Galium angustifolium</t>
  </si>
  <si>
    <t>Galium aparine</t>
  </si>
  <si>
    <t>GALNUT</t>
  </si>
  <si>
    <t>Galium nuttallii</t>
  </si>
  <si>
    <t>climbing bedstraw</t>
  </si>
  <si>
    <t>GALPAR</t>
  </si>
  <si>
    <t>Galium parisiense</t>
  </si>
  <si>
    <t>Parisian bedstraw</t>
  </si>
  <si>
    <t>GALSPP</t>
  </si>
  <si>
    <t>Galium species</t>
  </si>
  <si>
    <t>GASPHL</t>
  </si>
  <si>
    <t>Gastridium phleoides</t>
  </si>
  <si>
    <t>nit grass</t>
  </si>
  <si>
    <t>GAZLIN</t>
  </si>
  <si>
    <t>Gazania linearis</t>
  </si>
  <si>
    <t>GERDIS</t>
  </si>
  <si>
    <t>Geranium dissectum</t>
  </si>
  <si>
    <t>wild geranium</t>
  </si>
  <si>
    <t>GERROT</t>
  </si>
  <si>
    <t>Geranium rotundifolium</t>
  </si>
  <si>
    <t>GILANG</t>
  </si>
  <si>
    <t>Gilia angelensis</t>
  </si>
  <si>
    <t>chaparral gilia</t>
  </si>
  <si>
    <t>GILAUS</t>
  </si>
  <si>
    <t>Gilia australis</t>
  </si>
  <si>
    <t>GILCAP</t>
  </si>
  <si>
    <t>Gilia capitata</t>
  </si>
  <si>
    <t>GILDIE</t>
  </si>
  <si>
    <t>Gilia diegensis</t>
  </si>
  <si>
    <t>GILSPP</t>
  </si>
  <si>
    <t>Gilia species</t>
  </si>
  <si>
    <t>GILSTE</t>
  </si>
  <si>
    <t>Gilia stellata</t>
  </si>
  <si>
    <t>GLECOR</t>
  </si>
  <si>
    <t>Glebionis coronaria</t>
  </si>
  <si>
    <t>GNAPAL</t>
  </si>
  <si>
    <t>Gnaphalium palustre</t>
  </si>
  <si>
    <t>GNASPP</t>
  </si>
  <si>
    <t>Gnaphalium spp</t>
  </si>
  <si>
    <t>unknown gnaphalium</t>
  </si>
  <si>
    <t>Grindelia camporum</t>
  </si>
  <si>
    <t>GUTCAL</t>
  </si>
  <si>
    <t>Gutierrezia californica</t>
  </si>
  <si>
    <t>GUTSAR</t>
  </si>
  <si>
    <t>Gutierrezia sarothrae</t>
  </si>
  <si>
    <t>HARPAL</t>
  </si>
  <si>
    <t>Harpagonella palmeri</t>
  </si>
  <si>
    <t>HAZSQU</t>
  </si>
  <si>
    <t>Hazardia squarrosa</t>
  </si>
  <si>
    <t>HEDCRE</t>
  </si>
  <si>
    <t>Hedypnois cretica</t>
  </si>
  <si>
    <t>HELANN</t>
  </si>
  <si>
    <t>Helianthus annuus</t>
  </si>
  <si>
    <t>HELCUR</t>
  </si>
  <si>
    <t>Heliotropium curassavicum</t>
  </si>
  <si>
    <t>HELECH</t>
  </si>
  <si>
    <t>Helminthotheca echioides</t>
  </si>
  <si>
    <t>Picris echiodes</t>
  </si>
  <si>
    <t>HELGRA</t>
  </si>
  <si>
    <t>Helianthus gracilentus</t>
  </si>
  <si>
    <t>HELSCO</t>
  </si>
  <si>
    <t>Helianthemum scoparium</t>
  </si>
  <si>
    <t>HESFOR</t>
  </si>
  <si>
    <t>Hesperocyparis forbesii </t>
  </si>
  <si>
    <t>HESWHI</t>
  </si>
  <si>
    <t>Hesperoyucca whipplei</t>
  </si>
  <si>
    <t>HETARB</t>
  </si>
  <si>
    <t>Heteromeles arbutifolia</t>
  </si>
  <si>
    <t>HETGRA</t>
  </si>
  <si>
    <t>Heterotheca grandiflora</t>
  </si>
  <si>
    <t>HIRINC</t>
  </si>
  <si>
    <t>HORMUR</t>
  </si>
  <si>
    <t>Hordeum murinum</t>
  </si>
  <si>
    <t>HUTPRO</t>
  </si>
  <si>
    <t>Hutchinsia procumbens</t>
  </si>
  <si>
    <t>HYPGLA</t>
  </si>
  <si>
    <t>Hypochaeris glabra</t>
  </si>
  <si>
    <t>HYPRAD</t>
  </si>
  <si>
    <t>Hypochaeris radicata</t>
  </si>
  <si>
    <t>hairy cat's ears</t>
  </si>
  <si>
    <t>ISOACR</t>
  </si>
  <si>
    <t>Isocoma acradenia</t>
  </si>
  <si>
    <t>ISOARB</t>
  </si>
  <si>
    <t>Peritoma arborea</t>
  </si>
  <si>
    <t>ISOMEN</t>
  </si>
  <si>
    <t>Isocoma menziesii</t>
  </si>
  <si>
    <t>JEPPAR</t>
  </si>
  <si>
    <t>Jepsonia parryi</t>
  </si>
  <si>
    <t>JUNACU</t>
  </si>
  <si>
    <t>Juncus acutus</t>
  </si>
  <si>
    <t>spiny rush</t>
  </si>
  <si>
    <t>JUNBAL</t>
  </si>
  <si>
    <t>Juncus balticus</t>
  </si>
  <si>
    <t>Baltic rush</t>
  </si>
  <si>
    <t>JUNBUF</t>
  </si>
  <si>
    <t>Juncus bufonius</t>
  </si>
  <si>
    <t>JUNMEX</t>
  </si>
  <si>
    <t>Juncus mexicanus</t>
  </si>
  <si>
    <t>JUNSPP</t>
  </si>
  <si>
    <t>Juncus species</t>
  </si>
  <si>
    <t>rush</t>
  </si>
  <si>
    <t>JUNXIP</t>
  </si>
  <si>
    <t>Juncus xiphioides</t>
  </si>
  <si>
    <t>iris leaf rush</t>
  </si>
  <si>
    <t>KECANT</t>
  </si>
  <si>
    <t>Keckiella antirrhinoides</t>
  </si>
  <si>
    <t>KECCOR</t>
  </si>
  <si>
    <t>Keckiella cordifolia</t>
  </si>
  <si>
    <t>Litter</t>
  </si>
  <si>
    <t>LACSER</t>
  </si>
  <si>
    <t>Lactuca serriola</t>
  </si>
  <si>
    <t>LAECOU</t>
  </si>
  <si>
    <t>Laennecia coulteri</t>
  </si>
  <si>
    <t>LAMAMP</t>
  </si>
  <si>
    <t>Lamium amplexicaule</t>
  </si>
  <si>
    <t>LAMAUR</t>
  </si>
  <si>
    <t>Lamarchia aurea</t>
  </si>
  <si>
    <t>Lasthenia californica</t>
  </si>
  <si>
    <t>LASCOR</t>
  </si>
  <si>
    <t>Lasthenia coronaria</t>
  </si>
  <si>
    <t>LASGRA</t>
  </si>
  <si>
    <t>Lasthenia gracilis</t>
  </si>
  <si>
    <t>LASSPP</t>
  </si>
  <si>
    <t>Lasthenia species</t>
  </si>
  <si>
    <t>LATVES</t>
  </si>
  <si>
    <t>Lathyrus vestitus</t>
  </si>
  <si>
    <t>LAYPLA</t>
  </si>
  <si>
    <t>Layia platyglossa</t>
  </si>
  <si>
    <t>LEPFLO</t>
  </si>
  <si>
    <t>Leptosiphon floribundus</t>
  </si>
  <si>
    <t>LEPGIG</t>
  </si>
  <si>
    <t>Leptosyne gigantea</t>
  </si>
  <si>
    <t>giant coreopsis</t>
  </si>
  <si>
    <t>LEPLAS</t>
  </si>
  <si>
    <t>Lepidium lasiocarpum</t>
  </si>
  <si>
    <t>LEPLAT</t>
  </si>
  <si>
    <t>Lepidium latifolium</t>
  </si>
  <si>
    <t>LEPLIN</t>
  </si>
  <si>
    <t>Leptosiphon liniflorus</t>
  </si>
  <si>
    <t>LEPMAR</t>
  </si>
  <si>
    <t>Leptosyne maritima</t>
  </si>
  <si>
    <t>sea dahlia</t>
  </si>
  <si>
    <t>LEPNIT</t>
  </si>
  <si>
    <t>Lepidium nitidum</t>
  </si>
  <si>
    <t>LEPRAM</t>
  </si>
  <si>
    <t>Lepidium ramosissimum</t>
  </si>
  <si>
    <t>LEPSPP</t>
  </si>
  <si>
    <t>Lepidium species</t>
  </si>
  <si>
    <t>LEPSQU</t>
  </si>
  <si>
    <t>Lepidospartum squamatum </t>
  </si>
  <si>
    <t>LESFIL</t>
  </si>
  <si>
    <t>LEYCON</t>
  </si>
  <si>
    <t>LIMCAL</t>
  </si>
  <si>
    <t>Limonium californicum</t>
  </si>
  <si>
    <t>california sea lavender, march rosemary</t>
  </si>
  <si>
    <t>Plumbaginaceae</t>
  </si>
  <si>
    <t>LIMDUR</t>
  </si>
  <si>
    <t>Limonium duriusculum</t>
  </si>
  <si>
    <t>European sea lavender</t>
  </si>
  <si>
    <t>LIMPER</t>
  </si>
  <si>
    <t>Limonium perezii</t>
  </si>
  <si>
    <t>Perez's sea lavender</t>
  </si>
  <si>
    <t>LIMRAM</t>
  </si>
  <si>
    <t>Limonium ramosissimum</t>
  </si>
  <si>
    <t>Algerian sea lavender</t>
  </si>
  <si>
    <t>LINCAL</t>
  </si>
  <si>
    <t>Linanthus californicus</t>
  </si>
  <si>
    <t>LINDIA</t>
  </si>
  <si>
    <t>Linanthus dianthiflorus</t>
  </si>
  <si>
    <t>LINSIN</t>
  </si>
  <si>
    <t>Limonium sinuatum</t>
  </si>
  <si>
    <t>winged sea-lavender</t>
  </si>
  <si>
    <t>LOGCAL</t>
  </si>
  <si>
    <t>Lofgia filanginoides</t>
  </si>
  <si>
    <t>logfia californica, filago californica</t>
  </si>
  <si>
    <t>LOGDEP</t>
  </si>
  <si>
    <t>Logfia depressa</t>
  </si>
  <si>
    <t>LOGFIL</t>
  </si>
  <si>
    <t>Logfia filanginoides</t>
  </si>
  <si>
    <t>filago californica</t>
  </si>
  <si>
    <t>LOGGAL</t>
  </si>
  <si>
    <t>LOGSPP</t>
  </si>
  <si>
    <t>Logfia species</t>
  </si>
  <si>
    <t>LOLMUL</t>
  </si>
  <si>
    <t>LOLPER</t>
  </si>
  <si>
    <t>Lolium perennis</t>
  </si>
  <si>
    <t>LOMDAS</t>
  </si>
  <si>
    <t>Lomatium dasycarpum</t>
  </si>
  <si>
    <t>LOMLUC</t>
  </si>
  <si>
    <t>Lomatium lucidum</t>
  </si>
  <si>
    <t>shiny lomatium</t>
  </si>
  <si>
    <t>LOMSPP</t>
  </si>
  <si>
    <t>Lomatium species</t>
  </si>
  <si>
    <t>LOMUTR</t>
  </si>
  <si>
    <t>Lomatium utriculatum</t>
  </si>
  <si>
    <t>LONSUB</t>
  </si>
  <si>
    <t>Lonicera subspicata</t>
  </si>
  <si>
    <t>LOTHAM</t>
  </si>
  <si>
    <t>LOTPUR</t>
  </si>
  <si>
    <t>LOTSCO</t>
  </si>
  <si>
    <t>deerweed</t>
  </si>
  <si>
    <t>LOTSPP</t>
  </si>
  <si>
    <t>LOTSTR</t>
  </si>
  <si>
    <t>LUPALB</t>
  </si>
  <si>
    <t>Lupinus albifrons</t>
  </si>
  <si>
    <t>LUPBIC</t>
  </si>
  <si>
    <t>Lupinus bicolor</t>
  </si>
  <si>
    <t>LUPCOC</t>
  </si>
  <si>
    <t>Lupinus concinnus</t>
  </si>
  <si>
    <t>LUPEXC</t>
  </si>
  <si>
    <t>Lupinus excubitus</t>
  </si>
  <si>
    <t>LUPHIR</t>
  </si>
  <si>
    <t>Lupinus hirsutissimus</t>
  </si>
  <si>
    <t>stinging lupine</t>
  </si>
  <si>
    <t>LUPLON</t>
  </si>
  <si>
    <t xml:space="preserve">Lupinus longifolius </t>
  </si>
  <si>
    <t>LUPMIC</t>
  </si>
  <si>
    <t>Lupinus microcarpus</t>
  </si>
  <si>
    <t>LUPSPA</t>
  </si>
  <si>
    <t>Lupinus sparsiflorus</t>
  </si>
  <si>
    <t>coulter's lupine</t>
  </si>
  <si>
    <t>LUPSPP</t>
  </si>
  <si>
    <t>Lupinus species</t>
  </si>
  <si>
    <t>Lupinus succulentus</t>
  </si>
  <si>
    <t>LUPTRU</t>
  </si>
  <si>
    <t>Lupinus truncatus</t>
  </si>
  <si>
    <t>LYCAND</t>
  </si>
  <si>
    <t>Lycium andersonii</t>
  </si>
  <si>
    <t>thornbush</t>
  </si>
  <si>
    <t>Moss</t>
  </si>
  <si>
    <t>MALCLE</t>
  </si>
  <si>
    <t>Malacothamnus clementius</t>
  </si>
  <si>
    <t>MALCRO</t>
  </si>
  <si>
    <t>Malephora crocea</t>
  </si>
  <si>
    <t>Croceum iceplant</t>
  </si>
  <si>
    <t>MALFAS</t>
  </si>
  <si>
    <t>Malacothamnus fasciculatus</t>
  </si>
  <si>
    <t>MALLAU</t>
  </si>
  <si>
    <t>Malosma laurina</t>
  </si>
  <si>
    <t>MALLAU resprout</t>
  </si>
  <si>
    <t>Malosma laurina resprout</t>
  </si>
  <si>
    <t>MALLAU seedling</t>
  </si>
  <si>
    <t>Malosma laurina seedling</t>
  </si>
  <si>
    <t>MALPAR</t>
  </si>
  <si>
    <t>Malva parviflora</t>
  </si>
  <si>
    <t>MALSAX</t>
  </si>
  <si>
    <t>Malacothrix saxatilis</t>
  </si>
  <si>
    <t>MALSPP</t>
  </si>
  <si>
    <t>Malacothamnus species</t>
  </si>
  <si>
    <t>MARMAC</t>
  </si>
  <si>
    <t>Marah macrocarpa</t>
  </si>
  <si>
    <t>MARSPP</t>
  </si>
  <si>
    <t>Marchantia</t>
  </si>
  <si>
    <t>liverwort</t>
  </si>
  <si>
    <t>Marchantiaceae</t>
  </si>
  <si>
    <t>MARVUL</t>
  </si>
  <si>
    <t>Marrubium vulgare</t>
  </si>
  <si>
    <t>MATDIS</t>
  </si>
  <si>
    <t>Matricaria discoidea</t>
  </si>
  <si>
    <t>pineapple weed</t>
  </si>
  <si>
    <t>Medicago polymorpha</t>
  </si>
  <si>
    <t>MEDSAT</t>
  </si>
  <si>
    <t>Medicago sativa</t>
  </si>
  <si>
    <t>alfalfa</t>
  </si>
  <si>
    <t>MEDSPP</t>
  </si>
  <si>
    <t>Medicago species</t>
  </si>
  <si>
    <t>MELALB</t>
  </si>
  <si>
    <t>Melilotus albus</t>
  </si>
  <si>
    <t>MELIMP</t>
  </si>
  <si>
    <t>Melica imperfecta</t>
  </si>
  <si>
    <t>coast range melic</t>
  </si>
  <si>
    <t>MELIND</t>
  </si>
  <si>
    <t>Melilotus indicus</t>
  </si>
  <si>
    <t>MELOFF</t>
  </si>
  <si>
    <t>Melilotus officinalis</t>
  </si>
  <si>
    <t>MELSPP</t>
  </si>
  <si>
    <t>Melitotus species</t>
  </si>
  <si>
    <t>MENSPI</t>
  </si>
  <si>
    <t>Mentha spicata</t>
  </si>
  <si>
    <t>MESCRY</t>
  </si>
  <si>
    <t>Mesembryanthemum crystallinium</t>
  </si>
  <si>
    <t>crystal iceplant</t>
  </si>
  <si>
    <t>MESNOD</t>
  </si>
  <si>
    <t>Mesembryanthemum nodiflorum</t>
  </si>
  <si>
    <t>small-flowered iceplant</t>
  </si>
  <si>
    <t>MICCAL</t>
  </si>
  <si>
    <t>Micropus californicus</t>
  </si>
  <si>
    <t>Q tips</t>
  </si>
  <si>
    <t>MICDOU</t>
  </si>
  <si>
    <t>Microseris douglasii</t>
  </si>
  <si>
    <t>silver puffs</t>
  </si>
  <si>
    <t>MICLIN</t>
  </si>
  <si>
    <t>MIMAUR</t>
  </si>
  <si>
    <t>MIMCAR</t>
  </si>
  <si>
    <t>Mimulus cardinalis</t>
  </si>
  <si>
    <t>MIRCAL</t>
  </si>
  <si>
    <t>Mirabilis laevis</t>
  </si>
  <si>
    <t>MIRLAE</t>
  </si>
  <si>
    <t>MONSPP</t>
  </si>
  <si>
    <t>Monardella species</t>
  </si>
  <si>
    <t>MUHMIC</t>
  </si>
  <si>
    <t>Muhlenburgia microsperma</t>
  </si>
  <si>
    <t>Littleseed muhly</t>
  </si>
  <si>
    <t>MUHRIG</t>
  </si>
  <si>
    <t>Muhlenbergia rigens</t>
  </si>
  <si>
    <t>MUHSPP</t>
  </si>
  <si>
    <t>Muhlenburgia species</t>
  </si>
  <si>
    <t>MUIMAR</t>
  </si>
  <si>
    <t>Muilla maritima</t>
  </si>
  <si>
    <t>NASLEP</t>
  </si>
  <si>
    <t>Stipa lepida</t>
  </si>
  <si>
    <t>NASOFF</t>
  </si>
  <si>
    <t>Nasturtium officinale</t>
  </si>
  <si>
    <t>NASPUL</t>
  </si>
  <si>
    <t>Stipa pulchra</t>
  </si>
  <si>
    <t>NAVATR</t>
  </si>
  <si>
    <t>Navarretia atractyloides</t>
  </si>
  <si>
    <t>Navarretia hamata</t>
  </si>
  <si>
    <t>Navarretia species</t>
  </si>
  <si>
    <t>NEMMEN</t>
  </si>
  <si>
    <t>Nemophila menziesii</t>
  </si>
  <si>
    <t>NEMRUB</t>
  </si>
  <si>
    <t>Nemacladus rubescens</t>
  </si>
  <si>
    <t>desert thread plant</t>
  </si>
  <si>
    <t>Campanulaceae</t>
  </si>
  <si>
    <t>NICGLA</t>
  </si>
  <si>
    <t>Nicotiana glauca</t>
  </si>
  <si>
    <t>NICQUA</t>
  </si>
  <si>
    <t>Nicotiana quadrivalvis</t>
  </si>
  <si>
    <t>NNF</t>
  </si>
  <si>
    <t>Non Native Forb</t>
  </si>
  <si>
    <t>NNG</t>
  </si>
  <si>
    <t>Non Native Grass</t>
  </si>
  <si>
    <t>NoAdditional</t>
  </si>
  <si>
    <t>No Additional Species</t>
  </si>
  <si>
    <t>NoCanopy</t>
  </si>
  <si>
    <t>NOLCIS</t>
  </si>
  <si>
    <t>Nolina cismontana</t>
  </si>
  <si>
    <t>Ruscaceae</t>
  </si>
  <si>
    <t>NoNatVeg</t>
  </si>
  <si>
    <t>No Native Vegetation</t>
  </si>
  <si>
    <t>No_Native</t>
  </si>
  <si>
    <t>NoNNVeg</t>
  </si>
  <si>
    <t>No Non-Native Vegetation</t>
  </si>
  <si>
    <t>No_Non-Native</t>
  </si>
  <si>
    <t>NR</t>
  </si>
  <si>
    <t>NUTTEX</t>
  </si>
  <si>
    <t>Nuttallanthus texanus</t>
  </si>
  <si>
    <t>OENELA</t>
  </si>
  <si>
    <t>Oenothera elata</t>
  </si>
  <si>
    <t>OENSAR</t>
  </si>
  <si>
    <t>Oenanthe sarmentosa</t>
  </si>
  <si>
    <t>ONCPIL</t>
  </si>
  <si>
    <t>Oncosiphon piluliferum</t>
  </si>
  <si>
    <t>stinknet</t>
  </si>
  <si>
    <t>OPHCAL</t>
  </si>
  <si>
    <t>Ophioglossum californicum</t>
  </si>
  <si>
    <t>Ophioglossaceae</t>
  </si>
  <si>
    <t>Opuntia littoralis</t>
  </si>
  <si>
    <t>OPUORI</t>
  </si>
  <si>
    <t>Opuntia oricola</t>
  </si>
  <si>
    <t>chaparral prickly pear</t>
  </si>
  <si>
    <t>OSMTEN</t>
  </si>
  <si>
    <t>Osmadenia tenella</t>
  </si>
  <si>
    <t>OXAALB</t>
  </si>
  <si>
    <t>Oxalis albicans</t>
  </si>
  <si>
    <t>OXACAL</t>
  </si>
  <si>
    <t>Oxalis californica</t>
  </si>
  <si>
    <t>OXAPES</t>
  </si>
  <si>
    <t>Oxalis pes-caprae</t>
  </si>
  <si>
    <t>OXASPP</t>
  </si>
  <si>
    <t>Oxalis species</t>
  </si>
  <si>
    <t>PAECAL</t>
  </si>
  <si>
    <t>Paeonia californica</t>
  </si>
  <si>
    <t>California peony</t>
  </si>
  <si>
    <t>Paeoniaceae</t>
  </si>
  <si>
    <t>PANSPP</t>
  </si>
  <si>
    <t>Panicum species</t>
  </si>
  <si>
    <t>Panic grass</t>
  </si>
  <si>
    <t>PECLIN</t>
  </si>
  <si>
    <t>Pectocarya linearis</t>
  </si>
  <si>
    <t>combseed</t>
  </si>
  <si>
    <t>PELAND</t>
  </si>
  <si>
    <t>Pellaea andromedaefolia</t>
  </si>
  <si>
    <t>coffee fern</t>
  </si>
  <si>
    <t>PELMUR</t>
  </si>
  <si>
    <t>Pellaea mucronata</t>
  </si>
  <si>
    <t>bird's foot fern</t>
  </si>
  <si>
    <t>PENAUR</t>
  </si>
  <si>
    <t>Pentachaeta aurea</t>
  </si>
  <si>
    <t>PENCEN</t>
  </si>
  <si>
    <t>Penstemon centranthifolius</t>
  </si>
  <si>
    <t>scarlet burglar</t>
  </si>
  <si>
    <t>PENCLA</t>
  </si>
  <si>
    <t>Pennisetum clandestinum</t>
  </si>
  <si>
    <t>PENHET</t>
  </si>
  <si>
    <t>Penstemon heterophyllus</t>
  </si>
  <si>
    <t>PENSPE</t>
  </si>
  <si>
    <t>Penstemon spectabilis</t>
  </si>
  <si>
    <t>PENTRI</t>
  </si>
  <si>
    <t>Pentagramma triangularis</t>
  </si>
  <si>
    <t>golden back fern</t>
  </si>
  <si>
    <t>PERARB</t>
  </si>
  <si>
    <t>PHAAQU</t>
  </si>
  <si>
    <t>Phalaris aquatica</t>
  </si>
  <si>
    <t>harding grass</t>
  </si>
  <si>
    <t>Phacelia cicutaria</t>
  </si>
  <si>
    <t>PHACIL</t>
  </si>
  <si>
    <t>Phacelia ciliata</t>
  </si>
  <si>
    <t>PHADIS</t>
  </si>
  <si>
    <t>Phacelia distans</t>
  </si>
  <si>
    <t>PHAHUB</t>
  </si>
  <si>
    <t>Phacelia hubbyi</t>
  </si>
  <si>
    <t>PHAPAR</t>
  </si>
  <si>
    <t>Phacelia parryi</t>
  </si>
  <si>
    <t>Parry's phacelia</t>
  </si>
  <si>
    <t>PHARAM</t>
  </si>
  <si>
    <t>Phacelia ramosissima</t>
  </si>
  <si>
    <t>PHASPP</t>
  </si>
  <si>
    <t>Phacelia species</t>
  </si>
  <si>
    <t>PHOAUR</t>
  </si>
  <si>
    <t>Pholistoma auritum</t>
  </si>
  <si>
    <t>PHOBOL</t>
  </si>
  <si>
    <t>Phoradendron bolleanum</t>
  </si>
  <si>
    <t>Dense Mistletoe</t>
  </si>
  <si>
    <t>Viscaceae</t>
  </si>
  <si>
    <t>PHOLEU-M</t>
  </si>
  <si>
    <t>Phoradendron leucarpum ssp. macrophyllum</t>
  </si>
  <si>
    <t>Large-leaved mistletoe</t>
  </si>
  <si>
    <t>PHOLEU-T</t>
  </si>
  <si>
    <t>Phoradendron leucarpum ssp. Tomentosum</t>
  </si>
  <si>
    <t>hairy mistletoe, oak mistletoe</t>
  </si>
  <si>
    <t>PHORAM</t>
  </si>
  <si>
    <t>Pholistoma racemosum</t>
  </si>
  <si>
    <t>PICMON</t>
  </si>
  <si>
    <t>Pickeringia montana</t>
  </si>
  <si>
    <t>PLACAL</t>
  </si>
  <si>
    <t>Platystemon californicus</t>
  </si>
  <si>
    <t>cream cups</t>
  </si>
  <si>
    <t>PLACAN</t>
  </si>
  <si>
    <t>Plagiobothrys canescens</t>
  </si>
  <si>
    <t>Valley popcorn flower</t>
  </si>
  <si>
    <t>PLACOL</t>
  </si>
  <si>
    <t>Plagiobothrys collinus</t>
  </si>
  <si>
    <t>PLAERE</t>
  </si>
  <si>
    <t>Plantago erecta</t>
  </si>
  <si>
    <t>PLALAN</t>
  </si>
  <si>
    <t>Plantago lanceolata</t>
  </si>
  <si>
    <t>PLAMAJ</t>
  </si>
  <si>
    <t>Plantago major</t>
  </si>
  <si>
    <t>PLANOT</t>
  </si>
  <si>
    <t>Plagiobothrys nothofulvus</t>
  </si>
  <si>
    <t>PLAOVA</t>
  </si>
  <si>
    <t>Plantago ovata</t>
  </si>
  <si>
    <t>PLAPAT</t>
  </si>
  <si>
    <t>Plantago patagonica</t>
  </si>
  <si>
    <t>Woolly plantain</t>
  </si>
  <si>
    <t>PLARAC</t>
  </si>
  <si>
    <t>Platanus racemosa</t>
  </si>
  <si>
    <t>PLASPP</t>
  </si>
  <si>
    <t>Plagiobothrys species</t>
  </si>
  <si>
    <t>popcorn flower</t>
  </si>
  <si>
    <t>PLUSER</t>
  </si>
  <si>
    <t>Pluchea sericea</t>
  </si>
  <si>
    <t>POAANN</t>
  </si>
  <si>
    <t>Poa annua</t>
  </si>
  <si>
    <t>POASEC</t>
  </si>
  <si>
    <t>Poa secunda</t>
  </si>
  <si>
    <t>POASPP</t>
  </si>
  <si>
    <t>Poa species</t>
  </si>
  <si>
    <t>POLAVI</t>
  </si>
  <si>
    <t>Polygonum aviculare</t>
  </si>
  <si>
    <t>knotweed</t>
  </si>
  <si>
    <t>POLCAL</t>
  </si>
  <si>
    <t>Polypodium californicum</t>
  </si>
  <si>
    <t>Polypodaceae</t>
  </si>
  <si>
    <t>POLDEP</t>
  </si>
  <si>
    <t>Polycarpon depressum</t>
  </si>
  <si>
    <t>POLMON</t>
  </si>
  <si>
    <t>Polypogon monspeliensis</t>
  </si>
  <si>
    <t>rabbit foot grass</t>
  </si>
  <si>
    <t>POLTET</t>
  </si>
  <si>
    <t>Polycarpon tetraphyllum</t>
  </si>
  <si>
    <t>POLVIR</t>
  </si>
  <si>
    <t>Polypogon viridis</t>
  </si>
  <si>
    <t>PORGRA</t>
  </si>
  <si>
    <t>Porophyllum gracile</t>
  </si>
  <si>
    <t>odora</t>
  </si>
  <si>
    <t>POROLE</t>
  </si>
  <si>
    <t>Portulaca oleracea</t>
  </si>
  <si>
    <t>common purslane</t>
  </si>
  <si>
    <t>Portulacaceae</t>
  </si>
  <si>
    <t>PRUILI</t>
  </si>
  <si>
    <t>Prunus ilicifolia</t>
  </si>
  <si>
    <t>hollyleaf cherry</t>
  </si>
  <si>
    <t>PSEBEN</t>
  </si>
  <si>
    <t>Pseudognaphalium beneolens</t>
  </si>
  <si>
    <t>cudweed</t>
  </si>
  <si>
    <t>PSEBIC</t>
  </si>
  <si>
    <t>Pseudognaphalium bicolor</t>
  </si>
  <si>
    <t>PSEBIO</t>
  </si>
  <si>
    <t xml:space="preserve">Pseudognaphalium biolettii </t>
  </si>
  <si>
    <t>PSECAL</t>
  </si>
  <si>
    <t xml:space="preserve">Pseudognaphalium californicum </t>
  </si>
  <si>
    <t>ladies tobacco</t>
  </si>
  <si>
    <t>PSELUT</t>
  </si>
  <si>
    <t>Pseudognaphalium luteoalbum</t>
  </si>
  <si>
    <t>jersey cudweed</t>
  </si>
  <si>
    <t>PSEMIC</t>
  </si>
  <si>
    <t>Pseudognaphalium microcephalum</t>
  </si>
  <si>
    <t>Wright's cudweed</t>
  </si>
  <si>
    <t>PSERAM</t>
  </si>
  <si>
    <t>Pseudognaphalium ramosissimum</t>
  </si>
  <si>
    <t>pink cudweed</t>
  </si>
  <si>
    <t>PSESPP</t>
  </si>
  <si>
    <t>Pseudognaphalium species</t>
  </si>
  <si>
    <t>PSESTR</t>
  </si>
  <si>
    <t>Pseudognaphalium stramineum</t>
  </si>
  <si>
    <t>PSIBRE</t>
  </si>
  <si>
    <t>Psilocarphus brevissimus</t>
  </si>
  <si>
    <t>wooly marbles</t>
  </si>
  <si>
    <t>PSISPP</t>
  </si>
  <si>
    <t>Psilocarphus species</t>
  </si>
  <si>
    <t>PSITEN</t>
  </si>
  <si>
    <t>Psilocarphus tenellus</t>
  </si>
  <si>
    <t>PTEDRY</t>
  </si>
  <si>
    <t>Pterostegia drymarioides</t>
  </si>
  <si>
    <t>PULPAL</t>
  </si>
  <si>
    <t>Pulicaria paludosa</t>
  </si>
  <si>
    <t>QUEAGR</t>
  </si>
  <si>
    <t>Quercus agrifolia</t>
  </si>
  <si>
    <t>QUEBER</t>
  </si>
  <si>
    <t>Quercus berberidifolia</t>
  </si>
  <si>
    <t>QUEDUM</t>
  </si>
  <si>
    <t>Quercus dumosa</t>
  </si>
  <si>
    <t>QUESPP</t>
  </si>
  <si>
    <t>Quercus species</t>
  </si>
  <si>
    <t>Rock</t>
  </si>
  <si>
    <t>RAFCAL</t>
  </si>
  <si>
    <t>Rafinesquia californica</t>
  </si>
  <si>
    <t>RANCAL</t>
  </si>
  <si>
    <t>Ranunculus californicus</t>
  </si>
  <si>
    <t>RAPSAT</t>
  </si>
  <si>
    <t>Raphanus sativus</t>
  </si>
  <si>
    <t>RHACRO</t>
  </si>
  <si>
    <t>Rhamnus crocea</t>
  </si>
  <si>
    <t>redberry</t>
  </si>
  <si>
    <t>RHAILI</t>
  </si>
  <si>
    <t>Rhamnus ilicifolia</t>
  </si>
  <si>
    <t>RHUINT</t>
  </si>
  <si>
    <t>Rhus integrifolia</t>
  </si>
  <si>
    <t>RHUOVA</t>
  </si>
  <si>
    <t>Rhus ovata</t>
  </si>
  <si>
    <t>RIBIND</t>
  </si>
  <si>
    <t>Ribes indecorum</t>
  </si>
  <si>
    <t>RIBSPE</t>
  </si>
  <si>
    <t>Ribes speciosum</t>
  </si>
  <si>
    <t>RICCOM</t>
  </si>
  <si>
    <t>Ricinus communis</t>
  </si>
  <si>
    <t>ROMCOU</t>
  </si>
  <si>
    <t>Romneya coulteri</t>
  </si>
  <si>
    <t>ROSCAL</t>
  </si>
  <si>
    <t>Rosa californica</t>
  </si>
  <si>
    <t>RUBURS</t>
  </si>
  <si>
    <t>Rubus ursinus</t>
  </si>
  <si>
    <t>RUMCRI</t>
  </si>
  <si>
    <t>Rumex crispus</t>
  </si>
  <si>
    <t>RUMEX</t>
  </si>
  <si>
    <t>Rumex species</t>
  </si>
  <si>
    <t>unknown rumex</t>
  </si>
  <si>
    <t>RUMHYM</t>
  </si>
  <si>
    <t>Rumex hymenosepalus</t>
  </si>
  <si>
    <t>wild rhubarb</t>
  </si>
  <si>
    <t>Stem</t>
  </si>
  <si>
    <t>Sa</t>
  </si>
  <si>
    <t>Sand</t>
  </si>
  <si>
    <t>SALAPI</t>
  </si>
  <si>
    <t>Salvia apiana</t>
  </si>
  <si>
    <t>SALAPIxSALMEL</t>
  </si>
  <si>
    <t>Salvia apiana x mellifera</t>
  </si>
  <si>
    <t>White/Black sage hybrid</t>
  </si>
  <si>
    <t>SALAUS</t>
  </si>
  <si>
    <t>Saltugilia australis</t>
  </si>
  <si>
    <t>SALCLE</t>
  </si>
  <si>
    <t>Salvia clevelandii</t>
  </si>
  <si>
    <t>Cleveland Sage</t>
  </si>
  <si>
    <t>SALCOL</t>
  </si>
  <si>
    <t>Salvia columbariae</t>
  </si>
  <si>
    <t>SALEXI</t>
  </si>
  <si>
    <t>Salix exigua</t>
  </si>
  <si>
    <t>SALGOO</t>
  </si>
  <si>
    <t>Salix gooddingii</t>
  </si>
  <si>
    <t>SALIXSPP</t>
  </si>
  <si>
    <t>Salix species</t>
  </si>
  <si>
    <t>SALLAE</t>
  </si>
  <si>
    <t>Salix laevigata</t>
  </si>
  <si>
    <t>SALLAS</t>
  </si>
  <si>
    <t>Salix lasiolepis</t>
  </si>
  <si>
    <t>SALLEU</t>
  </si>
  <si>
    <t>Salvia leucophylla</t>
  </si>
  <si>
    <t>SALMEL</t>
  </si>
  <si>
    <t>Salvia mellifera</t>
  </si>
  <si>
    <t>SALMEL resprout</t>
  </si>
  <si>
    <t>Salvia mellifera resprout</t>
  </si>
  <si>
    <t>SALMEL seedling</t>
  </si>
  <si>
    <t>Salvia mellifera seedling</t>
  </si>
  <si>
    <t>SALSPA</t>
  </si>
  <si>
    <t>Salvia spathacea</t>
  </si>
  <si>
    <t>SALTRA</t>
  </si>
  <si>
    <t>Salsola tragus</t>
  </si>
  <si>
    <t>SAMMEX</t>
  </si>
  <si>
    <t>Sambucus nigra ssp. caerulea</t>
  </si>
  <si>
    <t>SAMNIG</t>
  </si>
  <si>
    <t>SANARG</t>
  </si>
  <si>
    <t>Sanicula arguta</t>
  </si>
  <si>
    <t>SANBIP</t>
  </si>
  <si>
    <t>Sanicula bipinnatifida</t>
  </si>
  <si>
    <t>SANCRA</t>
  </si>
  <si>
    <t>Sanicula crassicaulis</t>
  </si>
  <si>
    <t>SANSPP</t>
  </si>
  <si>
    <t>Sanicula species</t>
  </si>
  <si>
    <t>unknown sanicula</t>
  </si>
  <si>
    <t>SANTUB</t>
  </si>
  <si>
    <t>Sanicula tuberosa</t>
  </si>
  <si>
    <t>SCHBAR</t>
  </si>
  <si>
    <t>Schismus barbatus</t>
  </si>
  <si>
    <t>old han schismus</t>
  </si>
  <si>
    <t>SCICAL</t>
  </si>
  <si>
    <t>Scirpus californicus</t>
  </si>
  <si>
    <t>SCRCAL</t>
  </si>
  <si>
    <t>Scrophularia californica</t>
  </si>
  <si>
    <t>SCUTUB</t>
  </si>
  <si>
    <t>Scutellaria tuberosa</t>
  </si>
  <si>
    <t>danny's skullcap</t>
  </si>
  <si>
    <t>SELBIG</t>
  </si>
  <si>
    <t>Selaginella bigelovii</t>
  </si>
  <si>
    <t>spike moss</t>
  </si>
  <si>
    <t>Selaginellaceae</t>
  </si>
  <si>
    <t>SELCIN</t>
  </si>
  <si>
    <t>Selaginella cinerascens</t>
  </si>
  <si>
    <t>SENCAL</t>
  </si>
  <si>
    <t>Senecio californicus</t>
  </si>
  <si>
    <t>SENSPP</t>
  </si>
  <si>
    <t>Senecio species</t>
  </si>
  <si>
    <t>Senecio vulgaris</t>
  </si>
  <si>
    <t>common groundsel, old man in the spring</t>
  </si>
  <si>
    <t>SHRUBBY MALLOW</t>
  </si>
  <si>
    <t>SIDMAL</t>
  </si>
  <si>
    <t>Sidalcea malviflora</t>
  </si>
  <si>
    <t>SIDSPA</t>
  </si>
  <si>
    <t>Sidalcea sparsifolia</t>
  </si>
  <si>
    <t>SILGAL</t>
  </si>
  <si>
    <t>Silene gallica</t>
  </si>
  <si>
    <t>common catchfly</t>
  </si>
  <si>
    <t>SILLAC</t>
  </si>
  <si>
    <t>Silene laciniata</t>
  </si>
  <si>
    <t>SILMAR</t>
  </si>
  <si>
    <t>Silybum marianum</t>
  </si>
  <si>
    <t>SIMCHI</t>
  </si>
  <si>
    <t>Simmondsia chinensis</t>
  </si>
  <si>
    <t>Jojoba</t>
  </si>
  <si>
    <t>Simmodsiaceae</t>
  </si>
  <si>
    <t>SISBEL</t>
  </si>
  <si>
    <t>Sisyrinchium bellum</t>
  </si>
  <si>
    <t>SISIRI</t>
  </si>
  <si>
    <t>Sisymbrium irio</t>
  </si>
  <si>
    <t>SISOFF</t>
  </si>
  <si>
    <t>Sisymbrium officinale</t>
  </si>
  <si>
    <t>SISSPP</t>
  </si>
  <si>
    <t>Sisymbrium species</t>
  </si>
  <si>
    <t>SOLAME</t>
  </si>
  <si>
    <t>Solanum americanum</t>
  </si>
  <si>
    <t>SOLCAL</t>
  </si>
  <si>
    <t>Solidago velutina  ssp. californica</t>
  </si>
  <si>
    <t>SOLDOU</t>
  </si>
  <si>
    <t>Solanum douglasii</t>
  </si>
  <si>
    <t>SOLELA</t>
  </si>
  <si>
    <t>Solanum elaeagnifolium</t>
  </si>
  <si>
    <t>SOLSPP</t>
  </si>
  <si>
    <t>Solanum species</t>
  </si>
  <si>
    <t>SOLUMB</t>
  </si>
  <si>
    <t>Solanum umbelliferum</t>
  </si>
  <si>
    <t>SOLVEL</t>
  </si>
  <si>
    <t>SOLXAN</t>
  </si>
  <si>
    <t>Solanum xanti</t>
  </si>
  <si>
    <t>Sonchus asper</t>
  </si>
  <si>
    <t>Sonchus oleraceus</t>
  </si>
  <si>
    <t>Sonchus species</t>
  </si>
  <si>
    <t>SPAJUN</t>
  </si>
  <si>
    <t>Spartium junceum</t>
  </si>
  <si>
    <t>SPEBOC</t>
  </si>
  <si>
    <t>Spergularia bocconi</t>
  </si>
  <si>
    <t>sand spurrey</t>
  </si>
  <si>
    <t>SPESPP</t>
  </si>
  <si>
    <t>Spergularia species</t>
  </si>
  <si>
    <t>ST</t>
  </si>
  <si>
    <t>STAAJU</t>
  </si>
  <si>
    <t>Stachys ajugoides</t>
  </si>
  <si>
    <t>STARIG</t>
  </si>
  <si>
    <t>Stachys rigida var. rigida</t>
  </si>
  <si>
    <t>Stephanomeria diegensis</t>
  </si>
  <si>
    <t>STEEXI</t>
  </si>
  <si>
    <t>Stephanomeria exigua</t>
  </si>
  <si>
    <t>STEHET</t>
  </si>
  <si>
    <t>Stebbinsoseris heterocarpa</t>
  </si>
  <si>
    <t>STEMED</t>
  </si>
  <si>
    <t>Stellaria media</t>
  </si>
  <si>
    <t>STENIT</t>
  </si>
  <si>
    <t>Stellaria nitens</t>
  </si>
  <si>
    <t>STEPAL</t>
  </si>
  <si>
    <t>Stellaria pallida</t>
  </si>
  <si>
    <t>STESPP</t>
  </si>
  <si>
    <t>Stephanomeria species</t>
  </si>
  <si>
    <t>STEVIR</t>
  </si>
  <si>
    <t>Stephanomeria virgata</t>
  </si>
  <si>
    <t>STICER</t>
  </si>
  <si>
    <t>Stipa cernua</t>
  </si>
  <si>
    <t>nodding needle graas</t>
  </si>
  <si>
    <t>STICOR</t>
  </si>
  <si>
    <t>Stipa coronata</t>
  </si>
  <si>
    <t>Crested needle grass</t>
  </si>
  <si>
    <t>STILEM</t>
  </si>
  <si>
    <t>Stipa lemmonii</t>
  </si>
  <si>
    <t>STILEP</t>
  </si>
  <si>
    <t>STIMIL</t>
  </si>
  <si>
    <t>Stipa miliacea</t>
  </si>
  <si>
    <t>STISPE</t>
  </si>
  <si>
    <t>Stipa speciosa</t>
  </si>
  <si>
    <t>desert needlegrass</t>
  </si>
  <si>
    <t>STISPP</t>
  </si>
  <si>
    <t>Stipa species</t>
  </si>
  <si>
    <t>STYGNA</t>
  </si>
  <si>
    <t>Stylocline gnaphaloides</t>
  </si>
  <si>
    <t>TAMRAM</t>
  </si>
  <si>
    <t>Tamarix ramosissima</t>
  </si>
  <si>
    <t>TAROFF</t>
  </si>
  <si>
    <t>Taraxacum officinale</t>
  </si>
  <si>
    <t>common dandelion</t>
  </si>
  <si>
    <t>TAUARG</t>
  </si>
  <si>
    <t>Tauschia arguta</t>
  </si>
  <si>
    <t>TAUSPP</t>
  </si>
  <si>
    <t>Tauschia species</t>
  </si>
  <si>
    <t>TENNIS LEAF</t>
  </si>
  <si>
    <t>Thatch</t>
  </si>
  <si>
    <t>THYCUR</t>
  </si>
  <si>
    <t>Thysanocarpus curvipes</t>
  </si>
  <si>
    <t>THYLAC</t>
  </si>
  <si>
    <t>Thysanocarpus lacianatus</t>
  </si>
  <si>
    <t>TOXDIV</t>
  </si>
  <si>
    <t>Toxicodendron diversilobum</t>
  </si>
  <si>
    <t>TOXFRE</t>
  </si>
  <si>
    <t>Toxicoscordion fremontii</t>
  </si>
  <si>
    <t>Fremont's Death Camas</t>
  </si>
  <si>
    <t>Zigadenus fremontii</t>
  </si>
  <si>
    <t>Melanthiaceae</t>
  </si>
  <si>
    <t>TRIALB</t>
  </si>
  <si>
    <t>Trifolium albopurpureum</t>
  </si>
  <si>
    <t>ranheria clover</t>
  </si>
  <si>
    <t>TRICIL</t>
  </si>
  <si>
    <t>Trifolium ciliolatum</t>
  </si>
  <si>
    <t>TRILANA</t>
  </si>
  <si>
    <t>Trichostema lanatum</t>
  </si>
  <si>
    <t>TRILANC</t>
  </si>
  <si>
    <t>Trichostema lanceolatum</t>
  </si>
  <si>
    <t>TRIMIC</t>
  </si>
  <si>
    <t>Trifolium microcephalum</t>
  </si>
  <si>
    <t>TRIREP</t>
  </si>
  <si>
    <t>Trifolium repens</t>
  </si>
  <si>
    <t>white clover</t>
  </si>
  <si>
    <t>TRISPP</t>
  </si>
  <si>
    <t>Trifolium species</t>
  </si>
  <si>
    <t>clover</t>
  </si>
  <si>
    <t>TRITRI</t>
  </si>
  <si>
    <t>Trifolium trichocalyx</t>
  </si>
  <si>
    <t>TRIWIL</t>
  </si>
  <si>
    <t>Trifolium willdenovii</t>
  </si>
  <si>
    <t>TRIWOR</t>
  </si>
  <si>
    <t>Trifolium wormskioldii</t>
  </si>
  <si>
    <t>cow clover</t>
  </si>
  <si>
    <t>TYPDOM</t>
  </si>
  <si>
    <t>Typha domingensis</t>
  </si>
  <si>
    <t>TYPLAT</t>
  </si>
  <si>
    <t>Typha latifolia</t>
  </si>
  <si>
    <t>UK 2</t>
  </si>
  <si>
    <t>ULMPAR</t>
  </si>
  <si>
    <t>Ulmus parvifolia</t>
  </si>
  <si>
    <t>UNK (LINEAR LEAVED GALLIUM?)</t>
  </si>
  <si>
    <t>UNK GILLIA</t>
  </si>
  <si>
    <t>UNK PUFF</t>
  </si>
  <si>
    <t>UNK SOW THISTLE</t>
  </si>
  <si>
    <t>Unk Striped Yellow</t>
  </si>
  <si>
    <t>UNKFORB</t>
  </si>
  <si>
    <t>Unknown Forb</t>
  </si>
  <si>
    <t>UNKFORB 1</t>
  </si>
  <si>
    <t>Unknown Forb 1</t>
  </si>
  <si>
    <t>UNKGRASS</t>
  </si>
  <si>
    <t>Unknown Grass</t>
  </si>
  <si>
    <t>Unknown non-native grass</t>
  </si>
  <si>
    <t>Unknown Species</t>
  </si>
  <si>
    <t>UNKNOWN 1</t>
  </si>
  <si>
    <t>UNKNOWN ENCELIA LOOKALIKE (POSSIBLE SOLUMB)</t>
  </si>
  <si>
    <t>UNKNOWN LETTUCE (HYPGLA?)</t>
  </si>
  <si>
    <t>UNKNOWN STRIPEY YELLOW FLOWER</t>
  </si>
  <si>
    <t>UNKNOWN THISTLE</t>
  </si>
  <si>
    <t>Unkown Herb Seedling</t>
  </si>
  <si>
    <t>UNKOWN JAGGED LEAF</t>
  </si>
  <si>
    <t>UNKSHRUB</t>
  </si>
  <si>
    <t>Unknown Native Shrub</t>
  </si>
  <si>
    <t>UNKTREE</t>
  </si>
  <si>
    <t>Unknown Tree</t>
  </si>
  <si>
    <t>Uropappus lindleyi</t>
  </si>
  <si>
    <t>URTDIO</t>
  </si>
  <si>
    <t>Urtica dioica</t>
  </si>
  <si>
    <t>URTURE</t>
  </si>
  <si>
    <t>Urtica urens</t>
  </si>
  <si>
    <t>VERANA</t>
  </si>
  <si>
    <t>Veronica anagallis-aquatica</t>
  </si>
  <si>
    <t>great water speedwell</t>
  </si>
  <si>
    <t>VERLAS</t>
  </si>
  <si>
    <t>Verbena lasiostachys</t>
  </si>
  <si>
    <t>VERVIR</t>
  </si>
  <si>
    <t>Verbascum virgatum</t>
  </si>
  <si>
    <t>VICAME</t>
  </si>
  <si>
    <t>Vicia americana var. americana</t>
  </si>
  <si>
    <t>american vetch</t>
  </si>
  <si>
    <t>VICLUD</t>
  </si>
  <si>
    <t>Vicia ludoviciana</t>
  </si>
  <si>
    <t>VICVIL</t>
  </si>
  <si>
    <t>Vicia villosa</t>
  </si>
  <si>
    <t>VINMAJ</t>
  </si>
  <si>
    <t>Vinca major</t>
  </si>
  <si>
    <t>periwinkle</t>
  </si>
  <si>
    <t>VIOPED</t>
  </si>
  <si>
    <t>Viola pedunculata</t>
  </si>
  <si>
    <t>VIOPUR</t>
  </si>
  <si>
    <t>Viola purpurea</t>
  </si>
  <si>
    <t>VIOSPP</t>
  </si>
  <si>
    <t>Viola species</t>
  </si>
  <si>
    <t>VITGIR</t>
  </si>
  <si>
    <t>Vitis girdiana</t>
  </si>
  <si>
    <t>desert wild grape</t>
  </si>
  <si>
    <t>Vitacaeae</t>
  </si>
  <si>
    <t>VULMYU</t>
  </si>
  <si>
    <t>W</t>
  </si>
  <si>
    <t>Woody debris (coarse)</t>
  </si>
  <si>
    <t>WAT</t>
  </si>
  <si>
    <t>Water</t>
  </si>
  <si>
    <t>XANSTR</t>
  </si>
  <si>
    <t>Xanthium strumarium</t>
  </si>
  <si>
    <t>XYLBIC</t>
  </si>
  <si>
    <t>Xylococcus bicolor</t>
  </si>
  <si>
    <t>mission manzanita</t>
  </si>
  <si>
    <t>Ericaceae</t>
  </si>
  <si>
    <t>yellow hooded</t>
  </si>
  <si>
    <t>YUCSCH</t>
  </si>
  <si>
    <t>Yucca schidigera</t>
  </si>
  <si>
    <t>mojave yucca</t>
  </si>
  <si>
    <t>YUCWHI</t>
  </si>
  <si>
    <t>ZELVEN</t>
  </si>
  <si>
    <t>Zeltnera venusta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</si>
</sst>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\-d"/>
    <numFmt numFmtId="165" formatCode="m/d/yyyy"/>
    <numFmt numFmtId="166" formatCode="mm/dd/yyyy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  <font>
      <color theme="1"/>
      <name val="Arial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EAF1DD"/>
        <bgColor rgb="FFEAF1DD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164" xfId="0" applyAlignment="1" applyBorder="1" applyFill="1" applyFont="1" applyNumberFormat="1">
      <alignment horizontal="center" vertical="bottom"/>
    </xf>
    <xf borderId="1" fillId="3" fontId="2" numFmtId="49" xfId="0" applyAlignment="1" applyBorder="1" applyFill="1" applyFont="1" applyNumberFormat="1">
      <alignment horizontal="center" vertical="bottom"/>
    </xf>
    <xf borderId="1" fillId="3" fontId="3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4" numFmtId="166" xfId="0" applyAlignment="1" applyFont="1" applyNumberFormat="1">
      <alignment readingOrder="0"/>
    </xf>
    <xf borderId="0" fillId="0" fontId="4" numFmtId="164" xfId="0" applyFont="1" applyNumberFormat="1"/>
    <xf borderId="0" fillId="0" fontId="4" numFmtId="49" xfId="0" applyFont="1" applyNumberFormat="1"/>
    <xf borderId="0" fillId="0" fontId="4" numFmtId="165" xfId="0" applyFont="1" applyNumberFormat="1"/>
    <xf borderId="0" fillId="0" fontId="4" numFmtId="166" xfId="0" applyFont="1" applyNumberFormat="1"/>
    <xf borderId="0" fillId="0" fontId="1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vertical="top"/>
    </xf>
    <xf borderId="0" fillId="0" fontId="6" numFmtId="0" xfId="0" applyAlignment="1" applyFont="1">
      <alignment vertical="top"/>
    </xf>
    <xf borderId="1" fillId="4" fontId="6" numFmtId="0" xfId="0" applyAlignment="1" applyBorder="1" applyFill="1" applyFont="1">
      <alignment shrinkToFit="0" vertical="top" wrapText="1"/>
    </xf>
    <xf borderId="1" fillId="4" fontId="6" numFmtId="0" xfId="0" applyAlignment="1" applyBorder="1" applyFill="1" applyFont="1">
      <alignment vertical="top"/>
    </xf>
    <xf borderId="1" fillId="4" fontId="7" numFmtId="0" xfId="0" applyAlignment="1" applyBorder="1" applyFill="1" applyFont="1">
      <alignment vertical="top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1" fillId="4" fontId="6" numFmtId="0" xfId="0" applyAlignment="1" applyBorder="1" applyFill="1" applyFont="1">
      <alignment vertical="bottom"/>
    </xf>
    <xf borderId="1" fillId="4" fontId="7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shrinkToFit="0" vertical="bottom" wrapText="1"/>
    </xf>
    <xf borderId="0" fillId="0" fontId="7" numFmtId="0" xfId="0" applyAlignment="1" applyFont="1">
      <alignment vertical="bottom"/>
    </xf>
    <xf borderId="1" fillId="4" fontId="6" numFmtId="0" xfId="0" applyAlignment="1" applyBorder="1" applyFill="1" applyFont="1">
      <alignment readingOrder="0" shrinkToFit="0" vertical="top" wrapText="1"/>
    </xf>
    <xf borderId="1" fillId="4" fontId="6" numFmtId="0" xfId="0" applyAlignment="1" applyBorder="1" applyFill="1" applyFont="1">
      <alignment readingOrder="0" vertical="top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vertical="top"/>
    </xf>
    <xf borderId="1" fillId="0" fontId="6" numFmtId="0" xfId="0" applyAlignment="1" applyBorder="1" applyFont="1">
      <alignment vertical="bottom"/>
    </xf>
    <xf borderId="2" fillId="4" fontId="6" numFmtId="0" xfId="0" applyAlignment="1" applyBorder="1" applyFill="1" applyFont="1">
      <alignment shrinkToFit="0" vertical="top" wrapText="1"/>
    </xf>
    <xf borderId="0" fillId="4" fontId="6" numFmtId="0" xfId="0" applyAlignment="1" applyFill="1" applyFont="1">
      <alignment shrinkToFit="0" vertical="top" wrapText="1"/>
    </xf>
    <xf borderId="0" fillId="4" fontId="6" numFmtId="0" xfId="0" applyAlignment="1" applyFill="1" applyFont="1">
      <alignment vertical="top"/>
    </xf>
    <xf borderId="1" fillId="0" fontId="6" numFmtId="0" xfId="0" applyAlignment="1" applyBorder="1" applyFont="1">
      <alignment vertical="top"/>
    </xf>
    <xf borderId="1" fillId="5" fontId="6" numFmtId="0" xfId="0" applyAlignment="1" applyBorder="1" applyFill="1" applyFont="1">
      <alignment shrinkToFit="0" vertical="top" wrapText="1"/>
    </xf>
    <xf borderId="1" fillId="5" fontId="6" numFmtId="0" xfId="0" applyAlignment="1" applyBorder="1" applyFill="1" applyFont="1">
      <alignment vertical="top"/>
    </xf>
    <xf borderId="2" fillId="5" fontId="6" numFmtId="0" xfId="0" applyAlignment="1" applyBorder="1" applyFill="1" applyFont="1">
      <alignment shrinkToFit="0" vertical="top" wrapText="1"/>
    </xf>
    <xf borderId="1" fillId="5" fontId="6" numFmtId="0" xfId="0" applyAlignment="1" applyBorder="1" applyFill="1" applyFont="1">
      <alignment shrinkToFit="0" vertical="bottom" wrapText="1"/>
    </xf>
    <xf borderId="1" fillId="5" fontId="6" numFmtId="0" xfId="0" applyAlignment="1" applyBorder="1" applyFill="1" applyFont="1">
      <alignment vertical="bottom"/>
    </xf>
    <xf borderId="0" fillId="5" fontId="6" numFmtId="0" xfId="0" applyAlignment="1" applyFill="1" applyFont="1">
      <alignment shrinkToFit="0" vertical="top" wrapText="1"/>
    </xf>
    <xf borderId="0" fillId="5" fontId="6" numFmtId="0" xfId="0" applyAlignment="1" applyFill="1" applyFont="1">
      <alignment vertical="top"/>
    </xf>
    <xf borderId="1" fillId="5" fontId="7" numFmtId="0" xfId="0" applyAlignment="1" applyBorder="1" applyFill="1" applyFont="1">
      <alignment vertical="top"/>
    </xf>
    <xf borderId="0" fillId="5" fontId="6" numFmtId="0" xfId="0" applyAlignment="1" applyFill="1" applyFont="1">
      <alignment vertical="bottom"/>
    </xf>
    <xf borderId="0" fillId="4" fontId="7" numFmtId="0" xfId="0" applyAlignment="1" applyFill="1" applyFont="1">
      <alignment vertical="top"/>
    </xf>
    <xf borderId="1" fillId="6" fontId="6" numFmtId="0" xfId="0" applyAlignment="1" applyBorder="1" applyFill="1" applyFont="1">
      <alignment shrinkToFit="0" vertical="top" wrapText="1"/>
    </xf>
    <xf borderId="1" fillId="6" fontId="6" numFmtId="0" xfId="0" applyAlignment="1" applyBorder="1" applyFill="1" applyFont="1">
      <alignment vertical="top"/>
    </xf>
    <xf borderId="1" fillId="6" fontId="7" numFmtId="0" xfId="0" applyAlignment="1" applyBorder="1" applyFill="1" applyFont="1">
      <alignment vertical="top"/>
    </xf>
    <xf borderId="0" fillId="4" fontId="6" numFmtId="0" xfId="0" applyAlignment="1" applyFill="1" applyFont="1">
      <alignment shrinkToFit="0" vertical="bottom" wrapText="1"/>
    </xf>
    <xf borderId="0" fillId="4" fontId="6" numFmtId="0" xfId="0" applyAlignment="1" applyFill="1" applyFont="1">
      <alignment vertical="bottom"/>
    </xf>
    <xf borderId="1" fillId="0" fontId="6" numFmtId="0" xfId="0" applyAlignment="1" applyBorder="1" applyFont="1">
      <alignment shrinkToFit="0" vertical="bottom" wrapText="1"/>
    </xf>
    <xf borderId="0" fillId="4" fontId="7" numFmtId="0" xfId="0" applyAlignment="1" applyFill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2" max="12" width="22.25"/>
    <col customWidth="1" min="13" max="13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>
      <c r="A2" s="3" t="s">
        <v>14</v>
      </c>
      <c r="B2" s="3">
        <v>2025.0</v>
      </c>
      <c r="C2" s="3" t="s">
        <v>15</v>
      </c>
      <c r="D2" s="3" t="s">
        <v>16</v>
      </c>
      <c r="E2" s="3" t="s">
        <v>17</v>
      </c>
      <c r="F2" s="4">
        <v>43469.0</v>
      </c>
      <c r="G2" s="3" t="s">
        <v>18</v>
      </c>
      <c r="H2" s="3" t="s">
        <v>19</v>
      </c>
      <c r="I2" s="5" t="s">
        <v>20</v>
      </c>
      <c r="J2" s="3" t="s">
        <v>21</v>
      </c>
      <c r="K2" s="3" t="s">
        <v>22</v>
      </c>
      <c r="L2" s="6" t="s">
        <v>23</v>
      </c>
      <c r="M2" s="3"/>
      <c r="N2" s="3" t="s">
        <v>24</v>
      </c>
    </row>
    <row r="3">
      <c r="A3" s="7">
        <v>1.0</v>
      </c>
      <c r="B3" s="7">
        <v>2025.0</v>
      </c>
      <c r="C3" s="8">
        <v>45764.0</v>
      </c>
      <c r="D3" s="7" t="s">
        <v>25</v>
      </c>
      <c r="E3" s="7" t="s">
        <v>26</v>
      </c>
      <c r="F3" s="7">
        <v>1.0</v>
      </c>
      <c r="G3" s="7" t="s">
        <v>27</v>
      </c>
      <c r="H3" s="7">
        <v>1.0</v>
      </c>
      <c r="I3" s="7">
        <v>1.0</v>
      </c>
      <c r="J3" s="7">
        <v>0.0</v>
      </c>
      <c r="K3" s="7" t="s">
        <v>28</v>
      </c>
      <c r="L3" s="9" t="str">
        <f>VLOOKUP(K3, 'Alphabetical by species code'!A:B, 2, FALSE)</f>
        <v>Litter</v>
      </c>
      <c r="M3" s="9" t="str">
        <f>VLOOKUP(L3, 'Alphabetical by species code'!B:C, 2, FALSE)</f>
        <v>Ground Cover</v>
      </c>
    </row>
    <row r="4">
      <c r="A4" s="7">
        <v>1.0</v>
      </c>
      <c r="B4" s="7">
        <v>2025.0</v>
      </c>
      <c r="C4" s="8">
        <v>45764.0</v>
      </c>
      <c r="D4" s="7" t="s">
        <v>25</v>
      </c>
      <c r="E4" s="7" t="s">
        <v>26</v>
      </c>
      <c r="F4" s="7">
        <v>1.0</v>
      </c>
      <c r="G4" s="7" t="s">
        <v>27</v>
      </c>
      <c r="H4" s="7">
        <v>1.0</v>
      </c>
      <c r="I4" s="7">
        <v>1.0</v>
      </c>
      <c r="J4" s="7">
        <v>0.0</v>
      </c>
      <c r="K4" s="7" t="s">
        <v>29</v>
      </c>
      <c r="L4" s="9" t="str">
        <f>VLOOKUP(K4, 'Alphabetical by species code'!A:B, 2, FALSE)</f>
        <v>Opuntia littoralis</v>
      </c>
      <c r="M4" s="9" t="str">
        <f>VLOOKUP(L4, 'Alphabetical by species code'!B:C, 2, FALSE)</f>
        <v>Native</v>
      </c>
      <c r="N4" s="9" t="str">
        <f>VLOOKUP(L4, 'Alphabetical by species code'!B:C, 2, FALSE)</f>
        <v>Native</v>
      </c>
    </row>
    <row r="5">
      <c r="A5" s="7">
        <v>1.0</v>
      </c>
      <c r="B5" s="7">
        <v>2025.0</v>
      </c>
      <c r="C5" s="8">
        <v>45764.0</v>
      </c>
      <c r="D5" s="7" t="s">
        <v>25</v>
      </c>
      <c r="E5" s="7" t="s">
        <v>26</v>
      </c>
      <c r="F5" s="7">
        <v>1.0</v>
      </c>
      <c r="G5" s="7" t="s">
        <v>27</v>
      </c>
      <c r="H5" s="7">
        <v>1.0</v>
      </c>
      <c r="I5" s="7">
        <v>1.0</v>
      </c>
      <c r="J5" s="7">
        <v>0.0</v>
      </c>
      <c r="K5" s="7" t="s">
        <v>30</v>
      </c>
      <c r="L5" s="9" t="str">
        <f>VLOOKUP(K5, 'Alphabetical by species code'!A:B, 2, FALSE)</f>
        <v>Erodium moschatum</v>
      </c>
      <c r="M5" s="9" t="str">
        <f>VLOOKUP(L5, 'Alphabetical by species code'!B:C, 2, FALSE)</f>
        <v>Non-Native</v>
      </c>
    </row>
    <row r="6">
      <c r="A6" s="7">
        <v>1.0</v>
      </c>
      <c r="B6" s="7">
        <v>2025.0</v>
      </c>
      <c r="C6" s="8">
        <v>45764.0</v>
      </c>
      <c r="D6" s="7" t="s">
        <v>25</v>
      </c>
      <c r="E6" s="7" t="s">
        <v>26</v>
      </c>
      <c r="F6" s="7">
        <v>1.0</v>
      </c>
      <c r="G6" s="7" t="s">
        <v>27</v>
      </c>
      <c r="H6" s="7">
        <v>1.0</v>
      </c>
      <c r="I6" s="7">
        <v>1.0</v>
      </c>
      <c r="J6" s="7">
        <v>0.0</v>
      </c>
      <c r="K6" s="7" t="s">
        <v>31</v>
      </c>
      <c r="L6" s="9" t="str">
        <f>VLOOKUP(K6, 'Alphabetical by species code'!A:B, 2, FALSE)</f>
        <v>Festuca myuros</v>
      </c>
      <c r="M6" s="9" t="str">
        <f>VLOOKUP(L6, 'Alphabetical by species code'!B:C, 2, FALSE)</f>
        <v>Non-Native</v>
      </c>
    </row>
    <row r="7">
      <c r="A7" s="7">
        <v>1.0</v>
      </c>
      <c r="B7" s="7">
        <v>2025.0</v>
      </c>
      <c r="C7" s="8">
        <v>45764.0</v>
      </c>
      <c r="D7" s="7" t="s">
        <v>25</v>
      </c>
      <c r="E7" s="7" t="s">
        <v>26</v>
      </c>
      <c r="F7" s="7">
        <v>1.0</v>
      </c>
      <c r="G7" s="7" t="s">
        <v>27</v>
      </c>
      <c r="H7" s="7">
        <v>1.0</v>
      </c>
      <c r="I7" s="7">
        <v>2.0</v>
      </c>
      <c r="J7" s="7">
        <v>0.5</v>
      </c>
      <c r="K7" s="7" t="s">
        <v>28</v>
      </c>
      <c r="L7" s="9" t="str">
        <f>VLOOKUP(K7, 'Alphabetical by species code'!A:B, 2, FALSE)</f>
        <v>Litter</v>
      </c>
      <c r="M7" s="9" t="str">
        <f>VLOOKUP(L7, 'Alphabetical by species code'!B:C, 2, FALSE)</f>
        <v>Ground Cover</v>
      </c>
    </row>
    <row r="8">
      <c r="A8" s="7">
        <v>1.0</v>
      </c>
      <c r="B8" s="7">
        <v>2025.0</v>
      </c>
      <c r="C8" s="8">
        <v>45764.0</v>
      </c>
      <c r="D8" s="7" t="s">
        <v>25</v>
      </c>
      <c r="E8" s="7" t="s">
        <v>26</v>
      </c>
      <c r="F8" s="7">
        <v>1.0</v>
      </c>
      <c r="G8" s="7" t="s">
        <v>27</v>
      </c>
      <c r="H8" s="7">
        <v>1.0</v>
      </c>
      <c r="I8" s="7">
        <v>2.0</v>
      </c>
      <c r="J8" s="7">
        <v>0.5</v>
      </c>
      <c r="K8" s="7" t="s">
        <v>32</v>
      </c>
      <c r="L8" s="9" t="str">
        <f>VLOOKUP(K8, 'Alphabetical by species code'!A:B, 2, FALSE)</f>
        <v>Medicago polymorpha</v>
      </c>
      <c r="M8" s="9" t="str">
        <f>VLOOKUP(L8, 'Alphabetical by species code'!B:C, 2, FALSE)</f>
        <v>Non-Native</v>
      </c>
    </row>
    <row r="9">
      <c r="A9" s="7">
        <v>1.0</v>
      </c>
      <c r="B9" s="7">
        <v>2025.0</v>
      </c>
      <c r="C9" s="8">
        <v>45764.0</v>
      </c>
      <c r="D9" s="7" t="s">
        <v>25</v>
      </c>
      <c r="E9" s="7" t="s">
        <v>26</v>
      </c>
      <c r="F9" s="7">
        <v>1.0</v>
      </c>
      <c r="G9" s="7" t="s">
        <v>27</v>
      </c>
      <c r="H9" s="7">
        <v>1.0</v>
      </c>
      <c r="I9" s="7">
        <v>2.0</v>
      </c>
      <c r="J9" s="7">
        <v>0.5</v>
      </c>
      <c r="K9" s="7" t="s">
        <v>29</v>
      </c>
      <c r="L9" s="9" t="str">
        <f>VLOOKUP(K9, 'Alphabetical by species code'!A:B, 2, FALSE)</f>
        <v>Opuntia littoralis</v>
      </c>
      <c r="M9" s="9" t="str">
        <f>VLOOKUP(L9, 'Alphabetical by species code'!B:C, 2, FALSE)</f>
        <v>Native</v>
      </c>
    </row>
    <row r="10">
      <c r="A10" s="7">
        <v>1.0</v>
      </c>
      <c r="B10" s="7">
        <v>2025.0</v>
      </c>
      <c r="C10" s="8">
        <v>45764.0</v>
      </c>
      <c r="D10" s="7" t="s">
        <v>25</v>
      </c>
      <c r="E10" s="7" t="s">
        <v>26</v>
      </c>
      <c r="F10" s="7">
        <v>1.0</v>
      </c>
      <c r="G10" s="7" t="s">
        <v>27</v>
      </c>
      <c r="H10" s="7">
        <v>1.0</v>
      </c>
      <c r="I10" s="7">
        <v>2.0</v>
      </c>
      <c r="J10" s="7">
        <v>0.5</v>
      </c>
      <c r="K10" s="7" t="s">
        <v>33</v>
      </c>
      <c r="L10" s="9" t="str">
        <f>VLOOKUP(K10, 'Alphabetical by species code'!A:B, 2, FALSE)</f>
        <v>Unknown non-native grass</v>
      </c>
      <c r="M10" s="9" t="str">
        <f>VLOOKUP(L10, 'Alphabetical by species code'!B:C, 2, FALSE)</f>
        <v/>
      </c>
    </row>
    <row r="11">
      <c r="A11" s="7">
        <v>1.0</v>
      </c>
      <c r="B11" s="7">
        <v>2025.0</v>
      </c>
      <c r="C11" s="8">
        <v>45764.0</v>
      </c>
      <c r="D11" s="7" t="s">
        <v>25</v>
      </c>
      <c r="E11" s="7" t="s">
        <v>26</v>
      </c>
      <c r="F11" s="7">
        <v>1.0</v>
      </c>
      <c r="G11" s="7" t="s">
        <v>27</v>
      </c>
      <c r="H11" s="7">
        <v>1.0</v>
      </c>
      <c r="I11" s="7">
        <v>3.0</v>
      </c>
      <c r="J11" s="7">
        <v>1.0</v>
      </c>
      <c r="K11" s="7" t="s">
        <v>28</v>
      </c>
      <c r="L11" s="9" t="str">
        <f>VLOOKUP(K11, 'Alphabetical by species code'!A:B, 2, FALSE)</f>
        <v>Litter</v>
      </c>
      <c r="M11" s="9" t="str">
        <f>VLOOKUP(L11, 'Alphabetical by species code'!B:C, 2, FALSE)</f>
        <v>Ground Cover</v>
      </c>
    </row>
    <row r="12">
      <c r="A12" s="7">
        <v>1.0</v>
      </c>
      <c r="B12" s="7">
        <v>2025.0</v>
      </c>
      <c r="C12" s="8">
        <v>45764.0</v>
      </c>
      <c r="D12" s="7" t="s">
        <v>25</v>
      </c>
      <c r="E12" s="7" t="s">
        <v>26</v>
      </c>
      <c r="F12" s="7">
        <v>1.0</v>
      </c>
      <c r="G12" s="7" t="s">
        <v>27</v>
      </c>
      <c r="H12" s="7">
        <v>1.0</v>
      </c>
      <c r="I12" s="7">
        <v>3.0</v>
      </c>
      <c r="J12" s="7">
        <v>1.0</v>
      </c>
      <c r="K12" s="7" t="s">
        <v>32</v>
      </c>
      <c r="L12" s="9" t="str">
        <f>VLOOKUP(K12, 'Alphabetical by species code'!A:B, 2, FALSE)</f>
        <v>Medicago polymorpha</v>
      </c>
      <c r="M12" s="9" t="str">
        <f>VLOOKUP(L12, 'Alphabetical by species code'!B:C, 2, FALSE)</f>
        <v>Non-Native</v>
      </c>
    </row>
    <row r="13">
      <c r="A13" s="7">
        <v>1.0</v>
      </c>
      <c r="B13" s="7">
        <v>2025.0</v>
      </c>
      <c r="C13" s="8">
        <v>45764.0</v>
      </c>
      <c r="D13" s="7" t="s">
        <v>25</v>
      </c>
      <c r="E13" s="7" t="s">
        <v>26</v>
      </c>
      <c r="F13" s="7">
        <v>1.0</v>
      </c>
      <c r="G13" s="7" t="s">
        <v>27</v>
      </c>
      <c r="H13" s="7">
        <v>1.0</v>
      </c>
      <c r="I13" s="7">
        <v>3.0</v>
      </c>
      <c r="J13" s="7">
        <v>1.0</v>
      </c>
      <c r="K13" s="7" t="s">
        <v>31</v>
      </c>
      <c r="L13" s="9" t="str">
        <f>VLOOKUP(K13, 'Alphabetical by species code'!A:B, 2, FALSE)</f>
        <v>Festuca myuros</v>
      </c>
      <c r="M13" s="9" t="str">
        <f>VLOOKUP(L13, 'Alphabetical by species code'!B:C, 2, FALSE)</f>
        <v>Non-Native</v>
      </c>
    </row>
    <row r="14">
      <c r="A14" s="7">
        <v>1.0</v>
      </c>
      <c r="B14" s="7">
        <v>2025.0</v>
      </c>
      <c r="C14" s="8">
        <v>45764.0</v>
      </c>
      <c r="D14" s="7" t="s">
        <v>25</v>
      </c>
      <c r="E14" s="7" t="s">
        <v>26</v>
      </c>
      <c r="F14" s="7">
        <v>1.0</v>
      </c>
      <c r="G14" s="7" t="s">
        <v>27</v>
      </c>
      <c r="H14" s="7">
        <v>1.0</v>
      </c>
      <c r="I14" s="7">
        <v>3.0</v>
      </c>
      <c r="J14" s="7">
        <v>1.0</v>
      </c>
      <c r="K14" s="7" t="s">
        <v>34</v>
      </c>
      <c r="L14" s="9" t="str">
        <f>VLOOKUP(K14, 'Alphabetical by species code'!A:B, 2, FALSE)</f>
        <v>Erodium cicutarium</v>
      </c>
      <c r="M14" s="9" t="str">
        <f>VLOOKUP(L14, 'Alphabetical by species code'!B:C, 2, FALSE)</f>
        <v>Non-Native</v>
      </c>
    </row>
    <row r="15">
      <c r="A15" s="7">
        <v>1.0</v>
      </c>
      <c r="B15" s="7">
        <v>2025.0</v>
      </c>
      <c r="C15" s="8">
        <v>45764.0</v>
      </c>
      <c r="D15" s="7" t="s">
        <v>25</v>
      </c>
      <c r="E15" s="7" t="s">
        <v>26</v>
      </c>
      <c r="F15" s="7">
        <v>1.0</v>
      </c>
      <c r="G15" s="7" t="s">
        <v>27</v>
      </c>
      <c r="H15" s="7">
        <v>1.0</v>
      </c>
      <c r="I15" s="7">
        <v>4.0</v>
      </c>
      <c r="J15" s="7">
        <v>1.5</v>
      </c>
      <c r="K15" s="7" t="s">
        <v>28</v>
      </c>
      <c r="L15" s="9" t="str">
        <f>VLOOKUP(K15, 'Alphabetical by species code'!A:B, 2, FALSE)</f>
        <v>Litter</v>
      </c>
      <c r="M15" s="9" t="str">
        <f>VLOOKUP(L15, 'Alphabetical by species code'!B:C, 2, FALSE)</f>
        <v>Ground Cover</v>
      </c>
    </row>
    <row r="16">
      <c r="A16" s="7">
        <v>1.0</v>
      </c>
      <c r="B16" s="7">
        <v>2025.0</v>
      </c>
      <c r="C16" s="8">
        <v>45764.0</v>
      </c>
      <c r="D16" s="7" t="s">
        <v>25</v>
      </c>
      <c r="E16" s="7" t="s">
        <v>26</v>
      </c>
      <c r="F16" s="7">
        <v>1.0</v>
      </c>
      <c r="G16" s="7" t="s">
        <v>27</v>
      </c>
      <c r="H16" s="7">
        <v>1.0</v>
      </c>
      <c r="I16" s="7">
        <v>4.0</v>
      </c>
      <c r="J16" s="7">
        <v>1.5</v>
      </c>
      <c r="K16" s="7" t="s">
        <v>29</v>
      </c>
      <c r="L16" s="9" t="str">
        <f>VLOOKUP(K16, 'Alphabetical by species code'!A:B, 2, FALSE)</f>
        <v>Opuntia littoralis</v>
      </c>
      <c r="M16" s="9" t="str">
        <f>VLOOKUP(L16, 'Alphabetical by species code'!B:C, 2, FALSE)</f>
        <v>Native</v>
      </c>
    </row>
    <row r="17">
      <c r="A17" s="7">
        <v>1.0</v>
      </c>
      <c r="B17" s="7">
        <v>2025.0</v>
      </c>
      <c r="C17" s="8">
        <v>45764.0</v>
      </c>
      <c r="D17" s="7" t="s">
        <v>25</v>
      </c>
      <c r="E17" s="7" t="s">
        <v>26</v>
      </c>
      <c r="F17" s="7">
        <v>1.0</v>
      </c>
      <c r="G17" s="7" t="s">
        <v>27</v>
      </c>
      <c r="H17" s="7">
        <v>1.0</v>
      </c>
      <c r="I17" s="7">
        <v>4.0</v>
      </c>
      <c r="J17" s="7">
        <v>1.5</v>
      </c>
      <c r="K17" s="7" t="s">
        <v>32</v>
      </c>
      <c r="L17" s="9" t="str">
        <f>VLOOKUP(K17, 'Alphabetical by species code'!A:B, 2, FALSE)</f>
        <v>Medicago polymorpha</v>
      </c>
      <c r="M17" s="9" t="str">
        <f>VLOOKUP(L17, 'Alphabetical by species code'!B:C, 2, FALSE)</f>
        <v>Non-Native</v>
      </c>
    </row>
    <row r="18">
      <c r="A18" s="7">
        <v>1.0</v>
      </c>
      <c r="B18" s="7">
        <v>2025.0</v>
      </c>
      <c r="C18" s="8">
        <v>45764.0</v>
      </c>
      <c r="D18" s="7" t="s">
        <v>25</v>
      </c>
      <c r="E18" s="7" t="s">
        <v>26</v>
      </c>
      <c r="F18" s="7">
        <v>1.0</v>
      </c>
      <c r="G18" s="7" t="s">
        <v>27</v>
      </c>
      <c r="H18" s="7">
        <v>1.0</v>
      </c>
      <c r="I18" s="7">
        <v>4.0</v>
      </c>
      <c r="J18" s="7">
        <v>1.5</v>
      </c>
      <c r="K18" s="7" t="s">
        <v>35</v>
      </c>
      <c r="L18" s="9" t="str">
        <f>VLOOKUP(K18, 'Alphabetical by species code'!A:B, 2, FALSE)</f>
        <v>Deinandra fasciculata</v>
      </c>
      <c r="M18" s="9" t="str">
        <f>VLOOKUP(L18, 'Alphabetical by species code'!B:C, 2, FALSE)</f>
        <v>Native</v>
      </c>
    </row>
    <row r="19">
      <c r="A19" s="7">
        <v>1.0</v>
      </c>
      <c r="B19" s="7">
        <v>2025.0</v>
      </c>
      <c r="C19" s="8">
        <v>45764.0</v>
      </c>
      <c r="D19" s="7" t="s">
        <v>25</v>
      </c>
      <c r="E19" s="7" t="s">
        <v>26</v>
      </c>
      <c r="F19" s="7">
        <v>1.0</v>
      </c>
      <c r="G19" s="7" t="s">
        <v>27</v>
      </c>
      <c r="H19" s="7">
        <v>1.0</v>
      </c>
      <c r="I19" s="7">
        <v>5.0</v>
      </c>
      <c r="J19" s="7">
        <v>2.0</v>
      </c>
      <c r="K19" s="7" t="s">
        <v>28</v>
      </c>
      <c r="L19" s="9" t="str">
        <f>VLOOKUP(K19, 'Alphabetical by species code'!A:B, 2, FALSE)</f>
        <v>Litter</v>
      </c>
      <c r="M19" s="9" t="str">
        <f>VLOOKUP(L19, 'Alphabetical by species code'!B:C, 2, FALSE)</f>
        <v>Ground Cover</v>
      </c>
    </row>
    <row r="20">
      <c r="A20" s="7">
        <v>1.0</v>
      </c>
      <c r="B20" s="7">
        <v>2025.0</v>
      </c>
      <c r="C20" s="8">
        <v>45764.0</v>
      </c>
      <c r="D20" s="7" t="s">
        <v>25</v>
      </c>
      <c r="E20" s="7" t="s">
        <v>26</v>
      </c>
      <c r="F20" s="7">
        <v>1.0</v>
      </c>
      <c r="G20" s="7" t="s">
        <v>27</v>
      </c>
      <c r="H20" s="7">
        <v>1.0</v>
      </c>
      <c r="I20" s="7">
        <v>5.0</v>
      </c>
      <c r="J20" s="7">
        <v>2.0</v>
      </c>
      <c r="K20" s="7" t="s">
        <v>29</v>
      </c>
      <c r="L20" s="9" t="str">
        <f>VLOOKUP(K20, 'Alphabetical by species code'!A:B, 2, FALSE)</f>
        <v>Opuntia littoralis</v>
      </c>
      <c r="M20" s="9" t="str">
        <f>VLOOKUP(L20, 'Alphabetical by species code'!B:C, 2, FALSE)</f>
        <v>Native</v>
      </c>
    </row>
    <row r="21">
      <c r="A21" s="7">
        <v>1.0</v>
      </c>
      <c r="B21" s="7">
        <v>2025.0</v>
      </c>
      <c r="C21" s="8">
        <v>45764.0</v>
      </c>
      <c r="D21" s="7" t="s">
        <v>25</v>
      </c>
      <c r="E21" s="7" t="s">
        <v>26</v>
      </c>
      <c r="F21" s="7">
        <v>1.0</v>
      </c>
      <c r="G21" s="7" t="s">
        <v>27</v>
      </c>
      <c r="H21" s="7">
        <v>1.0</v>
      </c>
      <c r="I21" s="7">
        <v>5.0</v>
      </c>
      <c r="J21" s="7">
        <v>2.0</v>
      </c>
      <c r="K21" s="7" t="s">
        <v>36</v>
      </c>
      <c r="L21" s="9" t="str">
        <f>VLOOKUP(K21, 'Alphabetical by species code'!A:B, 2, FALSE)</f>
        <v>Bromus madritensis</v>
      </c>
      <c r="M21" s="9" t="str">
        <f>VLOOKUP(L21, 'Alphabetical by species code'!B:C, 2, FALSE)</f>
        <v>Non-Native</v>
      </c>
    </row>
    <row r="22">
      <c r="A22" s="7">
        <v>1.0</v>
      </c>
      <c r="B22" s="7">
        <v>2025.0</v>
      </c>
      <c r="C22" s="8">
        <v>45764.0</v>
      </c>
      <c r="D22" s="7" t="s">
        <v>25</v>
      </c>
      <c r="E22" s="7" t="s">
        <v>26</v>
      </c>
      <c r="F22" s="7">
        <v>1.0</v>
      </c>
      <c r="G22" s="7" t="s">
        <v>27</v>
      </c>
      <c r="H22" s="7">
        <v>1.0</v>
      </c>
      <c r="I22" s="7">
        <v>5.0</v>
      </c>
      <c r="J22" s="7">
        <v>2.0</v>
      </c>
      <c r="K22" s="7" t="s">
        <v>30</v>
      </c>
      <c r="L22" s="9" t="str">
        <f>VLOOKUP(K22, 'Alphabetical by species code'!A:B, 2, FALSE)</f>
        <v>Erodium moschatum</v>
      </c>
      <c r="M22" s="9" t="str">
        <f>VLOOKUP(L22, 'Alphabetical by species code'!B:C, 2, FALSE)</f>
        <v>Non-Native</v>
      </c>
    </row>
    <row r="23">
      <c r="A23" s="7">
        <v>1.0</v>
      </c>
      <c r="B23" s="7">
        <v>2025.0</v>
      </c>
      <c r="C23" s="8">
        <v>45764.0</v>
      </c>
      <c r="D23" s="7" t="s">
        <v>25</v>
      </c>
      <c r="E23" s="7" t="s">
        <v>26</v>
      </c>
      <c r="F23" s="7">
        <v>1.0</v>
      </c>
      <c r="G23" s="7" t="s">
        <v>27</v>
      </c>
      <c r="H23" s="7">
        <v>1.0</v>
      </c>
      <c r="I23" s="7">
        <v>6.0</v>
      </c>
      <c r="J23" s="7">
        <v>2.5</v>
      </c>
      <c r="K23" s="7" t="s">
        <v>28</v>
      </c>
      <c r="L23" s="9" t="str">
        <f>VLOOKUP(K23, 'Alphabetical by species code'!A:B, 2, FALSE)</f>
        <v>Litter</v>
      </c>
      <c r="M23" s="9" t="str">
        <f>VLOOKUP(L23, 'Alphabetical by species code'!B:C, 2, FALSE)</f>
        <v>Ground Cover</v>
      </c>
    </row>
    <row r="24">
      <c r="A24" s="7">
        <v>1.0</v>
      </c>
      <c r="B24" s="7">
        <v>2025.0</v>
      </c>
      <c r="C24" s="8">
        <v>45764.0</v>
      </c>
      <c r="D24" s="7" t="s">
        <v>25</v>
      </c>
      <c r="E24" s="7" t="s">
        <v>26</v>
      </c>
      <c r="F24" s="7">
        <v>1.0</v>
      </c>
      <c r="G24" s="7" t="s">
        <v>27</v>
      </c>
      <c r="H24" s="7">
        <v>1.0</v>
      </c>
      <c r="I24" s="7">
        <v>6.0</v>
      </c>
      <c r="J24" s="7">
        <v>2.5</v>
      </c>
      <c r="K24" s="7" t="s">
        <v>37</v>
      </c>
      <c r="L24" s="9" t="str">
        <f>VLOOKUP(K24, 'Alphabetical by species code'!A:B, 2, FALSE)</f>
        <v>Sonchus oleraceus</v>
      </c>
      <c r="M24" s="9" t="str">
        <f>VLOOKUP(L24, 'Alphabetical by species code'!B:C, 2, FALSE)</f>
        <v>Non-Native</v>
      </c>
    </row>
    <row r="25">
      <c r="A25" s="7">
        <v>1.0</v>
      </c>
      <c r="B25" s="7">
        <v>2025.0</v>
      </c>
      <c r="C25" s="8">
        <v>45764.0</v>
      </c>
      <c r="D25" s="7" t="s">
        <v>25</v>
      </c>
      <c r="E25" s="7" t="s">
        <v>26</v>
      </c>
      <c r="F25" s="7">
        <v>1.0</v>
      </c>
      <c r="G25" s="7" t="s">
        <v>27</v>
      </c>
      <c r="H25" s="7">
        <v>1.0</v>
      </c>
      <c r="I25" s="7">
        <v>6.0</v>
      </c>
      <c r="J25" s="7">
        <v>2.5</v>
      </c>
      <c r="K25" s="7" t="s">
        <v>31</v>
      </c>
      <c r="L25" s="9" t="str">
        <f>VLOOKUP(K25, 'Alphabetical by species code'!A:B, 2, FALSE)</f>
        <v>Festuca myuros</v>
      </c>
      <c r="M25" s="9" t="str">
        <f>VLOOKUP(L25, 'Alphabetical by species code'!B:C, 2, FALSE)</f>
        <v>Non-Native</v>
      </c>
    </row>
    <row r="26">
      <c r="A26" s="7">
        <v>1.0</v>
      </c>
      <c r="B26" s="7">
        <v>2025.0</v>
      </c>
      <c r="C26" s="8">
        <v>45764.0</v>
      </c>
      <c r="D26" s="7" t="s">
        <v>25</v>
      </c>
      <c r="E26" s="7" t="s">
        <v>26</v>
      </c>
      <c r="F26" s="7">
        <v>1.0</v>
      </c>
      <c r="G26" s="7" t="s">
        <v>27</v>
      </c>
      <c r="H26" s="7">
        <v>1.0</v>
      </c>
      <c r="I26" s="7">
        <v>7.0</v>
      </c>
      <c r="J26" s="7">
        <v>3.0</v>
      </c>
      <c r="K26" s="7" t="s">
        <v>38</v>
      </c>
      <c r="L26" s="9" t="str">
        <f>VLOOKUP(K26, 'Alphabetical by species code'!A:B, 2, FALSE)</f>
        <v>Thatch</v>
      </c>
      <c r="M26" s="9" t="str">
        <f>VLOOKUP(L26, 'Alphabetical by species code'!B:C, 2, FALSE)</f>
        <v>Ground Cover</v>
      </c>
    </row>
    <row r="27">
      <c r="A27" s="7">
        <v>1.0</v>
      </c>
      <c r="B27" s="7">
        <v>2025.0</v>
      </c>
      <c r="C27" s="8">
        <v>45764.0</v>
      </c>
      <c r="D27" s="7" t="s">
        <v>25</v>
      </c>
      <c r="E27" s="7" t="s">
        <v>26</v>
      </c>
      <c r="F27" s="7">
        <v>1.0</v>
      </c>
      <c r="G27" s="7" t="s">
        <v>27</v>
      </c>
      <c r="H27" s="7">
        <v>1.0</v>
      </c>
      <c r="I27" s="7">
        <v>7.0</v>
      </c>
      <c r="J27" s="7">
        <v>3.0</v>
      </c>
      <c r="K27" s="7" t="s">
        <v>31</v>
      </c>
      <c r="L27" s="9" t="str">
        <f>VLOOKUP(K27, 'Alphabetical by species code'!A:B, 2, FALSE)</f>
        <v>Festuca myuros</v>
      </c>
      <c r="M27" s="9" t="str">
        <f>VLOOKUP(L27, 'Alphabetical by species code'!B:C, 2, FALSE)</f>
        <v>Non-Native</v>
      </c>
    </row>
    <row r="28">
      <c r="A28" s="7">
        <v>1.0</v>
      </c>
      <c r="B28" s="7">
        <v>2025.0</v>
      </c>
      <c r="C28" s="8">
        <v>45764.0</v>
      </c>
      <c r="D28" s="7" t="s">
        <v>25</v>
      </c>
      <c r="E28" s="7" t="s">
        <v>26</v>
      </c>
      <c r="F28" s="7">
        <v>1.0</v>
      </c>
      <c r="G28" s="7" t="s">
        <v>27</v>
      </c>
      <c r="H28" s="7">
        <v>1.0</v>
      </c>
      <c r="I28" s="7">
        <v>8.0</v>
      </c>
      <c r="J28" s="7">
        <v>3.5</v>
      </c>
      <c r="K28" s="7" t="s">
        <v>38</v>
      </c>
      <c r="L28" s="9" t="str">
        <f>VLOOKUP(K28, 'Alphabetical by species code'!A:B, 2, FALSE)</f>
        <v>Thatch</v>
      </c>
      <c r="M28" s="9" t="str">
        <f>VLOOKUP(L28, 'Alphabetical by species code'!B:C, 2, FALSE)</f>
        <v>Ground Cover</v>
      </c>
    </row>
    <row r="29">
      <c r="A29" s="7">
        <v>1.0</v>
      </c>
      <c r="B29" s="7">
        <v>2025.0</v>
      </c>
      <c r="C29" s="8">
        <v>45764.0</v>
      </c>
      <c r="D29" s="7" t="s">
        <v>25</v>
      </c>
      <c r="E29" s="7" t="s">
        <v>26</v>
      </c>
      <c r="F29" s="7">
        <v>1.0</v>
      </c>
      <c r="G29" s="7" t="s">
        <v>27</v>
      </c>
      <c r="H29" s="7">
        <v>1.0</v>
      </c>
      <c r="I29" s="7">
        <v>8.0</v>
      </c>
      <c r="J29" s="7">
        <v>3.5</v>
      </c>
      <c r="K29" s="7" t="s">
        <v>30</v>
      </c>
      <c r="L29" s="9" t="str">
        <f>VLOOKUP(K29, 'Alphabetical by species code'!A:B, 2, FALSE)</f>
        <v>Erodium moschatum</v>
      </c>
      <c r="M29" s="9" t="str">
        <f>VLOOKUP(L29, 'Alphabetical by species code'!B:C, 2, FALSE)</f>
        <v>Non-Native</v>
      </c>
    </row>
    <row r="30">
      <c r="A30" s="7">
        <v>1.0</v>
      </c>
      <c r="B30" s="7">
        <v>2025.0</v>
      </c>
      <c r="C30" s="8">
        <v>45764.0</v>
      </c>
      <c r="D30" s="7" t="s">
        <v>25</v>
      </c>
      <c r="E30" s="7" t="s">
        <v>26</v>
      </c>
      <c r="F30" s="7">
        <v>1.0</v>
      </c>
      <c r="G30" s="7" t="s">
        <v>27</v>
      </c>
      <c r="H30" s="7">
        <v>1.0</v>
      </c>
      <c r="I30" s="7">
        <v>9.0</v>
      </c>
      <c r="J30" s="7">
        <v>4.0</v>
      </c>
      <c r="K30" s="7" t="s">
        <v>38</v>
      </c>
      <c r="L30" s="9" t="str">
        <f>VLOOKUP(K30, 'Alphabetical by species code'!A:B, 2, FALSE)</f>
        <v>Thatch</v>
      </c>
      <c r="M30" s="9" t="str">
        <f>VLOOKUP(L30, 'Alphabetical by species code'!B:C, 2, FALSE)</f>
        <v>Ground Cover</v>
      </c>
    </row>
    <row r="31">
      <c r="A31" s="7">
        <v>1.0</v>
      </c>
      <c r="B31" s="7">
        <v>2025.0</v>
      </c>
      <c r="C31" s="8">
        <v>45764.0</v>
      </c>
      <c r="D31" s="7" t="s">
        <v>25</v>
      </c>
      <c r="E31" s="7" t="s">
        <v>26</v>
      </c>
      <c r="F31" s="7">
        <v>1.0</v>
      </c>
      <c r="G31" s="7" t="s">
        <v>27</v>
      </c>
      <c r="H31" s="7">
        <v>1.0</v>
      </c>
      <c r="I31" s="7">
        <v>9.0</v>
      </c>
      <c r="J31" s="7">
        <v>4.0</v>
      </c>
      <c r="K31" s="7" t="s">
        <v>30</v>
      </c>
      <c r="L31" s="9" t="str">
        <f>VLOOKUP(K31, 'Alphabetical by species code'!A:B, 2, FALSE)</f>
        <v>Erodium moschatum</v>
      </c>
      <c r="M31" s="9" t="str">
        <f>VLOOKUP(L31, 'Alphabetical by species code'!B:C, 2, FALSE)</f>
        <v>Non-Native</v>
      </c>
    </row>
    <row r="32">
      <c r="A32" s="7">
        <v>1.0</v>
      </c>
      <c r="B32" s="7">
        <v>2025.0</v>
      </c>
      <c r="C32" s="8">
        <v>45764.0</v>
      </c>
      <c r="D32" s="7" t="s">
        <v>25</v>
      </c>
      <c r="E32" s="7" t="s">
        <v>26</v>
      </c>
      <c r="F32" s="7">
        <v>1.0</v>
      </c>
      <c r="G32" s="7" t="s">
        <v>27</v>
      </c>
      <c r="H32" s="7">
        <v>1.0</v>
      </c>
      <c r="I32" s="7">
        <v>9.0</v>
      </c>
      <c r="J32" s="7">
        <v>4.0</v>
      </c>
      <c r="K32" s="7" t="s">
        <v>37</v>
      </c>
      <c r="L32" s="9" t="str">
        <f>VLOOKUP(K32, 'Alphabetical by species code'!A:B, 2, FALSE)</f>
        <v>Sonchus oleraceus</v>
      </c>
      <c r="M32" s="9" t="str">
        <f>VLOOKUP(L32, 'Alphabetical by species code'!B:C, 2, FALSE)</f>
        <v>Non-Native</v>
      </c>
    </row>
    <row r="33">
      <c r="A33" s="7">
        <v>1.0</v>
      </c>
      <c r="B33" s="7">
        <v>2025.0</v>
      </c>
      <c r="C33" s="8">
        <v>45764.0</v>
      </c>
      <c r="D33" s="7" t="s">
        <v>25</v>
      </c>
      <c r="E33" s="7" t="s">
        <v>26</v>
      </c>
      <c r="F33" s="7">
        <v>1.0</v>
      </c>
      <c r="G33" s="7" t="s">
        <v>27</v>
      </c>
      <c r="H33" s="7">
        <v>1.0</v>
      </c>
      <c r="I33" s="7">
        <v>9.0</v>
      </c>
      <c r="J33" s="7">
        <v>4.0</v>
      </c>
      <c r="K33" s="7" t="s">
        <v>39</v>
      </c>
      <c r="L33" s="9" t="str">
        <f>VLOOKUP(K33, 'Alphabetical by species code'!A:B, 2, FALSE)</f>
        <v>Stephanomeria diegensis</v>
      </c>
      <c r="M33" s="9" t="str">
        <f>VLOOKUP(L33, 'Alphabetical by species code'!B:C, 2, FALSE)</f>
        <v>Native</v>
      </c>
    </row>
    <row r="34">
      <c r="A34" s="7">
        <v>1.0</v>
      </c>
      <c r="B34" s="7">
        <v>2025.0</v>
      </c>
      <c r="C34" s="8">
        <v>45764.0</v>
      </c>
      <c r="D34" s="7" t="s">
        <v>25</v>
      </c>
      <c r="E34" s="7" t="s">
        <v>26</v>
      </c>
      <c r="F34" s="7">
        <v>1.0</v>
      </c>
      <c r="G34" s="7" t="s">
        <v>27</v>
      </c>
      <c r="H34" s="7">
        <v>1.0</v>
      </c>
      <c r="I34" s="7">
        <v>10.0</v>
      </c>
      <c r="J34" s="7">
        <v>4.5</v>
      </c>
      <c r="K34" s="7" t="s">
        <v>38</v>
      </c>
      <c r="L34" s="9" t="str">
        <f>VLOOKUP(K34, 'Alphabetical by species code'!A:B, 2, FALSE)</f>
        <v>Thatch</v>
      </c>
      <c r="M34" s="9" t="str">
        <f>VLOOKUP(L34, 'Alphabetical by species code'!B:C, 2, FALSE)</f>
        <v>Ground Cover</v>
      </c>
    </row>
    <row r="35">
      <c r="A35" s="7">
        <v>1.0</v>
      </c>
      <c r="B35" s="7">
        <v>2025.0</v>
      </c>
      <c r="C35" s="8">
        <v>45764.0</v>
      </c>
      <c r="D35" s="7" t="s">
        <v>25</v>
      </c>
      <c r="E35" s="7" t="s">
        <v>26</v>
      </c>
      <c r="F35" s="7">
        <v>1.0</v>
      </c>
      <c r="G35" s="7" t="s">
        <v>27</v>
      </c>
      <c r="H35" s="7">
        <v>1.0</v>
      </c>
      <c r="I35" s="7">
        <v>10.0</v>
      </c>
      <c r="J35" s="7">
        <v>4.5</v>
      </c>
      <c r="K35" s="7" t="s">
        <v>36</v>
      </c>
      <c r="L35" s="9" t="str">
        <f>VLOOKUP(K35, 'Alphabetical by species code'!A:B, 2, FALSE)</f>
        <v>Bromus madritensis</v>
      </c>
      <c r="M35" s="9" t="str">
        <f>VLOOKUP(L35, 'Alphabetical by species code'!B:C, 2, FALSE)</f>
        <v>Non-Native</v>
      </c>
    </row>
    <row r="36">
      <c r="A36" s="7">
        <v>1.0</v>
      </c>
      <c r="B36" s="7">
        <v>2025.0</v>
      </c>
      <c r="C36" s="8">
        <v>45764.0</v>
      </c>
      <c r="D36" s="7" t="s">
        <v>25</v>
      </c>
      <c r="E36" s="7" t="s">
        <v>26</v>
      </c>
      <c r="F36" s="7">
        <v>1.0</v>
      </c>
      <c r="G36" s="7" t="s">
        <v>27</v>
      </c>
      <c r="H36" s="7">
        <v>1.0</v>
      </c>
      <c r="I36" s="7">
        <v>10.0</v>
      </c>
      <c r="J36" s="7">
        <v>4.5</v>
      </c>
      <c r="K36" s="7" t="s">
        <v>30</v>
      </c>
      <c r="L36" s="9" t="str">
        <f>VLOOKUP(K36, 'Alphabetical by species code'!A:B, 2, FALSE)</f>
        <v>Erodium moschatum</v>
      </c>
      <c r="M36" s="9" t="str">
        <f>VLOOKUP(L36, 'Alphabetical by species code'!B:C, 2, FALSE)</f>
        <v>Non-Native</v>
      </c>
    </row>
    <row r="37">
      <c r="A37" s="7">
        <v>1.0</v>
      </c>
      <c r="B37" s="7">
        <v>2025.0</v>
      </c>
      <c r="C37" s="8">
        <v>45764.0</v>
      </c>
      <c r="D37" s="7" t="s">
        <v>25</v>
      </c>
      <c r="E37" s="7" t="s">
        <v>26</v>
      </c>
      <c r="F37" s="7">
        <v>1.0</v>
      </c>
      <c r="G37" s="7" t="s">
        <v>27</v>
      </c>
      <c r="H37" s="7">
        <v>1.0</v>
      </c>
      <c r="I37" s="7">
        <v>11.0</v>
      </c>
      <c r="J37" s="7">
        <v>5.0</v>
      </c>
      <c r="K37" s="7" t="s">
        <v>38</v>
      </c>
      <c r="L37" s="9" t="str">
        <f>VLOOKUP(K37, 'Alphabetical by species code'!A:B, 2, FALSE)</f>
        <v>Thatch</v>
      </c>
      <c r="M37" s="9" t="str">
        <f>VLOOKUP(L37, 'Alphabetical by species code'!B:C, 2, FALSE)</f>
        <v>Ground Cover</v>
      </c>
    </row>
    <row r="38">
      <c r="A38" s="7">
        <v>1.0</v>
      </c>
      <c r="B38" s="7">
        <v>2025.0</v>
      </c>
      <c r="C38" s="8">
        <v>45764.0</v>
      </c>
      <c r="D38" s="7" t="s">
        <v>25</v>
      </c>
      <c r="E38" s="7" t="s">
        <v>26</v>
      </c>
      <c r="F38" s="7">
        <v>1.0</v>
      </c>
      <c r="G38" s="7" t="s">
        <v>27</v>
      </c>
      <c r="H38" s="7">
        <v>1.0</v>
      </c>
      <c r="I38" s="7">
        <v>11.0</v>
      </c>
      <c r="J38" s="7">
        <v>5.0</v>
      </c>
      <c r="K38" s="7" t="s">
        <v>35</v>
      </c>
      <c r="L38" s="9" t="str">
        <f>VLOOKUP(K38, 'Alphabetical by species code'!A:B, 2, FALSE)</f>
        <v>Deinandra fasciculata</v>
      </c>
      <c r="M38" s="9" t="str">
        <f>VLOOKUP(L38, 'Alphabetical by species code'!B:C, 2, FALSE)</f>
        <v>Native</v>
      </c>
    </row>
    <row r="39">
      <c r="A39" s="7">
        <v>1.0</v>
      </c>
      <c r="B39" s="7">
        <v>2025.0</v>
      </c>
      <c r="C39" s="8">
        <v>45764.0</v>
      </c>
      <c r="D39" s="7" t="s">
        <v>25</v>
      </c>
      <c r="E39" s="7" t="s">
        <v>26</v>
      </c>
      <c r="F39" s="7">
        <v>1.0</v>
      </c>
      <c r="G39" s="7" t="s">
        <v>27</v>
      </c>
      <c r="H39" s="7">
        <v>1.0</v>
      </c>
      <c r="I39" s="7">
        <v>11.0</v>
      </c>
      <c r="J39" s="7">
        <v>5.0</v>
      </c>
      <c r="K39" s="7" t="s">
        <v>37</v>
      </c>
      <c r="L39" s="9" t="str">
        <f>VLOOKUP(K39, 'Alphabetical by species code'!A:B, 2, FALSE)</f>
        <v>Sonchus oleraceus</v>
      </c>
      <c r="M39" s="9" t="str">
        <f>VLOOKUP(L39, 'Alphabetical by species code'!B:C, 2, FALSE)</f>
        <v>Non-Native</v>
      </c>
    </row>
    <row r="40">
      <c r="A40" s="7">
        <v>1.0</v>
      </c>
      <c r="B40" s="7">
        <v>2025.0</v>
      </c>
      <c r="C40" s="8">
        <v>45764.0</v>
      </c>
      <c r="D40" s="7" t="s">
        <v>25</v>
      </c>
      <c r="E40" s="7" t="s">
        <v>26</v>
      </c>
      <c r="F40" s="7">
        <v>1.0</v>
      </c>
      <c r="G40" s="7" t="s">
        <v>27</v>
      </c>
      <c r="H40" s="7">
        <v>1.0</v>
      </c>
      <c r="I40" s="7">
        <v>11.0</v>
      </c>
      <c r="J40" s="7">
        <v>5.0</v>
      </c>
      <c r="K40" s="7" t="s">
        <v>31</v>
      </c>
      <c r="L40" s="9" t="str">
        <f>VLOOKUP(K40, 'Alphabetical by species code'!A:B, 2, FALSE)</f>
        <v>Festuca myuros</v>
      </c>
      <c r="M40" s="9" t="str">
        <f>VLOOKUP(L40, 'Alphabetical by species code'!B:C, 2, FALSE)</f>
        <v>Non-Native</v>
      </c>
    </row>
    <row r="41">
      <c r="A41" s="7">
        <v>1.0</v>
      </c>
      <c r="B41" s="7">
        <v>2025.0</v>
      </c>
      <c r="C41" s="8">
        <v>45764.0</v>
      </c>
      <c r="D41" s="7" t="s">
        <v>25</v>
      </c>
      <c r="E41" s="7" t="s">
        <v>26</v>
      </c>
      <c r="F41" s="7">
        <v>1.0</v>
      </c>
      <c r="G41" s="7" t="s">
        <v>27</v>
      </c>
      <c r="H41" s="7">
        <v>1.0</v>
      </c>
      <c r="I41" s="7">
        <v>12.0</v>
      </c>
      <c r="J41" s="7">
        <v>5.5</v>
      </c>
      <c r="K41" s="7" t="s">
        <v>38</v>
      </c>
      <c r="L41" s="9" t="str">
        <f>VLOOKUP(K41, 'Alphabetical by species code'!A:B, 2, FALSE)</f>
        <v>Thatch</v>
      </c>
      <c r="M41" s="9" t="str">
        <f>VLOOKUP(L41, 'Alphabetical by species code'!B:C, 2, FALSE)</f>
        <v>Ground Cover</v>
      </c>
    </row>
    <row r="42">
      <c r="A42" s="7">
        <v>1.0</v>
      </c>
      <c r="B42" s="7">
        <v>2025.0</v>
      </c>
      <c r="C42" s="8">
        <v>45764.0</v>
      </c>
      <c r="D42" s="7" t="s">
        <v>25</v>
      </c>
      <c r="E42" s="7" t="s">
        <v>26</v>
      </c>
      <c r="F42" s="7">
        <v>1.0</v>
      </c>
      <c r="G42" s="7" t="s">
        <v>27</v>
      </c>
      <c r="H42" s="7">
        <v>1.0</v>
      </c>
      <c r="I42" s="7">
        <v>12.0</v>
      </c>
      <c r="J42" s="7">
        <v>5.5</v>
      </c>
      <c r="K42" s="7" t="s">
        <v>29</v>
      </c>
      <c r="L42" s="9" t="str">
        <f>VLOOKUP(K42, 'Alphabetical by species code'!A:B, 2, FALSE)</f>
        <v>Opuntia littoralis</v>
      </c>
      <c r="M42" s="9" t="str">
        <f>VLOOKUP(L42, 'Alphabetical by species code'!B:C, 2, FALSE)</f>
        <v>Native</v>
      </c>
    </row>
    <row r="43">
      <c r="A43" s="7">
        <v>1.0</v>
      </c>
      <c r="B43" s="7">
        <v>2025.0</v>
      </c>
      <c r="C43" s="8">
        <v>45764.0</v>
      </c>
      <c r="D43" s="7" t="s">
        <v>25</v>
      </c>
      <c r="E43" s="7" t="s">
        <v>26</v>
      </c>
      <c r="F43" s="7">
        <v>1.0</v>
      </c>
      <c r="G43" s="7" t="s">
        <v>27</v>
      </c>
      <c r="H43" s="7">
        <v>1.0</v>
      </c>
      <c r="I43" s="7">
        <v>12.0</v>
      </c>
      <c r="J43" s="7">
        <v>5.5</v>
      </c>
      <c r="K43" s="7" t="s">
        <v>30</v>
      </c>
      <c r="L43" s="9" t="str">
        <f>VLOOKUP(K43, 'Alphabetical by species code'!A:B, 2, FALSE)</f>
        <v>Erodium moschatum</v>
      </c>
      <c r="M43" s="9" t="str">
        <f>VLOOKUP(L43, 'Alphabetical by species code'!B:C, 2, FALSE)</f>
        <v>Non-Native</v>
      </c>
    </row>
    <row r="44">
      <c r="A44" s="7">
        <v>1.0</v>
      </c>
      <c r="B44" s="7">
        <v>2025.0</v>
      </c>
      <c r="C44" s="8">
        <v>45764.0</v>
      </c>
      <c r="D44" s="7" t="s">
        <v>25</v>
      </c>
      <c r="E44" s="7" t="s">
        <v>26</v>
      </c>
      <c r="F44" s="7">
        <v>1.0</v>
      </c>
      <c r="G44" s="7" t="s">
        <v>27</v>
      </c>
      <c r="H44" s="7">
        <v>1.0</v>
      </c>
      <c r="I44" s="7">
        <v>12.0</v>
      </c>
      <c r="J44" s="7">
        <v>5.5</v>
      </c>
      <c r="K44" s="7" t="s">
        <v>37</v>
      </c>
      <c r="L44" s="9" t="str">
        <f>VLOOKUP(K44, 'Alphabetical by species code'!A:B, 2, FALSE)</f>
        <v>Sonchus oleraceus</v>
      </c>
      <c r="M44" s="9" t="str">
        <f>VLOOKUP(L44, 'Alphabetical by species code'!B:C, 2, FALSE)</f>
        <v>Non-Native</v>
      </c>
    </row>
    <row r="45">
      <c r="A45" s="7">
        <v>1.0</v>
      </c>
      <c r="B45" s="7">
        <v>2025.0</v>
      </c>
      <c r="C45" s="8">
        <v>45764.0</v>
      </c>
      <c r="D45" s="7" t="s">
        <v>25</v>
      </c>
      <c r="E45" s="7" t="s">
        <v>26</v>
      </c>
      <c r="F45" s="7">
        <v>1.0</v>
      </c>
      <c r="G45" s="7" t="s">
        <v>27</v>
      </c>
      <c r="H45" s="7">
        <v>1.0</v>
      </c>
      <c r="I45" s="7">
        <v>13.0</v>
      </c>
      <c r="J45" s="7">
        <v>6.5</v>
      </c>
      <c r="K45" s="7" t="s">
        <v>28</v>
      </c>
      <c r="L45" s="9" t="str">
        <f>VLOOKUP(K45, 'Alphabetical by species code'!A:B, 2, FALSE)</f>
        <v>Litter</v>
      </c>
      <c r="M45" s="9" t="str">
        <f>VLOOKUP(L45, 'Alphabetical by species code'!B:C, 2, FALSE)</f>
        <v>Ground Cover</v>
      </c>
    </row>
    <row r="46">
      <c r="A46" s="7">
        <v>1.0</v>
      </c>
      <c r="B46" s="7">
        <v>2025.0</v>
      </c>
      <c r="C46" s="8">
        <v>45764.0</v>
      </c>
      <c r="D46" s="7" t="s">
        <v>25</v>
      </c>
      <c r="E46" s="7" t="s">
        <v>26</v>
      </c>
      <c r="F46" s="7">
        <v>1.0</v>
      </c>
      <c r="G46" s="7" t="s">
        <v>27</v>
      </c>
      <c r="H46" s="7">
        <v>1.0</v>
      </c>
      <c r="I46" s="7">
        <v>13.0</v>
      </c>
      <c r="J46" s="7">
        <v>6.5</v>
      </c>
      <c r="K46" s="7" t="s">
        <v>40</v>
      </c>
      <c r="L46" s="9" t="str">
        <f>VLOOKUP(K46, 'Alphabetical by species code'!A:B, 2, FALSE)</f>
        <v>Cylindropuntia prolifera</v>
      </c>
      <c r="M46" s="9" t="str">
        <f>VLOOKUP(L46, 'Alphabetical by species code'!B:C, 2, FALSE)</f>
        <v>Native</v>
      </c>
    </row>
    <row r="47">
      <c r="A47" s="7">
        <v>1.0</v>
      </c>
      <c r="B47" s="7">
        <v>2025.0</v>
      </c>
      <c r="C47" s="8">
        <v>45764.0</v>
      </c>
      <c r="D47" s="7" t="s">
        <v>25</v>
      </c>
      <c r="E47" s="7" t="s">
        <v>26</v>
      </c>
      <c r="F47" s="7">
        <v>1.0</v>
      </c>
      <c r="G47" s="7" t="s">
        <v>27</v>
      </c>
      <c r="H47" s="7">
        <v>1.0</v>
      </c>
      <c r="I47" s="7">
        <v>13.0</v>
      </c>
      <c r="J47" s="7">
        <v>6.5</v>
      </c>
      <c r="K47" s="7" t="s">
        <v>32</v>
      </c>
      <c r="L47" s="9" t="str">
        <f>VLOOKUP(K47, 'Alphabetical by species code'!A:B, 2, FALSE)</f>
        <v>Medicago polymorpha</v>
      </c>
      <c r="M47" s="9" t="str">
        <f>VLOOKUP(L47, 'Alphabetical by species code'!B:C, 2, FALSE)</f>
        <v>Non-Native</v>
      </c>
    </row>
    <row r="48">
      <c r="A48" s="7">
        <v>1.0</v>
      </c>
      <c r="B48" s="7">
        <v>2025.0</v>
      </c>
      <c r="C48" s="8">
        <v>45764.0</v>
      </c>
      <c r="D48" s="7" t="s">
        <v>25</v>
      </c>
      <c r="E48" s="7" t="s">
        <v>26</v>
      </c>
      <c r="F48" s="7">
        <v>1.0</v>
      </c>
      <c r="G48" s="7" t="s">
        <v>27</v>
      </c>
      <c r="H48" s="7">
        <v>1.0</v>
      </c>
      <c r="I48" s="7">
        <v>14.0</v>
      </c>
      <c r="J48" s="7">
        <v>7.0</v>
      </c>
      <c r="K48" s="7" t="s">
        <v>41</v>
      </c>
      <c r="L48" s="9" t="str">
        <f>VLOOKUP(K48, 'Alphabetical by species code'!A:B, 2, FALSE)</f>
        <v>Stem</v>
      </c>
      <c r="M48" s="9" t="str">
        <f>VLOOKUP(L48, 'Alphabetical by species code'!B:C, 2, FALSE)</f>
        <v>Ground Cover</v>
      </c>
    </row>
    <row r="49">
      <c r="A49" s="7">
        <v>1.0</v>
      </c>
      <c r="B49" s="7">
        <v>2025.0</v>
      </c>
      <c r="C49" s="8">
        <v>45764.0</v>
      </c>
      <c r="D49" s="7" t="s">
        <v>25</v>
      </c>
      <c r="E49" s="7" t="s">
        <v>26</v>
      </c>
      <c r="F49" s="7">
        <v>1.0</v>
      </c>
      <c r="G49" s="7" t="s">
        <v>27</v>
      </c>
      <c r="H49" s="7">
        <v>1.0</v>
      </c>
      <c r="I49" s="7">
        <v>14.0</v>
      </c>
      <c r="J49" s="7">
        <v>7.0</v>
      </c>
      <c r="K49" s="7" t="s">
        <v>29</v>
      </c>
      <c r="L49" s="9" t="str">
        <f>VLOOKUP(K49, 'Alphabetical by species code'!A:B, 2, FALSE)</f>
        <v>Opuntia littoralis</v>
      </c>
      <c r="M49" s="9" t="str">
        <f>VLOOKUP(L49, 'Alphabetical by species code'!B:C, 2, FALSE)</f>
        <v>Native</v>
      </c>
    </row>
    <row r="50">
      <c r="A50" s="7">
        <v>1.0</v>
      </c>
      <c r="B50" s="7">
        <v>2025.0</v>
      </c>
      <c r="C50" s="8">
        <v>45764.0</v>
      </c>
      <c r="D50" s="7" t="s">
        <v>25</v>
      </c>
      <c r="E50" s="7" t="s">
        <v>26</v>
      </c>
      <c r="F50" s="7">
        <v>1.0</v>
      </c>
      <c r="G50" s="7" t="s">
        <v>27</v>
      </c>
      <c r="H50" s="7">
        <v>1.0</v>
      </c>
      <c r="I50" s="7">
        <v>15.0</v>
      </c>
      <c r="J50" s="7">
        <v>7.5</v>
      </c>
      <c r="K50" s="7" t="s">
        <v>28</v>
      </c>
      <c r="L50" s="9" t="str">
        <f>VLOOKUP(K50, 'Alphabetical by species code'!A:B, 2, FALSE)</f>
        <v>Litter</v>
      </c>
      <c r="M50" s="9" t="str">
        <f>VLOOKUP(L50, 'Alphabetical by species code'!B:C, 2, FALSE)</f>
        <v>Ground Cover</v>
      </c>
    </row>
    <row r="51">
      <c r="A51" s="7">
        <v>1.0</v>
      </c>
      <c r="B51" s="7">
        <v>2025.0</v>
      </c>
      <c r="C51" s="8">
        <v>45764.0</v>
      </c>
      <c r="D51" s="7" t="s">
        <v>25</v>
      </c>
      <c r="E51" s="7" t="s">
        <v>26</v>
      </c>
      <c r="F51" s="7">
        <v>1.0</v>
      </c>
      <c r="G51" s="7" t="s">
        <v>27</v>
      </c>
      <c r="H51" s="7">
        <v>1.0</v>
      </c>
      <c r="I51" s="7">
        <v>15.0</v>
      </c>
      <c r="J51" s="7">
        <v>7.5</v>
      </c>
      <c r="K51" s="7" t="s">
        <v>29</v>
      </c>
      <c r="L51" s="9" t="str">
        <f>VLOOKUP(K51, 'Alphabetical by species code'!A:B, 2, FALSE)</f>
        <v>Opuntia littoralis</v>
      </c>
      <c r="M51" s="9" t="str">
        <f>VLOOKUP(L51, 'Alphabetical by species code'!B:C, 2, FALSE)</f>
        <v>Native</v>
      </c>
    </row>
    <row r="52">
      <c r="A52" s="7">
        <v>1.0</v>
      </c>
      <c r="B52" s="7">
        <v>2025.0</v>
      </c>
      <c r="C52" s="8">
        <v>45764.0</v>
      </c>
      <c r="D52" s="7" t="s">
        <v>25</v>
      </c>
      <c r="E52" s="7" t="s">
        <v>26</v>
      </c>
      <c r="F52" s="7">
        <v>1.0</v>
      </c>
      <c r="G52" s="7" t="s">
        <v>27</v>
      </c>
      <c r="H52" s="7">
        <v>1.0</v>
      </c>
      <c r="I52" s="7">
        <v>15.0</v>
      </c>
      <c r="J52" s="7">
        <v>7.5</v>
      </c>
      <c r="K52" s="7" t="s">
        <v>32</v>
      </c>
      <c r="L52" s="9" t="str">
        <f>VLOOKUP(K52, 'Alphabetical by species code'!A:B, 2, FALSE)</f>
        <v>Medicago polymorpha</v>
      </c>
      <c r="M52" s="9" t="str">
        <f>VLOOKUP(L52, 'Alphabetical by species code'!B:C, 2, FALSE)</f>
        <v>Non-Native</v>
      </c>
    </row>
    <row r="53">
      <c r="A53" s="7">
        <v>1.0</v>
      </c>
      <c r="B53" s="7">
        <v>2025.0</v>
      </c>
      <c r="C53" s="8">
        <v>45764.0</v>
      </c>
      <c r="D53" s="7" t="s">
        <v>25</v>
      </c>
      <c r="E53" s="7" t="s">
        <v>26</v>
      </c>
      <c r="F53" s="7">
        <v>1.0</v>
      </c>
      <c r="G53" s="7" t="s">
        <v>27</v>
      </c>
      <c r="H53" s="7">
        <v>2.0</v>
      </c>
      <c r="I53" s="7">
        <v>1.0</v>
      </c>
      <c r="J53" s="7">
        <v>0.0</v>
      </c>
      <c r="K53" s="7" t="s">
        <v>38</v>
      </c>
      <c r="L53" s="9" t="str">
        <f>VLOOKUP(K53, 'Alphabetical by species code'!A:B, 2, FALSE)</f>
        <v>Thatch</v>
      </c>
      <c r="M53" s="9" t="str">
        <f>VLOOKUP(L53, 'Alphabetical by species code'!B:C, 2, FALSE)</f>
        <v>Ground Cover</v>
      </c>
    </row>
    <row r="54">
      <c r="A54" s="7">
        <v>1.0</v>
      </c>
      <c r="B54" s="7">
        <v>2025.0</v>
      </c>
      <c r="C54" s="8">
        <v>45764.0</v>
      </c>
      <c r="D54" s="7" t="s">
        <v>25</v>
      </c>
      <c r="E54" s="7" t="s">
        <v>26</v>
      </c>
      <c r="F54" s="7">
        <v>1.0</v>
      </c>
      <c r="G54" s="7" t="s">
        <v>27</v>
      </c>
      <c r="H54" s="7">
        <v>2.0</v>
      </c>
      <c r="I54" s="7">
        <v>1.0</v>
      </c>
      <c r="J54" s="7">
        <v>0.0</v>
      </c>
      <c r="K54" s="7" t="s">
        <v>39</v>
      </c>
      <c r="L54" s="9" t="str">
        <f>VLOOKUP(K54, 'Alphabetical by species code'!A:B, 2, FALSE)</f>
        <v>Stephanomeria diegensis</v>
      </c>
      <c r="M54" s="9" t="str">
        <f>VLOOKUP(L54, 'Alphabetical by species code'!B:C, 2, FALSE)</f>
        <v>Native</v>
      </c>
    </row>
    <row r="55">
      <c r="A55" s="7">
        <v>1.0</v>
      </c>
      <c r="B55" s="7">
        <v>2025.0</v>
      </c>
      <c r="C55" s="8">
        <v>45764.0</v>
      </c>
      <c r="D55" s="7" t="s">
        <v>25</v>
      </c>
      <c r="E55" s="7" t="s">
        <v>26</v>
      </c>
      <c r="F55" s="7">
        <v>1.0</v>
      </c>
      <c r="G55" s="7" t="s">
        <v>27</v>
      </c>
      <c r="H55" s="7">
        <v>2.0</v>
      </c>
      <c r="I55" s="7">
        <v>1.0</v>
      </c>
      <c r="J55" s="7">
        <v>0.0</v>
      </c>
      <c r="K55" s="7" t="s">
        <v>32</v>
      </c>
      <c r="L55" s="9" t="str">
        <f>VLOOKUP(K55, 'Alphabetical by species code'!A:B, 2, FALSE)</f>
        <v>Medicago polymorpha</v>
      </c>
      <c r="M55" s="9" t="str">
        <f>VLOOKUP(L55, 'Alphabetical by species code'!B:C, 2, FALSE)</f>
        <v>Non-Native</v>
      </c>
    </row>
    <row r="56">
      <c r="A56" s="7">
        <v>1.0</v>
      </c>
      <c r="B56" s="7">
        <v>2025.0</v>
      </c>
      <c r="C56" s="8">
        <v>45764.0</v>
      </c>
      <c r="D56" s="7" t="s">
        <v>25</v>
      </c>
      <c r="E56" s="7" t="s">
        <v>26</v>
      </c>
      <c r="F56" s="7">
        <v>1.0</v>
      </c>
      <c r="G56" s="7" t="s">
        <v>27</v>
      </c>
      <c r="H56" s="7">
        <v>2.0</v>
      </c>
      <c r="I56" s="7">
        <v>1.0</v>
      </c>
      <c r="J56" s="7">
        <v>0.0</v>
      </c>
      <c r="K56" s="7" t="s">
        <v>31</v>
      </c>
      <c r="L56" s="9" t="str">
        <f>VLOOKUP(K56, 'Alphabetical by species code'!A:B, 2, FALSE)</f>
        <v>Festuca myuros</v>
      </c>
      <c r="M56" s="9" t="str">
        <f>VLOOKUP(L56, 'Alphabetical by species code'!B:C, 2, FALSE)</f>
        <v>Non-Native</v>
      </c>
    </row>
    <row r="57">
      <c r="A57" s="7">
        <v>1.0</v>
      </c>
      <c r="B57" s="7">
        <v>2025.0</v>
      </c>
      <c r="C57" s="8">
        <v>45764.0</v>
      </c>
      <c r="D57" s="7" t="s">
        <v>25</v>
      </c>
      <c r="E57" s="7" t="s">
        <v>26</v>
      </c>
      <c r="F57" s="7">
        <v>1.0</v>
      </c>
      <c r="G57" s="7" t="s">
        <v>27</v>
      </c>
      <c r="H57" s="7">
        <v>2.0</v>
      </c>
      <c r="I57" s="7">
        <v>2.0</v>
      </c>
      <c r="J57" s="7">
        <v>0.5</v>
      </c>
      <c r="K57" s="7" t="s">
        <v>38</v>
      </c>
      <c r="L57" s="9" t="str">
        <f>VLOOKUP(K57, 'Alphabetical by species code'!A:B, 2, FALSE)</f>
        <v>Thatch</v>
      </c>
      <c r="M57" s="9" t="str">
        <f>VLOOKUP(L57, 'Alphabetical by species code'!B:C, 2, FALSE)</f>
        <v>Ground Cover</v>
      </c>
    </row>
    <row r="58">
      <c r="A58" s="7">
        <v>1.0</v>
      </c>
      <c r="B58" s="7">
        <v>2025.0</v>
      </c>
      <c r="C58" s="8">
        <v>45764.0</v>
      </c>
      <c r="D58" s="7" t="s">
        <v>25</v>
      </c>
      <c r="E58" s="7" t="s">
        <v>26</v>
      </c>
      <c r="F58" s="7">
        <v>1.0</v>
      </c>
      <c r="G58" s="7" t="s">
        <v>27</v>
      </c>
      <c r="H58" s="7">
        <v>2.0</v>
      </c>
      <c r="I58" s="7">
        <v>2.0</v>
      </c>
      <c r="J58" s="7">
        <v>0.5</v>
      </c>
      <c r="K58" s="7" t="s">
        <v>31</v>
      </c>
      <c r="L58" s="9" t="str">
        <f>VLOOKUP(K58, 'Alphabetical by species code'!A:B, 2, FALSE)</f>
        <v>Festuca myuros</v>
      </c>
      <c r="M58" s="9" t="str">
        <f>VLOOKUP(L58, 'Alphabetical by species code'!B:C, 2, FALSE)</f>
        <v>Non-Native</v>
      </c>
    </row>
    <row r="59">
      <c r="A59" s="7">
        <v>1.0</v>
      </c>
      <c r="B59" s="7">
        <v>2025.0</v>
      </c>
      <c r="C59" s="8">
        <v>45764.0</v>
      </c>
      <c r="D59" s="7" t="s">
        <v>25</v>
      </c>
      <c r="E59" s="7" t="s">
        <v>26</v>
      </c>
      <c r="F59" s="7">
        <v>1.0</v>
      </c>
      <c r="G59" s="7" t="s">
        <v>27</v>
      </c>
      <c r="H59" s="7">
        <v>2.0</v>
      </c>
      <c r="I59" s="7">
        <v>2.0</v>
      </c>
      <c r="J59" s="7">
        <v>0.5</v>
      </c>
      <c r="K59" s="7" t="s">
        <v>32</v>
      </c>
      <c r="L59" s="9" t="str">
        <f>VLOOKUP(K59, 'Alphabetical by species code'!A:B, 2, FALSE)</f>
        <v>Medicago polymorpha</v>
      </c>
      <c r="M59" s="9" t="str">
        <f>VLOOKUP(L59, 'Alphabetical by species code'!B:C, 2, FALSE)</f>
        <v>Non-Native</v>
      </c>
    </row>
    <row r="60">
      <c r="A60" s="7">
        <v>1.0</v>
      </c>
      <c r="B60" s="7">
        <v>2025.0</v>
      </c>
      <c r="C60" s="8">
        <v>45764.0</v>
      </c>
      <c r="D60" s="7" t="s">
        <v>25</v>
      </c>
      <c r="E60" s="7" t="s">
        <v>26</v>
      </c>
      <c r="F60" s="7">
        <v>1.0</v>
      </c>
      <c r="G60" s="7" t="s">
        <v>27</v>
      </c>
      <c r="H60" s="7">
        <v>2.0</v>
      </c>
      <c r="I60" s="7">
        <v>2.0</v>
      </c>
      <c r="J60" s="7">
        <v>0.5</v>
      </c>
      <c r="K60" s="7" t="s">
        <v>42</v>
      </c>
      <c r="L60" s="9" t="str">
        <f>VLOOKUP(K60, 'Alphabetical by species code'!A:B, 2, FALSE)</f>
        <v>Centaurea melitensis</v>
      </c>
      <c r="M60" s="9" t="str">
        <f>VLOOKUP(L60, 'Alphabetical by species code'!B:C, 2, FALSE)</f>
        <v>Non-Native</v>
      </c>
    </row>
    <row r="61">
      <c r="A61" s="7">
        <v>1.0</v>
      </c>
      <c r="B61" s="7">
        <v>2025.0</v>
      </c>
      <c r="C61" s="8">
        <v>45764.0</v>
      </c>
      <c r="D61" s="7" t="s">
        <v>25</v>
      </c>
      <c r="E61" s="7" t="s">
        <v>26</v>
      </c>
      <c r="F61" s="7">
        <v>1.0</v>
      </c>
      <c r="G61" s="7" t="s">
        <v>27</v>
      </c>
      <c r="H61" s="7">
        <v>2.0</v>
      </c>
      <c r="I61" s="7">
        <v>3.0</v>
      </c>
      <c r="J61" s="7">
        <v>1.0</v>
      </c>
      <c r="K61" s="7" t="s">
        <v>28</v>
      </c>
      <c r="L61" s="9" t="str">
        <f>VLOOKUP(K61, 'Alphabetical by species code'!A:B, 2, FALSE)</f>
        <v>Litter</v>
      </c>
      <c r="M61" s="9" t="str">
        <f>VLOOKUP(L61, 'Alphabetical by species code'!B:C, 2, FALSE)</f>
        <v>Ground Cover</v>
      </c>
    </row>
    <row r="62">
      <c r="A62" s="7">
        <v>1.0</v>
      </c>
      <c r="B62" s="7">
        <v>2025.0</v>
      </c>
      <c r="C62" s="8">
        <v>45764.0</v>
      </c>
      <c r="D62" s="7" t="s">
        <v>25</v>
      </c>
      <c r="E62" s="7" t="s">
        <v>26</v>
      </c>
      <c r="F62" s="7">
        <v>1.0</v>
      </c>
      <c r="G62" s="7" t="s">
        <v>27</v>
      </c>
      <c r="H62" s="7">
        <v>2.0</v>
      </c>
      <c r="I62" s="7">
        <v>3.0</v>
      </c>
      <c r="J62" s="7">
        <v>1.0</v>
      </c>
      <c r="K62" s="7" t="s">
        <v>43</v>
      </c>
      <c r="L62" s="9" t="str">
        <f>VLOOKUP(K62, 'Alphabetical by species code'!A:B, 2, FALSE)</f>
        <v>Uropappus lindleyi</v>
      </c>
      <c r="M62" s="9" t="str">
        <f>VLOOKUP(L62, 'Alphabetical by species code'!B:C, 2, FALSE)</f>
        <v>Native</v>
      </c>
    </row>
    <row r="63">
      <c r="A63" s="7">
        <v>1.0</v>
      </c>
      <c r="B63" s="7">
        <v>2025.0</v>
      </c>
      <c r="C63" s="8">
        <v>45764.0</v>
      </c>
      <c r="D63" s="7" t="s">
        <v>25</v>
      </c>
      <c r="E63" s="7" t="s">
        <v>26</v>
      </c>
      <c r="F63" s="7">
        <v>1.0</v>
      </c>
      <c r="G63" s="7" t="s">
        <v>27</v>
      </c>
      <c r="H63" s="7">
        <v>2.0</v>
      </c>
      <c r="I63" s="7">
        <v>3.0</v>
      </c>
      <c r="J63" s="7">
        <v>1.0</v>
      </c>
      <c r="K63" s="7" t="s">
        <v>32</v>
      </c>
      <c r="L63" s="9" t="str">
        <f>VLOOKUP(K63, 'Alphabetical by species code'!A:B, 2, FALSE)</f>
        <v>Medicago polymorpha</v>
      </c>
      <c r="M63" s="9" t="str">
        <f>VLOOKUP(L63, 'Alphabetical by species code'!B:C, 2, FALSE)</f>
        <v>Non-Native</v>
      </c>
    </row>
    <row r="64">
      <c r="A64" s="7">
        <v>1.0</v>
      </c>
      <c r="B64" s="7">
        <v>2025.0</v>
      </c>
      <c r="C64" s="8">
        <v>45764.0</v>
      </c>
      <c r="D64" s="7" t="s">
        <v>25</v>
      </c>
      <c r="E64" s="7" t="s">
        <v>26</v>
      </c>
      <c r="F64" s="7">
        <v>1.0</v>
      </c>
      <c r="G64" s="7" t="s">
        <v>27</v>
      </c>
      <c r="H64" s="7">
        <v>2.0</v>
      </c>
      <c r="I64" s="7">
        <v>4.0</v>
      </c>
      <c r="J64" s="7">
        <v>1.5</v>
      </c>
      <c r="K64" s="7" t="s">
        <v>28</v>
      </c>
      <c r="L64" s="9" t="str">
        <f>VLOOKUP(K64, 'Alphabetical by species code'!A:B, 2, FALSE)</f>
        <v>Litter</v>
      </c>
      <c r="M64" s="9" t="str">
        <f>VLOOKUP(L64, 'Alphabetical by species code'!B:C, 2, FALSE)</f>
        <v>Ground Cover</v>
      </c>
    </row>
    <row r="65">
      <c r="A65" s="7">
        <v>1.0</v>
      </c>
      <c r="B65" s="7">
        <v>2025.0</v>
      </c>
      <c r="C65" s="8">
        <v>45764.0</v>
      </c>
      <c r="D65" s="7" t="s">
        <v>25</v>
      </c>
      <c r="E65" s="7" t="s">
        <v>26</v>
      </c>
      <c r="F65" s="7">
        <v>1.0</v>
      </c>
      <c r="G65" s="7" t="s">
        <v>27</v>
      </c>
      <c r="H65" s="7">
        <v>2.0</v>
      </c>
      <c r="I65" s="7">
        <v>4.0</v>
      </c>
      <c r="J65" s="7">
        <v>1.5</v>
      </c>
      <c r="K65" s="7" t="s">
        <v>32</v>
      </c>
      <c r="L65" s="9" t="str">
        <f>VLOOKUP(K65, 'Alphabetical by species code'!A:B, 2, FALSE)</f>
        <v>Medicago polymorpha</v>
      </c>
      <c r="M65" s="9" t="str">
        <f>VLOOKUP(L65, 'Alphabetical by species code'!B:C, 2, FALSE)</f>
        <v>Non-Native</v>
      </c>
    </row>
    <row r="66">
      <c r="A66" s="7">
        <v>1.0</v>
      </c>
      <c r="B66" s="7">
        <v>2025.0</v>
      </c>
      <c r="C66" s="8">
        <v>45764.0</v>
      </c>
      <c r="D66" s="7" t="s">
        <v>25</v>
      </c>
      <c r="E66" s="7" t="s">
        <v>26</v>
      </c>
      <c r="F66" s="7">
        <v>1.0</v>
      </c>
      <c r="G66" s="7" t="s">
        <v>27</v>
      </c>
      <c r="H66" s="7">
        <v>2.0</v>
      </c>
      <c r="I66" s="7">
        <v>4.0</v>
      </c>
      <c r="J66" s="7">
        <v>1.5</v>
      </c>
      <c r="K66" s="7" t="s">
        <v>44</v>
      </c>
      <c r="L66" s="9" t="str">
        <f>VLOOKUP(K66, 'Alphabetical by species code'!A:B, 2, FALSE)</f>
        <v>Amsinckia menziesii</v>
      </c>
      <c r="M66" s="9" t="str">
        <f>VLOOKUP(L66, 'Alphabetical by species code'!B:C, 2, FALSE)</f>
        <v>Native</v>
      </c>
    </row>
    <row r="67">
      <c r="A67" s="7">
        <v>1.0</v>
      </c>
      <c r="B67" s="7">
        <v>2025.0</v>
      </c>
      <c r="C67" s="8">
        <v>45764.0</v>
      </c>
      <c r="D67" s="7" t="s">
        <v>25</v>
      </c>
      <c r="E67" s="7" t="s">
        <v>26</v>
      </c>
      <c r="F67" s="7">
        <v>1.0</v>
      </c>
      <c r="G67" s="7" t="s">
        <v>27</v>
      </c>
      <c r="H67" s="7">
        <v>2.0</v>
      </c>
      <c r="I67" s="7">
        <v>4.0</v>
      </c>
      <c r="J67" s="7">
        <v>1.5</v>
      </c>
      <c r="K67" s="7" t="s">
        <v>31</v>
      </c>
      <c r="L67" s="9" t="str">
        <f>VLOOKUP(K67, 'Alphabetical by species code'!A:B, 2, FALSE)</f>
        <v>Festuca myuros</v>
      </c>
      <c r="M67" s="9" t="str">
        <f>VLOOKUP(L67, 'Alphabetical by species code'!B:C, 2, FALSE)</f>
        <v>Non-Native</v>
      </c>
    </row>
    <row r="68">
      <c r="A68" s="7">
        <v>1.0</v>
      </c>
      <c r="B68" s="7">
        <v>2025.0</v>
      </c>
      <c r="C68" s="8">
        <v>45764.0</v>
      </c>
      <c r="D68" s="7" t="s">
        <v>25</v>
      </c>
      <c r="E68" s="7" t="s">
        <v>26</v>
      </c>
      <c r="F68" s="7">
        <v>1.0</v>
      </c>
      <c r="G68" s="7" t="s">
        <v>27</v>
      </c>
      <c r="H68" s="7">
        <v>2.0</v>
      </c>
      <c r="I68" s="7">
        <v>5.0</v>
      </c>
      <c r="J68" s="7">
        <v>2.5</v>
      </c>
      <c r="K68" s="7" t="s">
        <v>28</v>
      </c>
      <c r="L68" s="9" t="str">
        <f>VLOOKUP(K68, 'Alphabetical by species code'!A:B, 2, FALSE)</f>
        <v>Litter</v>
      </c>
      <c r="M68" s="9" t="str">
        <f>VLOOKUP(L68, 'Alphabetical by species code'!B:C, 2, FALSE)</f>
        <v>Ground Cover</v>
      </c>
    </row>
    <row r="69">
      <c r="A69" s="7">
        <v>1.0</v>
      </c>
      <c r="B69" s="7">
        <v>2025.0</v>
      </c>
      <c r="C69" s="8">
        <v>45764.0</v>
      </c>
      <c r="D69" s="7" t="s">
        <v>25</v>
      </c>
      <c r="E69" s="7" t="s">
        <v>26</v>
      </c>
      <c r="F69" s="7">
        <v>1.0</v>
      </c>
      <c r="G69" s="7" t="s">
        <v>27</v>
      </c>
      <c r="H69" s="7">
        <v>2.0</v>
      </c>
      <c r="I69" s="7">
        <v>5.0</v>
      </c>
      <c r="J69" s="7">
        <v>2.5</v>
      </c>
      <c r="K69" s="7" t="s">
        <v>31</v>
      </c>
      <c r="L69" s="9" t="str">
        <f>VLOOKUP(K69, 'Alphabetical by species code'!A:B, 2, FALSE)</f>
        <v>Festuca myuros</v>
      </c>
      <c r="M69" s="9" t="str">
        <f>VLOOKUP(L69, 'Alphabetical by species code'!B:C, 2, FALSE)</f>
        <v>Non-Native</v>
      </c>
    </row>
    <row r="70">
      <c r="A70" s="7">
        <v>1.0</v>
      </c>
      <c r="B70" s="7">
        <v>2025.0</v>
      </c>
      <c r="C70" s="8">
        <v>45764.0</v>
      </c>
      <c r="D70" s="7" t="s">
        <v>25</v>
      </c>
      <c r="E70" s="7" t="s">
        <v>26</v>
      </c>
      <c r="F70" s="7">
        <v>1.0</v>
      </c>
      <c r="G70" s="7" t="s">
        <v>27</v>
      </c>
      <c r="H70" s="7">
        <v>2.0</v>
      </c>
      <c r="I70" s="7">
        <v>5.0</v>
      </c>
      <c r="J70" s="7">
        <v>2.5</v>
      </c>
      <c r="K70" s="7" t="s">
        <v>32</v>
      </c>
      <c r="L70" s="9" t="str">
        <f>VLOOKUP(K70, 'Alphabetical by species code'!A:B, 2, FALSE)</f>
        <v>Medicago polymorpha</v>
      </c>
      <c r="M70" s="9" t="str">
        <f>VLOOKUP(L70, 'Alphabetical by species code'!B:C, 2, FALSE)</f>
        <v>Non-Native</v>
      </c>
    </row>
    <row r="71">
      <c r="A71" s="7">
        <v>1.0</v>
      </c>
      <c r="B71" s="7">
        <v>2025.0</v>
      </c>
      <c r="C71" s="8">
        <v>45764.0</v>
      </c>
      <c r="D71" s="7" t="s">
        <v>25</v>
      </c>
      <c r="E71" s="7" t="s">
        <v>26</v>
      </c>
      <c r="F71" s="7">
        <v>1.0</v>
      </c>
      <c r="G71" s="7" t="s">
        <v>27</v>
      </c>
      <c r="H71" s="7">
        <v>2.0</v>
      </c>
      <c r="I71" s="7">
        <v>6.0</v>
      </c>
      <c r="J71" s="7">
        <v>3.0</v>
      </c>
      <c r="K71" s="7" t="s">
        <v>28</v>
      </c>
      <c r="L71" s="9" t="str">
        <f>VLOOKUP(K71, 'Alphabetical by species code'!A:B, 2, FALSE)</f>
        <v>Litter</v>
      </c>
      <c r="M71" s="9" t="str">
        <f>VLOOKUP(L71, 'Alphabetical by species code'!B:C, 2, FALSE)</f>
        <v>Ground Cover</v>
      </c>
    </row>
    <row r="72">
      <c r="A72" s="7">
        <v>1.0</v>
      </c>
      <c r="B72" s="7">
        <v>2025.0</v>
      </c>
      <c r="C72" s="8">
        <v>45764.0</v>
      </c>
      <c r="D72" s="7" t="s">
        <v>25</v>
      </c>
      <c r="E72" s="7" t="s">
        <v>26</v>
      </c>
      <c r="F72" s="7">
        <v>1.0</v>
      </c>
      <c r="G72" s="7" t="s">
        <v>27</v>
      </c>
      <c r="H72" s="7">
        <v>2.0</v>
      </c>
      <c r="I72" s="7">
        <v>6.0</v>
      </c>
      <c r="J72" s="7">
        <v>3.0</v>
      </c>
      <c r="K72" s="7" t="s">
        <v>32</v>
      </c>
      <c r="L72" s="9" t="str">
        <f>VLOOKUP(K72, 'Alphabetical by species code'!A:B, 2, FALSE)</f>
        <v>Medicago polymorpha</v>
      </c>
      <c r="M72" s="9" t="str">
        <f>VLOOKUP(L72, 'Alphabetical by species code'!B:C, 2, FALSE)</f>
        <v>Non-Native</v>
      </c>
    </row>
    <row r="73">
      <c r="A73" s="7">
        <v>1.0</v>
      </c>
      <c r="B73" s="7">
        <v>2025.0</v>
      </c>
      <c r="C73" s="8">
        <v>45764.0</v>
      </c>
      <c r="D73" s="7" t="s">
        <v>25</v>
      </c>
      <c r="E73" s="7" t="s">
        <v>26</v>
      </c>
      <c r="F73" s="7">
        <v>1.0</v>
      </c>
      <c r="G73" s="7" t="s">
        <v>27</v>
      </c>
      <c r="H73" s="7">
        <v>2.0</v>
      </c>
      <c r="I73" s="7">
        <v>6.0</v>
      </c>
      <c r="J73" s="7">
        <v>3.0</v>
      </c>
      <c r="K73" s="7" t="s">
        <v>30</v>
      </c>
      <c r="L73" s="9" t="str">
        <f>VLOOKUP(K73, 'Alphabetical by species code'!A:B, 2, FALSE)</f>
        <v>Erodium moschatum</v>
      </c>
      <c r="M73" s="9" t="str">
        <f>VLOOKUP(L73, 'Alphabetical by species code'!B:C, 2, FALSE)</f>
        <v>Non-Native</v>
      </c>
    </row>
    <row r="74">
      <c r="A74" s="7">
        <v>1.0</v>
      </c>
      <c r="B74" s="7">
        <v>2025.0</v>
      </c>
      <c r="C74" s="8">
        <v>45764.0</v>
      </c>
      <c r="D74" s="7" t="s">
        <v>25</v>
      </c>
      <c r="E74" s="7" t="s">
        <v>26</v>
      </c>
      <c r="F74" s="7">
        <v>1.0</v>
      </c>
      <c r="G74" s="7" t="s">
        <v>27</v>
      </c>
      <c r="H74" s="7">
        <v>2.0</v>
      </c>
      <c r="I74" s="7">
        <v>7.0</v>
      </c>
      <c r="J74" s="7">
        <v>3.5</v>
      </c>
      <c r="K74" s="7" t="s">
        <v>28</v>
      </c>
      <c r="L74" s="9" t="str">
        <f>VLOOKUP(K74, 'Alphabetical by species code'!A:B, 2, FALSE)</f>
        <v>Litter</v>
      </c>
      <c r="M74" s="9" t="str">
        <f>VLOOKUP(L74, 'Alphabetical by species code'!B:C, 2, FALSE)</f>
        <v>Ground Cover</v>
      </c>
    </row>
    <row r="75">
      <c r="A75" s="7">
        <v>1.0</v>
      </c>
      <c r="B75" s="7">
        <v>2025.0</v>
      </c>
      <c r="C75" s="8">
        <v>45764.0</v>
      </c>
      <c r="D75" s="7" t="s">
        <v>25</v>
      </c>
      <c r="E75" s="7" t="s">
        <v>26</v>
      </c>
      <c r="F75" s="7">
        <v>1.0</v>
      </c>
      <c r="G75" s="7" t="s">
        <v>27</v>
      </c>
      <c r="H75" s="7">
        <v>2.0</v>
      </c>
      <c r="I75" s="7">
        <v>7.0</v>
      </c>
      <c r="J75" s="7">
        <v>3.5</v>
      </c>
      <c r="K75" s="7" t="s">
        <v>32</v>
      </c>
      <c r="L75" s="9" t="str">
        <f>VLOOKUP(K75, 'Alphabetical by species code'!A:B, 2, FALSE)</f>
        <v>Medicago polymorpha</v>
      </c>
      <c r="M75" s="9" t="str">
        <f>VLOOKUP(L75, 'Alphabetical by species code'!B:C, 2, FALSE)</f>
        <v>Non-Native</v>
      </c>
    </row>
    <row r="76">
      <c r="A76" s="7">
        <v>1.0</v>
      </c>
      <c r="B76" s="7">
        <v>2025.0</v>
      </c>
      <c r="C76" s="8">
        <v>45764.0</v>
      </c>
      <c r="D76" s="7" t="s">
        <v>25</v>
      </c>
      <c r="E76" s="7" t="s">
        <v>26</v>
      </c>
      <c r="F76" s="7">
        <v>1.0</v>
      </c>
      <c r="G76" s="7" t="s">
        <v>27</v>
      </c>
      <c r="H76" s="7">
        <v>2.0</v>
      </c>
      <c r="I76" s="7">
        <v>7.0</v>
      </c>
      <c r="J76" s="7">
        <v>3.5</v>
      </c>
      <c r="K76" s="7" t="s">
        <v>30</v>
      </c>
      <c r="L76" s="9" t="str">
        <f>VLOOKUP(K76, 'Alphabetical by species code'!A:B, 2, FALSE)</f>
        <v>Erodium moschatum</v>
      </c>
      <c r="M76" s="9" t="str">
        <f>VLOOKUP(L76, 'Alphabetical by species code'!B:C, 2, FALSE)</f>
        <v>Non-Native</v>
      </c>
    </row>
    <row r="77">
      <c r="A77" s="7">
        <v>1.0</v>
      </c>
      <c r="B77" s="7">
        <v>2025.0</v>
      </c>
      <c r="C77" s="8">
        <v>45764.0</v>
      </c>
      <c r="D77" s="7" t="s">
        <v>25</v>
      </c>
      <c r="E77" s="7" t="s">
        <v>26</v>
      </c>
      <c r="F77" s="7">
        <v>1.0</v>
      </c>
      <c r="G77" s="7" t="s">
        <v>27</v>
      </c>
      <c r="H77" s="7">
        <v>2.0</v>
      </c>
      <c r="I77" s="7">
        <v>7.0</v>
      </c>
      <c r="J77" s="7">
        <v>3.5</v>
      </c>
      <c r="K77" s="7" t="s">
        <v>35</v>
      </c>
      <c r="L77" s="9" t="str">
        <f>VLOOKUP(K77, 'Alphabetical by species code'!A:B, 2, FALSE)</f>
        <v>Deinandra fasciculata</v>
      </c>
      <c r="M77" s="9" t="str">
        <f>VLOOKUP(L77, 'Alphabetical by species code'!B:C, 2, FALSE)</f>
        <v>Native</v>
      </c>
    </row>
    <row r="78">
      <c r="A78" s="7">
        <v>1.0</v>
      </c>
      <c r="B78" s="7">
        <v>2025.0</v>
      </c>
      <c r="C78" s="8">
        <v>45764.0</v>
      </c>
      <c r="D78" s="7" t="s">
        <v>25</v>
      </c>
      <c r="E78" s="7" t="s">
        <v>26</v>
      </c>
      <c r="F78" s="7">
        <v>1.0</v>
      </c>
      <c r="G78" s="7" t="s">
        <v>27</v>
      </c>
      <c r="H78" s="7">
        <v>2.0</v>
      </c>
      <c r="I78" s="7">
        <v>8.0</v>
      </c>
      <c r="J78" s="7">
        <v>4.0</v>
      </c>
      <c r="K78" s="7" t="s">
        <v>28</v>
      </c>
      <c r="L78" s="9" t="str">
        <f>VLOOKUP(K78, 'Alphabetical by species code'!A:B, 2, FALSE)</f>
        <v>Litter</v>
      </c>
      <c r="M78" s="9" t="str">
        <f>VLOOKUP(L78, 'Alphabetical by species code'!B:C, 2, FALSE)</f>
        <v>Ground Cover</v>
      </c>
    </row>
    <row r="79">
      <c r="A79" s="7">
        <v>1.0</v>
      </c>
      <c r="B79" s="7">
        <v>2025.0</v>
      </c>
      <c r="C79" s="8">
        <v>45764.0</v>
      </c>
      <c r="D79" s="7" t="s">
        <v>25</v>
      </c>
      <c r="E79" s="7" t="s">
        <v>26</v>
      </c>
      <c r="F79" s="7">
        <v>1.0</v>
      </c>
      <c r="G79" s="7" t="s">
        <v>27</v>
      </c>
      <c r="H79" s="7">
        <v>2.0</v>
      </c>
      <c r="I79" s="7">
        <v>8.0</v>
      </c>
      <c r="J79" s="7">
        <v>4.0</v>
      </c>
      <c r="K79" s="7" t="s">
        <v>30</v>
      </c>
      <c r="L79" s="9" t="str">
        <f>VLOOKUP(K79, 'Alphabetical by species code'!A:B, 2, FALSE)</f>
        <v>Erodium moschatum</v>
      </c>
      <c r="M79" s="9" t="str">
        <f>VLOOKUP(L79, 'Alphabetical by species code'!B:C, 2, FALSE)</f>
        <v>Non-Native</v>
      </c>
    </row>
    <row r="80">
      <c r="A80" s="7">
        <v>1.0</v>
      </c>
      <c r="B80" s="7">
        <v>2025.0</v>
      </c>
      <c r="C80" s="8">
        <v>45764.0</v>
      </c>
      <c r="D80" s="7" t="s">
        <v>25</v>
      </c>
      <c r="E80" s="7" t="s">
        <v>26</v>
      </c>
      <c r="F80" s="7">
        <v>1.0</v>
      </c>
      <c r="G80" s="7" t="s">
        <v>27</v>
      </c>
      <c r="H80" s="7">
        <v>2.0</v>
      </c>
      <c r="I80" s="7">
        <v>9.0</v>
      </c>
      <c r="J80" s="7">
        <v>4.5</v>
      </c>
      <c r="K80" s="7" t="s">
        <v>28</v>
      </c>
      <c r="L80" s="9" t="str">
        <f>VLOOKUP(K80, 'Alphabetical by species code'!A:B, 2, FALSE)</f>
        <v>Litter</v>
      </c>
      <c r="M80" s="9" t="str">
        <f>VLOOKUP(L80, 'Alphabetical by species code'!B:C, 2, FALSE)</f>
        <v>Ground Cover</v>
      </c>
    </row>
    <row r="81">
      <c r="A81" s="7">
        <v>1.0</v>
      </c>
      <c r="B81" s="7">
        <v>2025.0</v>
      </c>
      <c r="C81" s="8">
        <v>45764.0</v>
      </c>
      <c r="D81" s="7" t="s">
        <v>25</v>
      </c>
      <c r="E81" s="7" t="s">
        <v>26</v>
      </c>
      <c r="F81" s="7">
        <v>1.0</v>
      </c>
      <c r="G81" s="7" t="s">
        <v>27</v>
      </c>
      <c r="H81" s="7">
        <v>2.0</v>
      </c>
      <c r="I81" s="7">
        <v>9.0</v>
      </c>
      <c r="J81" s="7">
        <v>4.5</v>
      </c>
      <c r="K81" s="7" t="s">
        <v>36</v>
      </c>
      <c r="L81" s="9" t="str">
        <f>VLOOKUP(K81, 'Alphabetical by species code'!A:B, 2, FALSE)</f>
        <v>Bromus madritensis</v>
      </c>
      <c r="M81" s="9" t="str">
        <f>VLOOKUP(L81, 'Alphabetical by species code'!B:C, 2, FALSE)</f>
        <v>Non-Native</v>
      </c>
    </row>
    <row r="82">
      <c r="A82" s="7">
        <v>1.0</v>
      </c>
      <c r="B82" s="7">
        <v>2025.0</v>
      </c>
      <c r="C82" s="8">
        <v>45764.0</v>
      </c>
      <c r="D82" s="7" t="s">
        <v>25</v>
      </c>
      <c r="E82" s="7" t="s">
        <v>26</v>
      </c>
      <c r="F82" s="7">
        <v>1.0</v>
      </c>
      <c r="G82" s="7" t="s">
        <v>27</v>
      </c>
      <c r="H82" s="7">
        <v>2.0</v>
      </c>
      <c r="I82" s="7">
        <v>9.0</v>
      </c>
      <c r="J82" s="7">
        <v>4.5</v>
      </c>
      <c r="K82" s="7" t="s">
        <v>30</v>
      </c>
      <c r="L82" s="9" t="str">
        <f>VLOOKUP(K82, 'Alphabetical by species code'!A:B, 2, FALSE)</f>
        <v>Erodium moschatum</v>
      </c>
      <c r="M82" s="9" t="str">
        <f>VLOOKUP(L82, 'Alphabetical by species code'!B:C, 2, FALSE)</f>
        <v>Non-Native</v>
      </c>
    </row>
    <row r="83">
      <c r="A83" s="7">
        <v>1.0</v>
      </c>
      <c r="B83" s="7">
        <v>2025.0</v>
      </c>
      <c r="C83" s="8">
        <v>45764.0</v>
      </c>
      <c r="D83" s="7" t="s">
        <v>25</v>
      </c>
      <c r="E83" s="7" t="s">
        <v>26</v>
      </c>
      <c r="F83" s="7">
        <v>1.0</v>
      </c>
      <c r="G83" s="7" t="s">
        <v>27</v>
      </c>
      <c r="H83" s="7">
        <v>2.0</v>
      </c>
      <c r="I83" s="7">
        <v>10.0</v>
      </c>
      <c r="J83" s="7">
        <v>5.0</v>
      </c>
      <c r="K83" s="7" t="s">
        <v>28</v>
      </c>
      <c r="L83" s="9" t="str">
        <f>VLOOKUP(K83, 'Alphabetical by species code'!A:B, 2, FALSE)</f>
        <v>Litter</v>
      </c>
      <c r="M83" s="9" t="str">
        <f>VLOOKUP(L83, 'Alphabetical by species code'!B:C, 2, FALSE)</f>
        <v>Ground Cover</v>
      </c>
    </row>
    <row r="84">
      <c r="A84" s="7">
        <v>1.0</v>
      </c>
      <c r="B84" s="7">
        <v>2025.0</v>
      </c>
      <c r="C84" s="8">
        <v>45764.0</v>
      </c>
      <c r="D84" s="7" t="s">
        <v>25</v>
      </c>
      <c r="E84" s="7" t="s">
        <v>26</v>
      </c>
      <c r="F84" s="7">
        <v>1.0</v>
      </c>
      <c r="G84" s="7" t="s">
        <v>27</v>
      </c>
      <c r="H84" s="7">
        <v>2.0</v>
      </c>
      <c r="I84" s="7">
        <v>10.0</v>
      </c>
      <c r="J84" s="7">
        <v>5.0</v>
      </c>
      <c r="K84" s="7" t="s">
        <v>37</v>
      </c>
      <c r="L84" s="9" t="str">
        <f>VLOOKUP(K84, 'Alphabetical by species code'!A:B, 2, FALSE)</f>
        <v>Sonchus oleraceus</v>
      </c>
      <c r="M84" s="9" t="str">
        <f>VLOOKUP(L84, 'Alphabetical by species code'!B:C, 2, FALSE)</f>
        <v>Non-Native</v>
      </c>
    </row>
    <row r="85">
      <c r="A85" s="7">
        <v>1.0</v>
      </c>
      <c r="B85" s="7">
        <v>2025.0</v>
      </c>
      <c r="C85" s="8">
        <v>45764.0</v>
      </c>
      <c r="D85" s="7" t="s">
        <v>25</v>
      </c>
      <c r="E85" s="7" t="s">
        <v>26</v>
      </c>
      <c r="F85" s="7">
        <v>1.0</v>
      </c>
      <c r="G85" s="7" t="s">
        <v>27</v>
      </c>
      <c r="H85" s="7">
        <v>2.0</v>
      </c>
      <c r="I85" s="7">
        <v>10.0</v>
      </c>
      <c r="J85" s="7">
        <v>5.0</v>
      </c>
      <c r="K85" s="7" t="s">
        <v>30</v>
      </c>
      <c r="L85" s="9" t="str">
        <f>VLOOKUP(K85, 'Alphabetical by species code'!A:B, 2, FALSE)</f>
        <v>Erodium moschatum</v>
      </c>
      <c r="M85" s="9" t="str">
        <f>VLOOKUP(L85, 'Alphabetical by species code'!B:C, 2, FALSE)</f>
        <v>Non-Native</v>
      </c>
    </row>
    <row r="86">
      <c r="A86" s="7">
        <v>1.0</v>
      </c>
      <c r="B86" s="7">
        <v>2025.0</v>
      </c>
      <c r="C86" s="8">
        <v>45764.0</v>
      </c>
      <c r="D86" s="7" t="s">
        <v>25</v>
      </c>
      <c r="E86" s="7" t="s">
        <v>26</v>
      </c>
      <c r="F86" s="7">
        <v>1.0</v>
      </c>
      <c r="G86" s="7" t="s">
        <v>27</v>
      </c>
      <c r="H86" s="7">
        <v>2.0</v>
      </c>
      <c r="I86" s="7">
        <v>10.0</v>
      </c>
      <c r="J86" s="7">
        <v>5.0</v>
      </c>
      <c r="K86" s="7" t="s">
        <v>36</v>
      </c>
      <c r="L86" s="9" t="str">
        <f>VLOOKUP(K86, 'Alphabetical by species code'!A:B, 2, FALSE)</f>
        <v>Bromus madritensis</v>
      </c>
      <c r="M86" s="9" t="str">
        <f>VLOOKUP(L86, 'Alphabetical by species code'!B:C, 2, FALSE)</f>
        <v>Non-Native</v>
      </c>
    </row>
    <row r="87">
      <c r="A87" s="7">
        <v>1.0</v>
      </c>
      <c r="B87" s="7">
        <v>2025.0</v>
      </c>
      <c r="C87" s="8">
        <v>45764.0</v>
      </c>
      <c r="D87" s="7" t="s">
        <v>25</v>
      </c>
      <c r="E87" s="7" t="s">
        <v>26</v>
      </c>
      <c r="F87" s="7">
        <v>1.0</v>
      </c>
      <c r="G87" s="7" t="s">
        <v>27</v>
      </c>
      <c r="H87" s="7">
        <v>2.0</v>
      </c>
      <c r="I87" s="7">
        <v>11.0</v>
      </c>
      <c r="J87" s="7">
        <v>5.5</v>
      </c>
      <c r="K87" s="7" t="s">
        <v>28</v>
      </c>
      <c r="L87" s="9" t="str">
        <f>VLOOKUP(K87, 'Alphabetical by species code'!A:B, 2, FALSE)</f>
        <v>Litter</v>
      </c>
      <c r="M87" s="9" t="str">
        <f>VLOOKUP(L87, 'Alphabetical by species code'!B:C, 2, FALSE)</f>
        <v>Ground Cover</v>
      </c>
    </row>
    <row r="88">
      <c r="A88" s="7">
        <v>1.0</v>
      </c>
      <c r="B88" s="7">
        <v>2025.0</v>
      </c>
      <c r="C88" s="8">
        <v>45764.0</v>
      </c>
      <c r="D88" s="7" t="s">
        <v>25</v>
      </c>
      <c r="E88" s="7" t="s">
        <v>26</v>
      </c>
      <c r="F88" s="7">
        <v>1.0</v>
      </c>
      <c r="G88" s="7" t="s">
        <v>27</v>
      </c>
      <c r="H88" s="7">
        <v>2.0</v>
      </c>
      <c r="I88" s="7">
        <v>11.0</v>
      </c>
      <c r="J88" s="7">
        <v>5.5</v>
      </c>
      <c r="K88" s="7" t="s">
        <v>29</v>
      </c>
      <c r="L88" s="9" t="str">
        <f>VLOOKUP(K88, 'Alphabetical by species code'!A:B, 2, FALSE)</f>
        <v>Opuntia littoralis</v>
      </c>
      <c r="M88" s="9" t="str">
        <f>VLOOKUP(L88, 'Alphabetical by species code'!B:C, 2, FALSE)</f>
        <v>Native</v>
      </c>
    </row>
    <row r="89">
      <c r="A89" s="7">
        <v>1.0</v>
      </c>
      <c r="B89" s="7">
        <v>2025.0</v>
      </c>
      <c r="C89" s="8">
        <v>45764.0</v>
      </c>
      <c r="D89" s="7" t="s">
        <v>25</v>
      </c>
      <c r="E89" s="7" t="s">
        <v>26</v>
      </c>
      <c r="F89" s="7">
        <v>1.0</v>
      </c>
      <c r="G89" s="7" t="s">
        <v>27</v>
      </c>
      <c r="H89" s="7">
        <v>2.0</v>
      </c>
      <c r="I89" s="7">
        <v>11.0</v>
      </c>
      <c r="J89" s="7">
        <v>5.5</v>
      </c>
      <c r="K89" s="7" t="s">
        <v>37</v>
      </c>
      <c r="L89" s="9" t="str">
        <f>VLOOKUP(K89, 'Alphabetical by species code'!A:B, 2, FALSE)</f>
        <v>Sonchus oleraceus</v>
      </c>
      <c r="M89" s="9" t="str">
        <f>VLOOKUP(L89, 'Alphabetical by species code'!B:C, 2, FALSE)</f>
        <v>Non-Native</v>
      </c>
    </row>
    <row r="90">
      <c r="A90" s="7">
        <v>1.0</v>
      </c>
      <c r="B90" s="7">
        <v>2025.0</v>
      </c>
      <c r="C90" s="8">
        <v>45764.0</v>
      </c>
      <c r="D90" s="7" t="s">
        <v>25</v>
      </c>
      <c r="E90" s="7" t="s">
        <v>26</v>
      </c>
      <c r="F90" s="7">
        <v>1.0</v>
      </c>
      <c r="G90" s="7" t="s">
        <v>27</v>
      </c>
      <c r="H90" s="7">
        <v>2.0</v>
      </c>
      <c r="I90" s="7">
        <v>12.0</v>
      </c>
      <c r="J90" s="7">
        <v>6.0</v>
      </c>
      <c r="K90" s="7" t="s">
        <v>28</v>
      </c>
      <c r="L90" s="9" t="str">
        <f>VLOOKUP(K90, 'Alphabetical by species code'!A:B, 2, FALSE)</f>
        <v>Litter</v>
      </c>
      <c r="M90" s="9" t="str">
        <f>VLOOKUP(L90, 'Alphabetical by species code'!B:C, 2, FALSE)</f>
        <v>Ground Cover</v>
      </c>
    </row>
    <row r="91">
      <c r="A91" s="7">
        <v>1.0</v>
      </c>
      <c r="B91" s="7">
        <v>2025.0</v>
      </c>
      <c r="C91" s="8">
        <v>45764.0</v>
      </c>
      <c r="D91" s="7" t="s">
        <v>25</v>
      </c>
      <c r="E91" s="7" t="s">
        <v>26</v>
      </c>
      <c r="F91" s="7">
        <v>1.0</v>
      </c>
      <c r="G91" s="7" t="s">
        <v>27</v>
      </c>
      <c r="H91" s="7">
        <v>2.0</v>
      </c>
      <c r="I91" s="7">
        <v>12.0</v>
      </c>
      <c r="J91" s="7">
        <v>6.0</v>
      </c>
      <c r="K91" s="7" t="s">
        <v>36</v>
      </c>
      <c r="L91" s="9" t="str">
        <f>VLOOKUP(K91, 'Alphabetical by species code'!A:B, 2, FALSE)</f>
        <v>Bromus madritensis</v>
      </c>
      <c r="M91" s="9" t="str">
        <f>VLOOKUP(L91, 'Alphabetical by species code'!B:C, 2, FALSE)</f>
        <v>Non-Native</v>
      </c>
    </row>
    <row r="92">
      <c r="A92" s="7">
        <v>1.0</v>
      </c>
      <c r="B92" s="7">
        <v>2025.0</v>
      </c>
      <c r="C92" s="8">
        <v>45764.0</v>
      </c>
      <c r="D92" s="7" t="s">
        <v>25</v>
      </c>
      <c r="E92" s="7" t="s">
        <v>26</v>
      </c>
      <c r="F92" s="7">
        <v>1.0</v>
      </c>
      <c r="G92" s="7" t="s">
        <v>27</v>
      </c>
      <c r="H92" s="7">
        <v>2.0</v>
      </c>
      <c r="I92" s="7">
        <v>12.0</v>
      </c>
      <c r="J92" s="7">
        <v>6.0</v>
      </c>
      <c r="K92" s="7" t="s">
        <v>37</v>
      </c>
      <c r="L92" s="9" t="str">
        <f>VLOOKUP(K92, 'Alphabetical by species code'!A:B, 2, FALSE)</f>
        <v>Sonchus oleraceus</v>
      </c>
      <c r="M92" s="9" t="str">
        <f>VLOOKUP(L92, 'Alphabetical by species code'!B:C, 2, FALSE)</f>
        <v>Non-Native</v>
      </c>
    </row>
    <row r="93">
      <c r="A93" s="7">
        <v>1.0</v>
      </c>
      <c r="B93" s="7">
        <v>2025.0</v>
      </c>
      <c r="C93" s="8">
        <v>45764.0</v>
      </c>
      <c r="D93" s="7" t="s">
        <v>25</v>
      </c>
      <c r="E93" s="7" t="s">
        <v>26</v>
      </c>
      <c r="F93" s="7">
        <v>1.0</v>
      </c>
      <c r="G93" s="7" t="s">
        <v>27</v>
      </c>
      <c r="H93" s="7">
        <v>2.0</v>
      </c>
      <c r="I93" s="7">
        <v>12.0</v>
      </c>
      <c r="J93" s="7">
        <v>6.0</v>
      </c>
      <c r="K93" s="7" t="s">
        <v>32</v>
      </c>
      <c r="L93" s="9" t="str">
        <f>VLOOKUP(K93, 'Alphabetical by species code'!A:B, 2, FALSE)</f>
        <v>Medicago polymorpha</v>
      </c>
      <c r="M93" s="9" t="str">
        <f>VLOOKUP(L93, 'Alphabetical by species code'!B:C, 2, FALSE)</f>
        <v>Non-Native</v>
      </c>
    </row>
    <row r="94">
      <c r="A94" s="7">
        <v>1.0</v>
      </c>
      <c r="B94" s="7">
        <v>2025.0</v>
      </c>
      <c r="C94" s="8">
        <v>45764.0</v>
      </c>
      <c r="D94" s="7" t="s">
        <v>25</v>
      </c>
      <c r="E94" s="7" t="s">
        <v>26</v>
      </c>
      <c r="F94" s="7">
        <v>1.0</v>
      </c>
      <c r="G94" s="7" t="s">
        <v>27</v>
      </c>
      <c r="H94" s="7">
        <v>2.0</v>
      </c>
      <c r="I94" s="7">
        <v>13.0</v>
      </c>
      <c r="J94" s="7">
        <v>6.5</v>
      </c>
      <c r="K94" s="7" t="s">
        <v>28</v>
      </c>
      <c r="L94" s="9" t="str">
        <f>VLOOKUP(K94, 'Alphabetical by species code'!A:B, 2, FALSE)</f>
        <v>Litter</v>
      </c>
      <c r="M94" s="9" t="str">
        <f>VLOOKUP(L94, 'Alphabetical by species code'!B:C, 2, FALSE)</f>
        <v>Ground Cover</v>
      </c>
    </row>
    <row r="95">
      <c r="A95" s="7">
        <v>1.0</v>
      </c>
      <c r="B95" s="7">
        <v>2025.0</v>
      </c>
      <c r="C95" s="8">
        <v>45764.0</v>
      </c>
      <c r="D95" s="7" t="s">
        <v>25</v>
      </c>
      <c r="E95" s="7" t="s">
        <v>26</v>
      </c>
      <c r="F95" s="7">
        <v>1.0</v>
      </c>
      <c r="G95" s="7" t="s">
        <v>27</v>
      </c>
      <c r="H95" s="7">
        <v>2.0</v>
      </c>
      <c r="I95" s="7">
        <v>13.0</v>
      </c>
      <c r="J95" s="7">
        <v>6.5</v>
      </c>
      <c r="K95" s="7" t="s">
        <v>36</v>
      </c>
      <c r="L95" s="9" t="str">
        <f>VLOOKUP(K95, 'Alphabetical by species code'!A:B, 2, FALSE)</f>
        <v>Bromus madritensis</v>
      </c>
      <c r="M95" s="9" t="str">
        <f>VLOOKUP(L95, 'Alphabetical by species code'!B:C, 2, FALSE)</f>
        <v>Non-Native</v>
      </c>
    </row>
    <row r="96">
      <c r="A96" s="7">
        <v>1.0</v>
      </c>
      <c r="B96" s="7">
        <v>2025.0</v>
      </c>
      <c r="C96" s="8">
        <v>45764.0</v>
      </c>
      <c r="D96" s="7" t="s">
        <v>25</v>
      </c>
      <c r="E96" s="7" t="s">
        <v>26</v>
      </c>
      <c r="F96" s="7">
        <v>1.0</v>
      </c>
      <c r="G96" s="7" t="s">
        <v>27</v>
      </c>
      <c r="H96" s="7">
        <v>2.0</v>
      </c>
      <c r="I96" s="7">
        <v>13.0</v>
      </c>
      <c r="J96" s="7">
        <v>6.5</v>
      </c>
      <c r="K96" s="7" t="s">
        <v>35</v>
      </c>
      <c r="L96" s="9" t="str">
        <f>VLOOKUP(K96, 'Alphabetical by species code'!A:B, 2, FALSE)</f>
        <v>Deinandra fasciculata</v>
      </c>
      <c r="M96" s="9" t="str">
        <f>VLOOKUP(L96, 'Alphabetical by species code'!B:C, 2, FALSE)</f>
        <v>Native</v>
      </c>
    </row>
    <row r="97">
      <c r="A97" s="7">
        <v>1.0</v>
      </c>
      <c r="B97" s="7">
        <v>2025.0</v>
      </c>
      <c r="C97" s="8">
        <v>45764.0</v>
      </c>
      <c r="D97" s="7" t="s">
        <v>25</v>
      </c>
      <c r="E97" s="7" t="s">
        <v>26</v>
      </c>
      <c r="F97" s="7">
        <v>1.0</v>
      </c>
      <c r="G97" s="7" t="s">
        <v>27</v>
      </c>
      <c r="H97" s="7">
        <v>2.0</v>
      </c>
      <c r="I97" s="7">
        <v>14.0</v>
      </c>
      <c r="J97" s="7">
        <v>7.0</v>
      </c>
      <c r="K97" s="7" t="s">
        <v>28</v>
      </c>
      <c r="L97" s="9" t="str">
        <f>VLOOKUP(K97, 'Alphabetical by species code'!A:B, 2, FALSE)</f>
        <v>Litter</v>
      </c>
      <c r="M97" s="9" t="str">
        <f>VLOOKUP(L97, 'Alphabetical by species code'!B:C, 2, FALSE)</f>
        <v>Ground Cover</v>
      </c>
    </row>
    <row r="98">
      <c r="A98" s="7">
        <v>1.0</v>
      </c>
      <c r="B98" s="7">
        <v>2025.0</v>
      </c>
      <c r="C98" s="8">
        <v>45764.0</v>
      </c>
      <c r="D98" s="7" t="s">
        <v>25</v>
      </c>
      <c r="E98" s="7" t="s">
        <v>26</v>
      </c>
      <c r="F98" s="7">
        <v>1.0</v>
      </c>
      <c r="G98" s="7" t="s">
        <v>27</v>
      </c>
      <c r="H98" s="7">
        <v>2.0</v>
      </c>
      <c r="I98" s="7">
        <v>14.0</v>
      </c>
      <c r="J98" s="7">
        <v>7.0</v>
      </c>
      <c r="K98" s="7" t="s">
        <v>36</v>
      </c>
      <c r="L98" s="9" t="str">
        <f>VLOOKUP(K98, 'Alphabetical by species code'!A:B, 2, FALSE)</f>
        <v>Bromus madritensis</v>
      </c>
      <c r="M98" s="9" t="str">
        <f>VLOOKUP(L98, 'Alphabetical by species code'!B:C, 2, FALSE)</f>
        <v>Non-Native</v>
      </c>
    </row>
    <row r="99">
      <c r="A99" s="7">
        <v>1.0</v>
      </c>
      <c r="B99" s="7">
        <v>2025.0</v>
      </c>
      <c r="C99" s="8">
        <v>45764.0</v>
      </c>
      <c r="D99" s="7" t="s">
        <v>25</v>
      </c>
      <c r="E99" s="7" t="s">
        <v>26</v>
      </c>
      <c r="F99" s="7">
        <v>1.0</v>
      </c>
      <c r="G99" s="7" t="s">
        <v>27</v>
      </c>
      <c r="H99" s="7">
        <v>2.0</v>
      </c>
      <c r="I99" s="7">
        <v>14.0</v>
      </c>
      <c r="J99" s="7">
        <v>7.0</v>
      </c>
      <c r="K99" s="7" t="s">
        <v>37</v>
      </c>
      <c r="L99" s="9" t="str">
        <f>VLOOKUP(K99, 'Alphabetical by species code'!A:B, 2, FALSE)</f>
        <v>Sonchus oleraceus</v>
      </c>
      <c r="M99" s="9" t="str">
        <f>VLOOKUP(L99, 'Alphabetical by species code'!B:C, 2, FALSE)</f>
        <v>Non-Native</v>
      </c>
    </row>
    <row r="100">
      <c r="A100" s="7">
        <v>1.0</v>
      </c>
      <c r="B100" s="7">
        <v>2025.0</v>
      </c>
      <c r="C100" s="8">
        <v>45764.0</v>
      </c>
      <c r="D100" s="7" t="s">
        <v>25</v>
      </c>
      <c r="E100" s="7" t="s">
        <v>26</v>
      </c>
      <c r="F100" s="7">
        <v>1.0</v>
      </c>
      <c r="G100" s="7" t="s">
        <v>27</v>
      </c>
      <c r="H100" s="7">
        <v>2.0</v>
      </c>
      <c r="I100" s="7">
        <v>14.0</v>
      </c>
      <c r="J100" s="7">
        <v>7.0</v>
      </c>
      <c r="K100" s="7" t="s">
        <v>32</v>
      </c>
      <c r="L100" s="9" t="str">
        <f>VLOOKUP(K100, 'Alphabetical by species code'!A:B, 2, FALSE)</f>
        <v>Medicago polymorpha</v>
      </c>
      <c r="M100" s="9" t="str">
        <f>VLOOKUP(L100, 'Alphabetical by species code'!B:C, 2, FALSE)</f>
        <v>Non-Native</v>
      </c>
    </row>
    <row r="101">
      <c r="A101" s="7">
        <v>1.0</v>
      </c>
      <c r="B101" s="7">
        <v>2025.0</v>
      </c>
      <c r="C101" s="8">
        <v>45764.0</v>
      </c>
      <c r="D101" s="7" t="s">
        <v>25</v>
      </c>
      <c r="E101" s="7" t="s">
        <v>26</v>
      </c>
      <c r="F101" s="7">
        <v>1.0</v>
      </c>
      <c r="G101" s="7" t="s">
        <v>27</v>
      </c>
      <c r="H101" s="7">
        <v>2.0</v>
      </c>
      <c r="I101" s="7">
        <v>15.0</v>
      </c>
      <c r="J101" s="7">
        <v>7.5</v>
      </c>
      <c r="K101" s="7" t="s">
        <v>28</v>
      </c>
      <c r="L101" s="9" t="str">
        <f>VLOOKUP(K101, 'Alphabetical by species code'!A:B, 2, FALSE)</f>
        <v>Litter</v>
      </c>
      <c r="M101" s="9" t="str">
        <f>VLOOKUP(L101, 'Alphabetical by species code'!B:C, 2, FALSE)</f>
        <v>Ground Cover</v>
      </c>
    </row>
    <row r="102">
      <c r="A102" s="7">
        <v>1.0</v>
      </c>
      <c r="B102" s="7">
        <v>2025.0</v>
      </c>
      <c r="C102" s="8">
        <v>45764.0</v>
      </c>
      <c r="D102" s="7" t="s">
        <v>25</v>
      </c>
      <c r="E102" s="7" t="s">
        <v>26</v>
      </c>
      <c r="F102" s="7">
        <v>1.0</v>
      </c>
      <c r="G102" s="7" t="s">
        <v>27</v>
      </c>
      <c r="H102" s="7">
        <v>2.0</v>
      </c>
      <c r="I102" s="7">
        <v>15.0</v>
      </c>
      <c r="J102" s="7">
        <v>7.5</v>
      </c>
      <c r="K102" s="7" t="s">
        <v>32</v>
      </c>
      <c r="L102" s="9" t="str">
        <f>VLOOKUP(K102, 'Alphabetical by species code'!A:B, 2, FALSE)</f>
        <v>Medicago polymorpha</v>
      </c>
      <c r="M102" s="9" t="str">
        <f>VLOOKUP(L102, 'Alphabetical by species code'!B:C, 2, FALSE)</f>
        <v>Non-Native</v>
      </c>
    </row>
    <row r="103">
      <c r="A103" s="7">
        <v>1.0</v>
      </c>
      <c r="B103" s="7">
        <v>2025.0</v>
      </c>
      <c r="C103" s="8">
        <v>45764.0</v>
      </c>
      <c r="D103" s="7" t="s">
        <v>25</v>
      </c>
      <c r="E103" s="7" t="s">
        <v>26</v>
      </c>
      <c r="F103" s="7">
        <v>1.0</v>
      </c>
      <c r="G103" s="7" t="s">
        <v>27</v>
      </c>
      <c r="H103" s="7">
        <v>2.0</v>
      </c>
      <c r="I103" s="7">
        <v>15.0</v>
      </c>
      <c r="J103" s="7">
        <v>7.5</v>
      </c>
      <c r="K103" s="7" t="s">
        <v>35</v>
      </c>
      <c r="L103" s="9" t="str">
        <f>VLOOKUP(K103, 'Alphabetical by species code'!A:B, 2, FALSE)</f>
        <v>Deinandra fasciculata</v>
      </c>
      <c r="M103" s="9" t="str">
        <f>VLOOKUP(L103, 'Alphabetical by species code'!B:C, 2, FALSE)</f>
        <v>Native</v>
      </c>
    </row>
    <row r="104">
      <c r="A104" s="7">
        <v>1.0</v>
      </c>
      <c r="B104" s="7">
        <v>2025.0</v>
      </c>
      <c r="C104" s="8">
        <v>45764.0</v>
      </c>
      <c r="D104" s="7" t="s">
        <v>25</v>
      </c>
      <c r="E104" s="7" t="s">
        <v>26</v>
      </c>
      <c r="F104" s="7">
        <v>1.0</v>
      </c>
      <c r="G104" s="7" t="s">
        <v>27</v>
      </c>
      <c r="H104" s="7">
        <v>2.0</v>
      </c>
      <c r="I104" s="7">
        <v>15.0</v>
      </c>
      <c r="J104" s="7">
        <v>7.5</v>
      </c>
      <c r="K104" s="7" t="s">
        <v>30</v>
      </c>
      <c r="L104" s="9" t="str">
        <f>VLOOKUP(K104, 'Alphabetical by species code'!A:B, 2, FALSE)</f>
        <v>Erodium moschatum</v>
      </c>
      <c r="M104" s="9" t="str">
        <f>VLOOKUP(L104, 'Alphabetical by species code'!B:C, 2, FALSE)</f>
        <v>Non-Native</v>
      </c>
    </row>
    <row r="105">
      <c r="A105" s="7">
        <v>2.0</v>
      </c>
      <c r="B105" s="7">
        <v>2025.0</v>
      </c>
      <c r="C105" s="10">
        <v>45755.0</v>
      </c>
      <c r="D105" s="7" t="s">
        <v>45</v>
      </c>
      <c r="E105" s="7" t="s">
        <v>26</v>
      </c>
      <c r="F105" s="7">
        <v>1.0</v>
      </c>
      <c r="G105" s="7" t="s">
        <v>46</v>
      </c>
      <c r="H105" s="7">
        <v>1.0</v>
      </c>
      <c r="I105" s="7">
        <v>1.0</v>
      </c>
      <c r="J105" s="7">
        <v>0.0</v>
      </c>
      <c r="K105" s="7" t="s">
        <v>28</v>
      </c>
      <c r="L105" s="9" t="str">
        <f>VLOOKUP(K105, 'Alphabetical by species code'!A:B, 2, FALSE)</f>
        <v>Litter</v>
      </c>
      <c r="M105" s="9" t="str">
        <f>VLOOKUP(L105, 'Alphabetical by species code'!B:C, 2, FALSE)</f>
        <v>Ground Cover</v>
      </c>
    </row>
    <row r="106">
      <c r="A106" s="7">
        <v>2.0</v>
      </c>
      <c r="B106" s="7">
        <v>2025.0</v>
      </c>
      <c r="C106" s="10">
        <v>45755.0</v>
      </c>
      <c r="D106" s="7" t="s">
        <v>45</v>
      </c>
      <c r="E106" s="7" t="s">
        <v>26</v>
      </c>
      <c r="F106" s="7">
        <v>1.0</v>
      </c>
      <c r="G106" s="7" t="s">
        <v>46</v>
      </c>
      <c r="H106" s="7">
        <v>1.0</v>
      </c>
      <c r="I106" s="7">
        <v>1.0</v>
      </c>
      <c r="J106" s="7">
        <v>0.0</v>
      </c>
      <c r="K106" s="7" t="s">
        <v>42</v>
      </c>
      <c r="L106" s="9" t="str">
        <f>VLOOKUP(K106, 'Alphabetical by species code'!A:B, 2, FALSE)</f>
        <v>Centaurea melitensis</v>
      </c>
      <c r="M106" s="9" t="str">
        <f>VLOOKUP(L106, 'Alphabetical by species code'!B:C, 2, FALSE)</f>
        <v>Non-Native</v>
      </c>
    </row>
    <row r="107">
      <c r="A107" s="7">
        <v>2.0</v>
      </c>
      <c r="B107" s="7">
        <v>2025.0</v>
      </c>
      <c r="C107" s="10">
        <v>45755.0</v>
      </c>
      <c r="D107" s="7" t="s">
        <v>45</v>
      </c>
      <c r="E107" s="7" t="s">
        <v>26</v>
      </c>
      <c r="F107" s="7">
        <v>1.0</v>
      </c>
      <c r="G107" s="7" t="s">
        <v>46</v>
      </c>
      <c r="H107" s="7">
        <v>1.0</v>
      </c>
      <c r="I107" s="7">
        <v>1.0</v>
      </c>
      <c r="J107" s="7">
        <v>0.0</v>
      </c>
      <c r="K107" s="7" t="s">
        <v>35</v>
      </c>
      <c r="L107" s="9" t="str">
        <f>VLOOKUP(K107, 'Alphabetical by species code'!A:B, 2, FALSE)</f>
        <v>Deinandra fasciculata</v>
      </c>
      <c r="M107" s="9" t="str">
        <f>VLOOKUP(L107, 'Alphabetical by species code'!B:C, 2, FALSE)</f>
        <v>Native</v>
      </c>
    </row>
    <row r="108">
      <c r="A108" s="7">
        <v>2.0</v>
      </c>
      <c r="B108" s="7">
        <v>2025.0</v>
      </c>
      <c r="C108" s="10">
        <v>45755.0</v>
      </c>
      <c r="D108" s="7" t="s">
        <v>45</v>
      </c>
      <c r="E108" s="7" t="s">
        <v>26</v>
      </c>
      <c r="F108" s="7">
        <v>1.0</v>
      </c>
      <c r="G108" s="7" t="s">
        <v>46</v>
      </c>
      <c r="H108" s="7">
        <v>1.0</v>
      </c>
      <c r="I108" s="7">
        <v>2.0</v>
      </c>
      <c r="J108" s="7">
        <v>0.5</v>
      </c>
      <c r="K108" s="7" t="s">
        <v>28</v>
      </c>
      <c r="L108" s="9" t="str">
        <f>VLOOKUP(K108, 'Alphabetical by species code'!A:B, 2, FALSE)</f>
        <v>Litter</v>
      </c>
      <c r="M108" s="9" t="str">
        <f>VLOOKUP(L108, 'Alphabetical by species code'!B:C, 2, FALSE)</f>
        <v>Ground Cover</v>
      </c>
    </row>
    <row r="109">
      <c r="A109" s="7">
        <v>2.0</v>
      </c>
      <c r="B109" s="7">
        <v>2025.0</v>
      </c>
      <c r="C109" s="10">
        <v>45755.0</v>
      </c>
      <c r="D109" s="7" t="s">
        <v>45</v>
      </c>
      <c r="E109" s="7" t="s">
        <v>26</v>
      </c>
      <c r="F109" s="7">
        <v>1.0</v>
      </c>
      <c r="G109" s="7" t="s">
        <v>46</v>
      </c>
      <c r="H109" s="7">
        <v>1.0</v>
      </c>
      <c r="I109" s="7">
        <v>3.0</v>
      </c>
      <c r="J109" s="7">
        <v>1.0</v>
      </c>
      <c r="K109" s="7" t="s">
        <v>28</v>
      </c>
      <c r="L109" s="9" t="str">
        <f>VLOOKUP(K109, 'Alphabetical by species code'!A:B, 2, FALSE)</f>
        <v>Litter</v>
      </c>
      <c r="M109" s="9" t="str">
        <f>VLOOKUP(L109, 'Alphabetical by species code'!B:C, 2, FALSE)</f>
        <v>Ground Cover</v>
      </c>
    </row>
    <row r="110">
      <c r="A110" s="7">
        <v>2.0</v>
      </c>
      <c r="B110" s="7">
        <v>2025.0</v>
      </c>
      <c r="C110" s="10">
        <v>45755.0</v>
      </c>
      <c r="D110" s="7" t="s">
        <v>45</v>
      </c>
      <c r="E110" s="7" t="s">
        <v>26</v>
      </c>
      <c r="F110" s="7">
        <v>1.0</v>
      </c>
      <c r="G110" s="7" t="s">
        <v>46</v>
      </c>
      <c r="H110" s="7">
        <v>1.0</v>
      </c>
      <c r="I110" s="7">
        <v>3.0</v>
      </c>
      <c r="J110" s="7">
        <v>1.0</v>
      </c>
      <c r="K110" s="7" t="s">
        <v>29</v>
      </c>
      <c r="L110" s="9" t="str">
        <f>VLOOKUP(K110, 'Alphabetical by species code'!A:B, 2, FALSE)</f>
        <v>Opuntia littoralis</v>
      </c>
      <c r="M110" s="9" t="str">
        <f>VLOOKUP(L110, 'Alphabetical by species code'!B:C, 2, FALSE)</f>
        <v>Native</v>
      </c>
    </row>
    <row r="111">
      <c r="A111" s="7">
        <v>2.0</v>
      </c>
      <c r="B111" s="7">
        <v>2025.0</v>
      </c>
      <c r="C111" s="10">
        <v>45755.0</v>
      </c>
      <c r="D111" s="7" t="s">
        <v>45</v>
      </c>
      <c r="E111" s="7" t="s">
        <v>26</v>
      </c>
      <c r="F111" s="7">
        <v>1.0</v>
      </c>
      <c r="G111" s="7" t="s">
        <v>46</v>
      </c>
      <c r="H111" s="7">
        <v>1.0</v>
      </c>
      <c r="I111" s="7">
        <v>3.0</v>
      </c>
      <c r="J111" s="7">
        <v>1.0</v>
      </c>
      <c r="K111" s="7" t="s">
        <v>31</v>
      </c>
      <c r="L111" s="9" t="str">
        <f>VLOOKUP(K111, 'Alphabetical by species code'!A:B, 2, FALSE)</f>
        <v>Festuca myuros</v>
      </c>
      <c r="M111" s="9" t="str">
        <f>VLOOKUP(L111, 'Alphabetical by species code'!B:C, 2, FALSE)</f>
        <v>Non-Native</v>
      </c>
    </row>
    <row r="112">
      <c r="A112" s="7">
        <v>2.0</v>
      </c>
      <c r="B112" s="7">
        <v>2025.0</v>
      </c>
      <c r="C112" s="10">
        <v>45755.0</v>
      </c>
      <c r="D112" s="7" t="s">
        <v>45</v>
      </c>
      <c r="E112" s="7" t="s">
        <v>26</v>
      </c>
      <c r="F112" s="7">
        <v>1.0</v>
      </c>
      <c r="G112" s="7" t="s">
        <v>46</v>
      </c>
      <c r="H112" s="7">
        <v>1.0</v>
      </c>
      <c r="I112" s="7">
        <v>4.0</v>
      </c>
      <c r="J112" s="7">
        <v>1.5</v>
      </c>
      <c r="K112" s="7" t="s">
        <v>28</v>
      </c>
      <c r="L112" s="9" t="str">
        <f>VLOOKUP(K112, 'Alphabetical by species code'!A:B, 2, FALSE)</f>
        <v>Litter</v>
      </c>
      <c r="M112" s="9" t="str">
        <f>VLOOKUP(L112, 'Alphabetical by species code'!B:C, 2, FALSE)</f>
        <v>Ground Cover</v>
      </c>
    </row>
    <row r="113">
      <c r="A113" s="7">
        <v>2.0</v>
      </c>
      <c r="B113" s="7">
        <v>2025.0</v>
      </c>
      <c r="C113" s="10">
        <v>45755.0</v>
      </c>
      <c r="D113" s="7" t="s">
        <v>45</v>
      </c>
      <c r="E113" s="7" t="s">
        <v>26</v>
      </c>
      <c r="F113" s="7">
        <v>1.0</v>
      </c>
      <c r="G113" s="7" t="s">
        <v>46</v>
      </c>
      <c r="H113" s="7">
        <v>1.0</v>
      </c>
      <c r="I113" s="7">
        <v>4.0</v>
      </c>
      <c r="J113" s="7">
        <v>1.5</v>
      </c>
      <c r="K113" s="7" t="s">
        <v>35</v>
      </c>
      <c r="L113" s="9" t="str">
        <f>VLOOKUP(K113, 'Alphabetical by species code'!A:B, 2, FALSE)</f>
        <v>Deinandra fasciculata</v>
      </c>
      <c r="M113" s="9" t="str">
        <f>VLOOKUP(L113, 'Alphabetical by species code'!B:C, 2, FALSE)</f>
        <v>Native</v>
      </c>
    </row>
    <row r="114">
      <c r="A114" s="7">
        <v>2.0</v>
      </c>
      <c r="B114" s="7">
        <v>2025.0</v>
      </c>
      <c r="C114" s="10">
        <v>45755.0</v>
      </c>
      <c r="D114" s="7" t="s">
        <v>45</v>
      </c>
      <c r="E114" s="7" t="s">
        <v>26</v>
      </c>
      <c r="F114" s="7">
        <v>1.0</v>
      </c>
      <c r="G114" s="7" t="s">
        <v>46</v>
      </c>
      <c r="H114" s="7">
        <v>1.0</v>
      </c>
      <c r="I114" s="7">
        <v>4.0</v>
      </c>
      <c r="J114" s="7">
        <v>1.5</v>
      </c>
      <c r="K114" s="7" t="s">
        <v>31</v>
      </c>
      <c r="L114" s="9" t="str">
        <f>VLOOKUP(K114, 'Alphabetical by species code'!A:B, 2, FALSE)</f>
        <v>Festuca myuros</v>
      </c>
      <c r="M114" s="9" t="str">
        <f>VLOOKUP(L114, 'Alphabetical by species code'!B:C, 2, FALSE)</f>
        <v>Non-Native</v>
      </c>
    </row>
    <row r="115">
      <c r="A115" s="7">
        <v>2.0</v>
      </c>
      <c r="B115" s="7">
        <v>2025.0</v>
      </c>
      <c r="C115" s="10">
        <v>45755.0</v>
      </c>
      <c r="D115" s="7" t="s">
        <v>45</v>
      </c>
      <c r="E115" s="7" t="s">
        <v>26</v>
      </c>
      <c r="F115" s="7">
        <v>1.0</v>
      </c>
      <c r="G115" s="7" t="s">
        <v>46</v>
      </c>
      <c r="H115" s="7">
        <v>1.0</v>
      </c>
      <c r="I115" s="7">
        <v>5.0</v>
      </c>
      <c r="J115" s="7">
        <v>2.0</v>
      </c>
      <c r="K115" s="7" t="s">
        <v>28</v>
      </c>
      <c r="L115" s="9" t="str">
        <f>VLOOKUP(K115, 'Alphabetical by species code'!A:B, 2, FALSE)</f>
        <v>Litter</v>
      </c>
      <c r="M115" s="9" t="str">
        <f>VLOOKUP(L115, 'Alphabetical by species code'!B:C, 2, FALSE)</f>
        <v>Ground Cover</v>
      </c>
    </row>
    <row r="116">
      <c r="A116" s="7">
        <v>2.0</v>
      </c>
      <c r="B116" s="7">
        <v>2025.0</v>
      </c>
      <c r="C116" s="10">
        <v>45755.0</v>
      </c>
      <c r="D116" s="7" t="s">
        <v>45</v>
      </c>
      <c r="E116" s="7" t="s">
        <v>26</v>
      </c>
      <c r="F116" s="7">
        <v>1.0</v>
      </c>
      <c r="G116" s="7" t="s">
        <v>46</v>
      </c>
      <c r="H116" s="7">
        <v>1.0</v>
      </c>
      <c r="I116" s="7">
        <v>5.0</v>
      </c>
      <c r="J116" s="7">
        <v>2.0</v>
      </c>
      <c r="K116" s="7" t="s">
        <v>42</v>
      </c>
      <c r="L116" s="9" t="str">
        <f>VLOOKUP(K116, 'Alphabetical by species code'!A:B, 2, FALSE)</f>
        <v>Centaurea melitensis</v>
      </c>
      <c r="M116" s="9" t="str">
        <f>VLOOKUP(L116, 'Alphabetical by species code'!B:C, 2, FALSE)</f>
        <v>Non-Native</v>
      </c>
    </row>
    <row r="117">
      <c r="A117" s="7">
        <v>2.0</v>
      </c>
      <c r="B117" s="7">
        <v>2025.0</v>
      </c>
      <c r="C117" s="10">
        <v>45755.0</v>
      </c>
      <c r="D117" s="7" t="s">
        <v>45</v>
      </c>
      <c r="E117" s="7" t="s">
        <v>26</v>
      </c>
      <c r="F117" s="7">
        <v>1.0</v>
      </c>
      <c r="G117" s="7" t="s">
        <v>46</v>
      </c>
      <c r="H117" s="7">
        <v>1.0</v>
      </c>
      <c r="I117" s="7">
        <v>6.0</v>
      </c>
      <c r="J117" s="7">
        <v>2.5</v>
      </c>
      <c r="K117" s="7" t="s">
        <v>28</v>
      </c>
      <c r="L117" s="9" t="str">
        <f>VLOOKUP(K117, 'Alphabetical by species code'!A:B, 2, FALSE)</f>
        <v>Litter</v>
      </c>
      <c r="M117" s="9" t="str">
        <f>VLOOKUP(L117, 'Alphabetical by species code'!B:C, 2, FALSE)</f>
        <v>Ground Cover</v>
      </c>
    </row>
    <row r="118">
      <c r="A118" s="7">
        <v>2.0</v>
      </c>
      <c r="B118" s="7">
        <v>2025.0</v>
      </c>
      <c r="C118" s="10">
        <v>45755.0</v>
      </c>
      <c r="D118" s="7" t="s">
        <v>45</v>
      </c>
      <c r="E118" s="7" t="s">
        <v>26</v>
      </c>
      <c r="F118" s="7">
        <v>1.0</v>
      </c>
      <c r="G118" s="7" t="s">
        <v>46</v>
      </c>
      <c r="H118" s="7">
        <v>1.0</v>
      </c>
      <c r="I118" s="7">
        <v>6.0</v>
      </c>
      <c r="J118" s="7">
        <v>2.5</v>
      </c>
      <c r="K118" s="7" t="s">
        <v>34</v>
      </c>
      <c r="L118" s="9" t="str">
        <f>VLOOKUP(K118, 'Alphabetical by species code'!A:B, 2, FALSE)</f>
        <v>Erodium cicutarium</v>
      </c>
      <c r="M118" s="9" t="str">
        <f>VLOOKUP(L118, 'Alphabetical by species code'!B:C, 2, FALSE)</f>
        <v>Non-Native</v>
      </c>
    </row>
    <row r="119">
      <c r="A119" s="7">
        <v>2.0</v>
      </c>
      <c r="B119" s="7">
        <v>2025.0</v>
      </c>
      <c r="C119" s="10">
        <v>45755.0</v>
      </c>
      <c r="D119" s="7" t="s">
        <v>45</v>
      </c>
      <c r="E119" s="7" t="s">
        <v>26</v>
      </c>
      <c r="F119" s="7">
        <v>1.0</v>
      </c>
      <c r="G119" s="7" t="s">
        <v>46</v>
      </c>
      <c r="H119" s="7">
        <v>1.0</v>
      </c>
      <c r="I119" s="7">
        <v>6.0</v>
      </c>
      <c r="J119" s="7">
        <v>2.5</v>
      </c>
      <c r="K119" s="7" t="s">
        <v>42</v>
      </c>
      <c r="L119" s="9" t="str">
        <f>VLOOKUP(K119, 'Alphabetical by species code'!A:B, 2, FALSE)</f>
        <v>Centaurea melitensis</v>
      </c>
      <c r="M119" s="9" t="str">
        <f>VLOOKUP(L119, 'Alphabetical by species code'!B:C, 2, FALSE)</f>
        <v>Non-Native</v>
      </c>
    </row>
    <row r="120">
      <c r="A120" s="7">
        <v>2.0</v>
      </c>
      <c r="B120" s="7">
        <v>2025.0</v>
      </c>
      <c r="C120" s="10">
        <v>45755.0</v>
      </c>
      <c r="D120" s="7" t="s">
        <v>45</v>
      </c>
      <c r="E120" s="7" t="s">
        <v>26</v>
      </c>
      <c r="F120" s="7">
        <v>1.0</v>
      </c>
      <c r="G120" s="7" t="s">
        <v>46</v>
      </c>
      <c r="H120" s="7">
        <v>1.0</v>
      </c>
      <c r="I120" s="7">
        <v>6.0</v>
      </c>
      <c r="J120" s="7">
        <v>2.5</v>
      </c>
      <c r="K120" s="7" t="s">
        <v>47</v>
      </c>
      <c r="L120" s="9" t="str">
        <f>VLOOKUP(K120, 'Alphabetical by species code'!A:B, 2, FALSE)</f>
        <v>Sonchus species</v>
      </c>
      <c r="M120" s="9" t="str">
        <f>VLOOKUP(L120, 'Alphabetical by species code'!B:C, 2, FALSE)</f>
        <v>Non-Native</v>
      </c>
    </row>
    <row r="121">
      <c r="A121" s="7">
        <v>2.0</v>
      </c>
      <c r="B121" s="7">
        <v>2025.0</v>
      </c>
      <c r="C121" s="10">
        <v>45755.0</v>
      </c>
      <c r="D121" s="7" t="s">
        <v>45</v>
      </c>
      <c r="E121" s="7" t="s">
        <v>26</v>
      </c>
      <c r="F121" s="7">
        <v>1.0</v>
      </c>
      <c r="G121" s="7" t="s">
        <v>46</v>
      </c>
      <c r="H121" s="7">
        <v>1.0</v>
      </c>
      <c r="I121" s="7">
        <v>7.0</v>
      </c>
      <c r="J121" s="7">
        <v>3.0</v>
      </c>
      <c r="K121" s="7" t="s">
        <v>28</v>
      </c>
      <c r="L121" s="9" t="str">
        <f>VLOOKUP(K121, 'Alphabetical by species code'!A:B, 2, FALSE)</f>
        <v>Litter</v>
      </c>
      <c r="M121" s="9" t="str">
        <f>VLOOKUP(L121, 'Alphabetical by species code'!B:C, 2, FALSE)</f>
        <v>Ground Cover</v>
      </c>
    </row>
    <row r="122">
      <c r="A122" s="7">
        <v>2.0</v>
      </c>
      <c r="B122" s="7">
        <v>2025.0</v>
      </c>
      <c r="C122" s="10">
        <v>45755.0</v>
      </c>
      <c r="D122" s="7" t="s">
        <v>45</v>
      </c>
      <c r="E122" s="7" t="s">
        <v>26</v>
      </c>
      <c r="F122" s="7">
        <v>1.0</v>
      </c>
      <c r="G122" s="7" t="s">
        <v>46</v>
      </c>
      <c r="H122" s="7">
        <v>1.0</v>
      </c>
      <c r="I122" s="7">
        <v>7.0</v>
      </c>
      <c r="J122" s="7">
        <v>3.0</v>
      </c>
      <c r="K122" s="7" t="s">
        <v>29</v>
      </c>
      <c r="L122" s="9" t="str">
        <f>VLOOKUP(K122, 'Alphabetical by species code'!A:B, 2, FALSE)</f>
        <v>Opuntia littoralis</v>
      </c>
      <c r="M122" s="9" t="str">
        <f>VLOOKUP(L122, 'Alphabetical by species code'!B:C, 2, FALSE)</f>
        <v>Native</v>
      </c>
    </row>
    <row r="123">
      <c r="A123" s="7">
        <v>2.0</v>
      </c>
      <c r="B123" s="7">
        <v>2025.0</v>
      </c>
      <c r="C123" s="10">
        <v>45755.0</v>
      </c>
      <c r="D123" s="7" t="s">
        <v>45</v>
      </c>
      <c r="E123" s="7" t="s">
        <v>26</v>
      </c>
      <c r="F123" s="7">
        <v>1.0</v>
      </c>
      <c r="G123" s="7" t="s">
        <v>46</v>
      </c>
      <c r="H123" s="7">
        <v>1.0</v>
      </c>
      <c r="I123" s="7">
        <v>7.0</v>
      </c>
      <c r="J123" s="7">
        <v>3.0</v>
      </c>
      <c r="K123" s="7" t="s">
        <v>35</v>
      </c>
      <c r="L123" s="9" t="str">
        <f>VLOOKUP(K123, 'Alphabetical by species code'!A:B, 2, FALSE)</f>
        <v>Deinandra fasciculata</v>
      </c>
      <c r="M123" s="9" t="str">
        <f>VLOOKUP(L123, 'Alphabetical by species code'!B:C, 2, FALSE)</f>
        <v>Native</v>
      </c>
    </row>
    <row r="124">
      <c r="A124" s="7">
        <v>2.0</v>
      </c>
      <c r="B124" s="7">
        <v>2025.0</v>
      </c>
      <c r="C124" s="10">
        <v>45755.0</v>
      </c>
      <c r="D124" s="7" t="s">
        <v>45</v>
      </c>
      <c r="E124" s="7" t="s">
        <v>26</v>
      </c>
      <c r="F124" s="7">
        <v>1.0</v>
      </c>
      <c r="G124" s="7" t="s">
        <v>46</v>
      </c>
      <c r="H124" s="7">
        <v>1.0</v>
      </c>
      <c r="I124" s="7">
        <v>7.0</v>
      </c>
      <c r="J124" s="7">
        <v>3.0</v>
      </c>
      <c r="K124" s="7" t="s">
        <v>39</v>
      </c>
      <c r="L124" s="9" t="str">
        <f>VLOOKUP(K124, 'Alphabetical by species code'!A:B, 2, FALSE)</f>
        <v>Stephanomeria diegensis</v>
      </c>
      <c r="M124" s="9" t="str">
        <f>VLOOKUP(L124, 'Alphabetical by species code'!B:C, 2, FALSE)</f>
        <v>Native</v>
      </c>
    </row>
    <row r="125">
      <c r="A125" s="7">
        <v>2.0</v>
      </c>
      <c r="B125" s="7">
        <v>2025.0</v>
      </c>
      <c r="C125" s="10">
        <v>45755.0</v>
      </c>
      <c r="D125" s="7" t="s">
        <v>45</v>
      </c>
      <c r="E125" s="7" t="s">
        <v>26</v>
      </c>
      <c r="F125" s="7">
        <v>1.0</v>
      </c>
      <c r="G125" s="7" t="s">
        <v>46</v>
      </c>
      <c r="H125" s="7">
        <v>1.0</v>
      </c>
      <c r="I125" s="7">
        <v>8.0</v>
      </c>
      <c r="J125" s="7">
        <v>3.5</v>
      </c>
      <c r="K125" s="7" t="s">
        <v>28</v>
      </c>
      <c r="L125" s="9" t="str">
        <f>VLOOKUP(K125, 'Alphabetical by species code'!A:B, 2, FALSE)</f>
        <v>Litter</v>
      </c>
      <c r="M125" s="9" t="str">
        <f>VLOOKUP(L125, 'Alphabetical by species code'!B:C, 2, FALSE)</f>
        <v>Ground Cover</v>
      </c>
    </row>
    <row r="126">
      <c r="A126" s="7">
        <v>2.0</v>
      </c>
      <c r="B126" s="7">
        <v>2025.0</v>
      </c>
      <c r="C126" s="10">
        <v>45755.0</v>
      </c>
      <c r="D126" s="7" t="s">
        <v>45</v>
      </c>
      <c r="E126" s="7" t="s">
        <v>26</v>
      </c>
      <c r="F126" s="7">
        <v>1.0</v>
      </c>
      <c r="G126" s="7" t="s">
        <v>46</v>
      </c>
      <c r="H126" s="7">
        <v>1.0</v>
      </c>
      <c r="I126" s="7">
        <v>8.0</v>
      </c>
      <c r="J126" s="7">
        <v>3.5</v>
      </c>
      <c r="K126" s="7" t="s">
        <v>35</v>
      </c>
      <c r="L126" s="9" t="str">
        <f>VLOOKUP(K126, 'Alphabetical by species code'!A:B, 2, FALSE)</f>
        <v>Deinandra fasciculata</v>
      </c>
      <c r="M126" s="9" t="str">
        <f>VLOOKUP(L126, 'Alphabetical by species code'!B:C, 2, FALSE)</f>
        <v>Native</v>
      </c>
    </row>
    <row r="127">
      <c r="A127" s="7">
        <v>2.0</v>
      </c>
      <c r="B127" s="7">
        <v>2025.0</v>
      </c>
      <c r="C127" s="10">
        <v>45755.0</v>
      </c>
      <c r="D127" s="7" t="s">
        <v>45</v>
      </c>
      <c r="E127" s="7" t="s">
        <v>26</v>
      </c>
      <c r="F127" s="7">
        <v>1.0</v>
      </c>
      <c r="G127" s="7" t="s">
        <v>46</v>
      </c>
      <c r="H127" s="7">
        <v>1.0</v>
      </c>
      <c r="I127" s="7">
        <v>8.0</v>
      </c>
      <c r="J127" s="7">
        <v>3.5</v>
      </c>
      <c r="K127" s="7" t="s">
        <v>34</v>
      </c>
      <c r="L127" s="9" t="str">
        <f>VLOOKUP(K127, 'Alphabetical by species code'!A:B, 2, FALSE)</f>
        <v>Erodium cicutarium</v>
      </c>
      <c r="M127" s="9" t="str">
        <f>VLOOKUP(L127, 'Alphabetical by species code'!B:C, 2, FALSE)</f>
        <v>Non-Native</v>
      </c>
    </row>
    <row r="128">
      <c r="A128" s="7">
        <v>2.0</v>
      </c>
      <c r="B128" s="7">
        <v>2025.0</v>
      </c>
      <c r="C128" s="10">
        <v>45755.0</v>
      </c>
      <c r="D128" s="7" t="s">
        <v>45</v>
      </c>
      <c r="E128" s="7" t="s">
        <v>26</v>
      </c>
      <c r="F128" s="7">
        <v>1.0</v>
      </c>
      <c r="G128" s="7" t="s">
        <v>46</v>
      </c>
      <c r="H128" s="7">
        <v>1.0</v>
      </c>
      <c r="I128" s="7">
        <v>9.0</v>
      </c>
      <c r="J128" s="7">
        <v>4.0</v>
      </c>
      <c r="K128" s="7" t="s">
        <v>28</v>
      </c>
      <c r="L128" s="9" t="str">
        <f>VLOOKUP(K128, 'Alphabetical by species code'!A:B, 2, FALSE)</f>
        <v>Litter</v>
      </c>
      <c r="M128" s="9" t="str">
        <f>VLOOKUP(L128, 'Alphabetical by species code'!B:C, 2, FALSE)</f>
        <v>Ground Cover</v>
      </c>
    </row>
    <row r="129">
      <c r="A129" s="7">
        <v>2.0</v>
      </c>
      <c r="B129" s="7">
        <v>2025.0</v>
      </c>
      <c r="C129" s="10">
        <v>45755.0</v>
      </c>
      <c r="D129" s="7" t="s">
        <v>45</v>
      </c>
      <c r="E129" s="7" t="s">
        <v>26</v>
      </c>
      <c r="F129" s="7">
        <v>1.0</v>
      </c>
      <c r="G129" s="7" t="s">
        <v>46</v>
      </c>
      <c r="H129" s="7">
        <v>1.0</v>
      </c>
      <c r="I129" s="7">
        <v>9.0</v>
      </c>
      <c r="J129" s="7">
        <v>4.0</v>
      </c>
      <c r="K129" s="7" t="s">
        <v>35</v>
      </c>
      <c r="L129" s="9" t="str">
        <f>VLOOKUP(K129, 'Alphabetical by species code'!A:B, 2, FALSE)</f>
        <v>Deinandra fasciculata</v>
      </c>
      <c r="M129" s="9" t="str">
        <f>VLOOKUP(L129, 'Alphabetical by species code'!B:C, 2, FALSE)</f>
        <v>Native</v>
      </c>
    </row>
    <row r="130">
      <c r="A130" s="7">
        <v>2.0</v>
      </c>
      <c r="B130" s="7">
        <v>2025.0</v>
      </c>
      <c r="C130" s="10">
        <v>45755.0</v>
      </c>
      <c r="D130" s="7" t="s">
        <v>45</v>
      </c>
      <c r="E130" s="7" t="s">
        <v>26</v>
      </c>
      <c r="F130" s="7">
        <v>1.0</v>
      </c>
      <c r="G130" s="7" t="s">
        <v>46</v>
      </c>
      <c r="H130" s="7">
        <v>1.0</v>
      </c>
      <c r="I130" s="7">
        <v>9.0</v>
      </c>
      <c r="J130" s="7">
        <v>4.0</v>
      </c>
      <c r="K130" s="7" t="s">
        <v>34</v>
      </c>
      <c r="L130" s="9" t="str">
        <f>VLOOKUP(K130, 'Alphabetical by species code'!A:B, 2, FALSE)</f>
        <v>Erodium cicutarium</v>
      </c>
      <c r="M130" s="9" t="str">
        <f>VLOOKUP(L130, 'Alphabetical by species code'!B:C, 2, FALSE)</f>
        <v>Non-Native</v>
      </c>
    </row>
    <row r="131">
      <c r="A131" s="7">
        <v>2.0</v>
      </c>
      <c r="B131" s="7">
        <v>2025.0</v>
      </c>
      <c r="C131" s="10">
        <v>45755.0</v>
      </c>
      <c r="D131" s="7" t="s">
        <v>45</v>
      </c>
      <c r="E131" s="7" t="s">
        <v>26</v>
      </c>
      <c r="F131" s="7">
        <v>1.0</v>
      </c>
      <c r="G131" s="7" t="s">
        <v>46</v>
      </c>
      <c r="H131" s="7">
        <v>1.0</v>
      </c>
      <c r="I131" s="7">
        <v>10.0</v>
      </c>
      <c r="J131" s="7">
        <v>4.5</v>
      </c>
      <c r="K131" s="7" t="s">
        <v>28</v>
      </c>
      <c r="L131" s="9" t="str">
        <f>VLOOKUP(K131, 'Alphabetical by species code'!A:B, 2, FALSE)</f>
        <v>Litter</v>
      </c>
      <c r="M131" s="9" t="str">
        <f>VLOOKUP(L131, 'Alphabetical by species code'!B:C, 2, FALSE)</f>
        <v>Ground Cover</v>
      </c>
    </row>
    <row r="132">
      <c r="A132" s="7">
        <v>2.0</v>
      </c>
      <c r="B132" s="7">
        <v>2025.0</v>
      </c>
      <c r="C132" s="10">
        <v>45755.0</v>
      </c>
      <c r="D132" s="7" t="s">
        <v>45</v>
      </c>
      <c r="E132" s="7" t="s">
        <v>26</v>
      </c>
      <c r="F132" s="7">
        <v>1.0</v>
      </c>
      <c r="G132" s="7" t="s">
        <v>46</v>
      </c>
      <c r="H132" s="7">
        <v>1.0</v>
      </c>
      <c r="I132" s="7">
        <v>10.0</v>
      </c>
      <c r="J132" s="7">
        <v>4.5</v>
      </c>
      <c r="K132" s="7" t="s">
        <v>35</v>
      </c>
      <c r="L132" s="9" t="str">
        <f>VLOOKUP(K132, 'Alphabetical by species code'!A:B, 2, FALSE)</f>
        <v>Deinandra fasciculata</v>
      </c>
      <c r="M132" s="9" t="str">
        <f>VLOOKUP(L132, 'Alphabetical by species code'!B:C, 2, FALSE)</f>
        <v>Native</v>
      </c>
    </row>
    <row r="133">
      <c r="A133" s="7">
        <v>2.0</v>
      </c>
      <c r="B133" s="7">
        <v>2025.0</v>
      </c>
      <c r="C133" s="10">
        <v>45755.0</v>
      </c>
      <c r="D133" s="7" t="s">
        <v>45</v>
      </c>
      <c r="E133" s="7" t="s">
        <v>26</v>
      </c>
      <c r="F133" s="7">
        <v>1.0</v>
      </c>
      <c r="G133" s="7" t="s">
        <v>46</v>
      </c>
      <c r="H133" s="7">
        <v>1.0</v>
      </c>
      <c r="I133" s="7">
        <v>10.0</v>
      </c>
      <c r="J133" s="7">
        <v>4.5</v>
      </c>
      <c r="K133" s="7" t="s">
        <v>36</v>
      </c>
      <c r="L133" s="9" t="str">
        <f>VLOOKUP(K133, 'Alphabetical by species code'!A:B, 2, FALSE)</f>
        <v>Bromus madritensis</v>
      </c>
      <c r="M133" s="9" t="str">
        <f>VLOOKUP(L133, 'Alphabetical by species code'!B:C, 2, FALSE)</f>
        <v>Non-Native</v>
      </c>
    </row>
    <row r="134">
      <c r="A134" s="7">
        <v>2.0</v>
      </c>
      <c r="B134" s="7">
        <v>2025.0</v>
      </c>
      <c r="C134" s="10">
        <v>45755.0</v>
      </c>
      <c r="D134" s="7" t="s">
        <v>45</v>
      </c>
      <c r="E134" s="7" t="s">
        <v>26</v>
      </c>
      <c r="F134" s="7">
        <v>1.0</v>
      </c>
      <c r="G134" s="7" t="s">
        <v>46</v>
      </c>
      <c r="H134" s="7">
        <v>1.0</v>
      </c>
      <c r="I134" s="7">
        <v>11.0</v>
      </c>
      <c r="J134" s="7">
        <v>5.0</v>
      </c>
      <c r="K134" s="7" t="s">
        <v>28</v>
      </c>
      <c r="L134" s="9" t="str">
        <f>VLOOKUP(K134, 'Alphabetical by species code'!A:B, 2, FALSE)</f>
        <v>Litter</v>
      </c>
      <c r="M134" s="9" t="str">
        <f>VLOOKUP(L134, 'Alphabetical by species code'!B:C, 2, FALSE)</f>
        <v>Ground Cover</v>
      </c>
    </row>
    <row r="135">
      <c r="A135" s="7">
        <v>2.0</v>
      </c>
      <c r="B135" s="7">
        <v>2025.0</v>
      </c>
      <c r="C135" s="10">
        <v>45755.0</v>
      </c>
      <c r="D135" s="7" t="s">
        <v>45</v>
      </c>
      <c r="E135" s="7" t="s">
        <v>26</v>
      </c>
      <c r="F135" s="7">
        <v>1.0</v>
      </c>
      <c r="G135" s="7" t="s">
        <v>46</v>
      </c>
      <c r="H135" s="7">
        <v>1.0</v>
      </c>
      <c r="I135" s="7">
        <v>11.0</v>
      </c>
      <c r="J135" s="7">
        <v>5.0</v>
      </c>
      <c r="K135" s="7" t="s">
        <v>35</v>
      </c>
      <c r="L135" s="9" t="str">
        <f>VLOOKUP(K135, 'Alphabetical by species code'!A:B, 2, FALSE)</f>
        <v>Deinandra fasciculata</v>
      </c>
      <c r="M135" s="9" t="str">
        <f>VLOOKUP(L135, 'Alphabetical by species code'!B:C, 2, FALSE)</f>
        <v>Native</v>
      </c>
    </row>
    <row r="136">
      <c r="A136" s="7">
        <v>2.0</v>
      </c>
      <c r="B136" s="7">
        <v>2025.0</v>
      </c>
      <c r="C136" s="10">
        <v>45755.0</v>
      </c>
      <c r="D136" s="7" t="s">
        <v>45</v>
      </c>
      <c r="E136" s="7" t="s">
        <v>26</v>
      </c>
      <c r="F136" s="7">
        <v>1.0</v>
      </c>
      <c r="G136" s="7" t="s">
        <v>46</v>
      </c>
      <c r="H136" s="7">
        <v>1.0</v>
      </c>
      <c r="I136" s="7">
        <v>11.0</v>
      </c>
      <c r="J136" s="7">
        <v>5.0</v>
      </c>
      <c r="K136" s="7" t="s">
        <v>36</v>
      </c>
      <c r="L136" s="9" t="str">
        <f>VLOOKUP(K136, 'Alphabetical by species code'!A:B, 2, FALSE)</f>
        <v>Bromus madritensis</v>
      </c>
      <c r="M136" s="9" t="str">
        <f>VLOOKUP(L136, 'Alphabetical by species code'!B:C, 2, FALSE)</f>
        <v>Non-Native</v>
      </c>
    </row>
    <row r="137">
      <c r="A137" s="7">
        <v>2.0</v>
      </c>
      <c r="B137" s="7">
        <v>2025.0</v>
      </c>
      <c r="C137" s="10">
        <v>45755.0</v>
      </c>
      <c r="D137" s="7" t="s">
        <v>45</v>
      </c>
      <c r="E137" s="7" t="s">
        <v>26</v>
      </c>
      <c r="F137" s="7">
        <v>1.0</v>
      </c>
      <c r="G137" s="7" t="s">
        <v>46</v>
      </c>
      <c r="H137" s="7">
        <v>1.0</v>
      </c>
      <c r="I137" s="7">
        <v>12.0</v>
      </c>
      <c r="J137" s="7">
        <v>5.5</v>
      </c>
      <c r="K137" s="7" t="s">
        <v>28</v>
      </c>
      <c r="L137" s="9" t="str">
        <f>VLOOKUP(K137, 'Alphabetical by species code'!A:B, 2, FALSE)</f>
        <v>Litter</v>
      </c>
      <c r="M137" s="9" t="str">
        <f>VLOOKUP(L137, 'Alphabetical by species code'!B:C, 2, FALSE)</f>
        <v>Ground Cover</v>
      </c>
    </row>
    <row r="138">
      <c r="A138" s="7">
        <v>2.0</v>
      </c>
      <c r="B138" s="7">
        <v>2025.0</v>
      </c>
      <c r="C138" s="10">
        <v>45755.0</v>
      </c>
      <c r="D138" s="7" t="s">
        <v>45</v>
      </c>
      <c r="E138" s="7" t="s">
        <v>26</v>
      </c>
      <c r="F138" s="7">
        <v>1.0</v>
      </c>
      <c r="G138" s="7" t="s">
        <v>46</v>
      </c>
      <c r="H138" s="7">
        <v>1.0</v>
      </c>
      <c r="I138" s="7">
        <v>12.0</v>
      </c>
      <c r="J138" s="7">
        <v>5.5</v>
      </c>
      <c r="K138" s="7" t="s">
        <v>48</v>
      </c>
      <c r="L138" s="9" t="str">
        <f>VLOOKUP(K138, 'Alphabetical by species code'!A:B, 2, FALSE)</f>
        <v>Sonchus asper</v>
      </c>
      <c r="M138" s="9" t="str">
        <f>VLOOKUP(L138, 'Alphabetical by species code'!B:C, 2, FALSE)</f>
        <v>Non-Native</v>
      </c>
    </row>
    <row r="139">
      <c r="A139" s="7">
        <v>2.0</v>
      </c>
      <c r="B139" s="7">
        <v>2025.0</v>
      </c>
      <c r="C139" s="10">
        <v>45755.0</v>
      </c>
      <c r="D139" s="7" t="s">
        <v>45</v>
      </c>
      <c r="E139" s="7" t="s">
        <v>26</v>
      </c>
      <c r="F139" s="7">
        <v>1.0</v>
      </c>
      <c r="G139" s="7" t="s">
        <v>46</v>
      </c>
      <c r="H139" s="7">
        <v>1.0</v>
      </c>
      <c r="I139" s="7">
        <v>13.0</v>
      </c>
      <c r="J139" s="7">
        <v>6.5</v>
      </c>
      <c r="K139" s="7" t="s">
        <v>28</v>
      </c>
      <c r="L139" s="9" t="str">
        <f>VLOOKUP(K139, 'Alphabetical by species code'!A:B, 2, FALSE)</f>
        <v>Litter</v>
      </c>
      <c r="M139" s="9" t="str">
        <f>VLOOKUP(L139, 'Alphabetical by species code'!B:C, 2, FALSE)</f>
        <v>Ground Cover</v>
      </c>
    </row>
    <row r="140">
      <c r="A140" s="7">
        <v>2.0</v>
      </c>
      <c r="B140" s="7">
        <v>2025.0</v>
      </c>
      <c r="C140" s="10">
        <v>45755.0</v>
      </c>
      <c r="D140" s="7" t="s">
        <v>45</v>
      </c>
      <c r="E140" s="7" t="s">
        <v>26</v>
      </c>
      <c r="F140" s="7">
        <v>1.0</v>
      </c>
      <c r="G140" s="7" t="s">
        <v>46</v>
      </c>
      <c r="H140" s="7">
        <v>1.0</v>
      </c>
      <c r="I140" s="7">
        <v>13.0</v>
      </c>
      <c r="J140" s="7">
        <v>6.5</v>
      </c>
      <c r="K140" s="7" t="s">
        <v>42</v>
      </c>
      <c r="L140" s="9" t="str">
        <f>VLOOKUP(K140, 'Alphabetical by species code'!A:B, 2, FALSE)</f>
        <v>Centaurea melitensis</v>
      </c>
      <c r="M140" s="9" t="str">
        <f>VLOOKUP(L140, 'Alphabetical by species code'!B:C, 2, FALSE)</f>
        <v>Non-Native</v>
      </c>
    </row>
    <row r="141">
      <c r="A141" s="7">
        <v>2.0</v>
      </c>
      <c r="B141" s="7">
        <v>2025.0</v>
      </c>
      <c r="C141" s="10">
        <v>45755.0</v>
      </c>
      <c r="D141" s="7" t="s">
        <v>45</v>
      </c>
      <c r="E141" s="7" t="s">
        <v>26</v>
      </c>
      <c r="F141" s="7">
        <v>1.0</v>
      </c>
      <c r="G141" s="7" t="s">
        <v>46</v>
      </c>
      <c r="H141" s="7">
        <v>1.0</v>
      </c>
      <c r="I141" s="7">
        <v>13.0</v>
      </c>
      <c r="J141" s="7">
        <v>6.5</v>
      </c>
      <c r="K141" s="7" t="s">
        <v>34</v>
      </c>
      <c r="L141" s="9" t="str">
        <f>VLOOKUP(K141, 'Alphabetical by species code'!A:B, 2, FALSE)</f>
        <v>Erodium cicutarium</v>
      </c>
      <c r="M141" s="9" t="str">
        <f>VLOOKUP(L141, 'Alphabetical by species code'!B:C, 2, FALSE)</f>
        <v>Non-Native</v>
      </c>
    </row>
    <row r="142">
      <c r="A142" s="7">
        <v>2.0</v>
      </c>
      <c r="B142" s="7">
        <v>2025.0</v>
      </c>
      <c r="C142" s="10">
        <v>45755.0</v>
      </c>
      <c r="D142" s="7" t="s">
        <v>45</v>
      </c>
      <c r="E142" s="7" t="s">
        <v>26</v>
      </c>
      <c r="F142" s="7">
        <v>1.0</v>
      </c>
      <c r="G142" s="7" t="s">
        <v>46</v>
      </c>
      <c r="H142" s="7">
        <v>1.0</v>
      </c>
      <c r="I142" s="7">
        <v>14.0</v>
      </c>
      <c r="J142" s="7">
        <v>7.0</v>
      </c>
      <c r="K142" s="7" t="s">
        <v>28</v>
      </c>
      <c r="L142" s="9" t="str">
        <f>VLOOKUP(K142, 'Alphabetical by species code'!A:B, 2, FALSE)</f>
        <v>Litter</v>
      </c>
      <c r="M142" s="9" t="str">
        <f>VLOOKUP(L142, 'Alphabetical by species code'!B:C, 2, FALSE)</f>
        <v>Ground Cover</v>
      </c>
    </row>
    <row r="143">
      <c r="A143" s="7">
        <v>2.0</v>
      </c>
      <c r="B143" s="7">
        <v>2025.0</v>
      </c>
      <c r="C143" s="10">
        <v>45755.0</v>
      </c>
      <c r="D143" s="7" t="s">
        <v>45</v>
      </c>
      <c r="E143" s="7" t="s">
        <v>26</v>
      </c>
      <c r="F143" s="7">
        <v>1.0</v>
      </c>
      <c r="G143" s="7" t="s">
        <v>46</v>
      </c>
      <c r="H143" s="7">
        <v>1.0</v>
      </c>
      <c r="I143" s="7">
        <v>14.0</v>
      </c>
      <c r="J143" s="7">
        <v>7.0</v>
      </c>
      <c r="K143" s="7" t="s">
        <v>37</v>
      </c>
      <c r="L143" s="9" t="str">
        <f>VLOOKUP(K143, 'Alphabetical by species code'!A:B, 2, FALSE)</f>
        <v>Sonchus oleraceus</v>
      </c>
      <c r="M143" s="9" t="str">
        <f>VLOOKUP(L143, 'Alphabetical by species code'!B:C, 2, FALSE)</f>
        <v>Non-Native</v>
      </c>
    </row>
    <row r="144">
      <c r="A144" s="7">
        <v>2.0</v>
      </c>
      <c r="B144" s="7">
        <v>2025.0</v>
      </c>
      <c r="C144" s="10">
        <v>45755.0</v>
      </c>
      <c r="D144" s="7" t="s">
        <v>45</v>
      </c>
      <c r="E144" s="7" t="s">
        <v>26</v>
      </c>
      <c r="F144" s="7">
        <v>1.0</v>
      </c>
      <c r="G144" s="7" t="s">
        <v>46</v>
      </c>
      <c r="H144" s="7">
        <v>1.0</v>
      </c>
      <c r="I144" s="7">
        <v>15.0</v>
      </c>
      <c r="J144" s="7">
        <v>7.5</v>
      </c>
      <c r="K144" s="7" t="s">
        <v>28</v>
      </c>
      <c r="L144" s="9" t="str">
        <f>VLOOKUP(K144, 'Alphabetical by species code'!A:B, 2, FALSE)</f>
        <v>Litter</v>
      </c>
      <c r="M144" s="9" t="str">
        <f>VLOOKUP(L144, 'Alphabetical by species code'!B:C, 2, FALSE)</f>
        <v>Ground Cover</v>
      </c>
    </row>
    <row r="145">
      <c r="A145" s="7">
        <v>2.0</v>
      </c>
      <c r="B145" s="7">
        <v>2025.0</v>
      </c>
      <c r="C145" s="10">
        <v>45755.0</v>
      </c>
      <c r="D145" s="7" t="s">
        <v>45</v>
      </c>
      <c r="E145" s="7" t="s">
        <v>26</v>
      </c>
      <c r="F145" s="7">
        <v>1.0</v>
      </c>
      <c r="G145" s="7" t="s">
        <v>46</v>
      </c>
      <c r="H145" s="7">
        <v>1.0</v>
      </c>
      <c r="I145" s="7">
        <v>15.0</v>
      </c>
      <c r="J145" s="7">
        <v>7.5</v>
      </c>
      <c r="K145" s="7" t="s">
        <v>49</v>
      </c>
      <c r="L145" s="9" t="str">
        <f>VLOOKUP(K145, 'Alphabetical by species code'!A:B, 2, FALSE)</f>
        <v>Anagallis arvensis</v>
      </c>
      <c r="M145" s="9" t="str">
        <f>VLOOKUP(L145, 'Alphabetical by species code'!B:C, 2, FALSE)</f>
        <v>Non-Native</v>
      </c>
    </row>
    <row r="146">
      <c r="A146" s="7">
        <v>2.0</v>
      </c>
      <c r="B146" s="7">
        <v>2025.0</v>
      </c>
      <c r="C146" s="10">
        <v>45755.0</v>
      </c>
      <c r="D146" s="7" t="s">
        <v>45</v>
      </c>
      <c r="E146" s="7" t="s">
        <v>26</v>
      </c>
      <c r="F146" s="7">
        <v>1.0</v>
      </c>
      <c r="G146" s="7" t="s">
        <v>46</v>
      </c>
      <c r="H146" s="7">
        <v>1.0</v>
      </c>
      <c r="I146" s="7">
        <v>15.0</v>
      </c>
      <c r="J146" s="7">
        <v>7.5</v>
      </c>
      <c r="K146" s="7" t="s">
        <v>34</v>
      </c>
      <c r="L146" s="9" t="str">
        <f>VLOOKUP(K146, 'Alphabetical by species code'!A:B, 2, FALSE)</f>
        <v>Erodium cicutarium</v>
      </c>
      <c r="M146" s="9" t="str">
        <f>VLOOKUP(L146, 'Alphabetical by species code'!B:C, 2, FALSE)</f>
        <v>Non-Native</v>
      </c>
    </row>
    <row r="147">
      <c r="A147" s="7">
        <v>2.0</v>
      </c>
      <c r="B147" s="7">
        <v>2025.0</v>
      </c>
      <c r="C147" s="10">
        <v>45755.0</v>
      </c>
      <c r="D147" s="7" t="s">
        <v>45</v>
      </c>
      <c r="E147" s="7" t="s">
        <v>26</v>
      </c>
      <c r="F147" s="7">
        <v>1.0</v>
      </c>
      <c r="G147" s="7" t="s">
        <v>46</v>
      </c>
      <c r="H147" s="7">
        <v>2.0</v>
      </c>
      <c r="I147" s="7">
        <v>1.0</v>
      </c>
      <c r="J147" s="7">
        <v>0.0</v>
      </c>
      <c r="K147" s="7" t="s">
        <v>28</v>
      </c>
      <c r="L147" s="9" t="str">
        <f>VLOOKUP(K147, 'Alphabetical by species code'!A:B, 2, FALSE)</f>
        <v>Litter</v>
      </c>
      <c r="M147" s="9" t="str">
        <f>VLOOKUP(L147, 'Alphabetical by species code'!B:C, 2, FALSE)</f>
        <v>Ground Cover</v>
      </c>
    </row>
    <row r="148">
      <c r="A148" s="7">
        <v>2.0</v>
      </c>
      <c r="B148" s="7">
        <v>2025.0</v>
      </c>
      <c r="C148" s="10">
        <v>45755.0</v>
      </c>
      <c r="D148" s="7" t="s">
        <v>45</v>
      </c>
      <c r="E148" s="7" t="s">
        <v>26</v>
      </c>
      <c r="F148" s="7">
        <v>1.0</v>
      </c>
      <c r="G148" s="7" t="s">
        <v>46</v>
      </c>
      <c r="H148" s="7">
        <v>2.0</v>
      </c>
      <c r="I148" s="7">
        <v>1.0</v>
      </c>
      <c r="J148" s="7">
        <v>0.0</v>
      </c>
      <c r="K148" s="7" t="s">
        <v>42</v>
      </c>
      <c r="L148" s="9" t="str">
        <f>VLOOKUP(K148, 'Alphabetical by species code'!A:B, 2, FALSE)</f>
        <v>Centaurea melitensis</v>
      </c>
      <c r="M148" s="9" t="str">
        <f>VLOOKUP(L148, 'Alphabetical by species code'!B:C, 2, FALSE)</f>
        <v>Non-Native</v>
      </c>
    </row>
    <row r="149">
      <c r="A149" s="7">
        <v>2.0</v>
      </c>
      <c r="B149" s="7">
        <v>2025.0</v>
      </c>
      <c r="C149" s="10">
        <v>45755.0</v>
      </c>
      <c r="D149" s="7" t="s">
        <v>45</v>
      </c>
      <c r="E149" s="7" t="s">
        <v>26</v>
      </c>
      <c r="F149" s="7">
        <v>1.0</v>
      </c>
      <c r="G149" s="7" t="s">
        <v>46</v>
      </c>
      <c r="H149" s="7">
        <v>2.0</v>
      </c>
      <c r="I149" s="7">
        <v>1.0</v>
      </c>
      <c r="J149" s="7">
        <v>0.0</v>
      </c>
      <c r="K149" s="7" t="s">
        <v>32</v>
      </c>
      <c r="L149" s="9" t="str">
        <f>VLOOKUP(K149, 'Alphabetical by species code'!A:B, 2, FALSE)</f>
        <v>Medicago polymorpha</v>
      </c>
      <c r="M149" s="9" t="str">
        <f>VLOOKUP(L149, 'Alphabetical by species code'!B:C, 2, FALSE)</f>
        <v>Non-Native</v>
      </c>
    </row>
    <row r="150">
      <c r="A150" s="7">
        <v>2.0</v>
      </c>
      <c r="B150" s="7">
        <v>2025.0</v>
      </c>
      <c r="C150" s="10">
        <v>45755.0</v>
      </c>
      <c r="D150" s="7" t="s">
        <v>45</v>
      </c>
      <c r="E150" s="7" t="s">
        <v>26</v>
      </c>
      <c r="F150" s="7">
        <v>1.0</v>
      </c>
      <c r="G150" s="7" t="s">
        <v>46</v>
      </c>
      <c r="H150" s="7">
        <v>2.0</v>
      </c>
      <c r="I150" s="7">
        <v>1.0</v>
      </c>
      <c r="J150" s="7">
        <v>0.0</v>
      </c>
      <c r="K150" s="7" t="s">
        <v>31</v>
      </c>
      <c r="L150" s="9" t="str">
        <f>VLOOKUP(K150, 'Alphabetical by species code'!A:B, 2, FALSE)</f>
        <v>Festuca myuros</v>
      </c>
      <c r="M150" s="9" t="str">
        <f>VLOOKUP(L150, 'Alphabetical by species code'!B:C, 2, FALSE)</f>
        <v>Non-Native</v>
      </c>
    </row>
    <row r="151">
      <c r="A151" s="7">
        <v>2.0</v>
      </c>
      <c r="B151" s="7">
        <v>2025.0</v>
      </c>
      <c r="C151" s="10">
        <v>45755.0</v>
      </c>
      <c r="D151" s="7" t="s">
        <v>45</v>
      </c>
      <c r="E151" s="7" t="s">
        <v>26</v>
      </c>
      <c r="F151" s="7">
        <v>1.0</v>
      </c>
      <c r="G151" s="7" t="s">
        <v>46</v>
      </c>
      <c r="H151" s="7">
        <v>2.0</v>
      </c>
      <c r="I151" s="7">
        <v>2.0</v>
      </c>
      <c r="J151" s="7">
        <v>0.5</v>
      </c>
      <c r="K151" s="7" t="s">
        <v>28</v>
      </c>
      <c r="L151" s="9" t="str">
        <f>VLOOKUP(K151, 'Alphabetical by species code'!A:B, 2, FALSE)</f>
        <v>Litter</v>
      </c>
      <c r="M151" s="9" t="str">
        <f>VLOOKUP(L151, 'Alphabetical by species code'!B:C, 2, FALSE)</f>
        <v>Ground Cover</v>
      </c>
    </row>
    <row r="152">
      <c r="A152" s="7">
        <v>2.0</v>
      </c>
      <c r="B152" s="7">
        <v>2025.0</v>
      </c>
      <c r="C152" s="10">
        <v>45755.0</v>
      </c>
      <c r="D152" s="7" t="s">
        <v>45</v>
      </c>
      <c r="E152" s="7" t="s">
        <v>26</v>
      </c>
      <c r="F152" s="7">
        <v>1.0</v>
      </c>
      <c r="G152" s="7" t="s">
        <v>46</v>
      </c>
      <c r="H152" s="7">
        <v>2.0</v>
      </c>
      <c r="I152" s="7">
        <v>2.0</v>
      </c>
      <c r="J152" s="7">
        <v>0.5</v>
      </c>
      <c r="K152" s="7" t="s">
        <v>29</v>
      </c>
      <c r="L152" s="9" t="str">
        <f>VLOOKUP(K152, 'Alphabetical by species code'!A:B, 2, FALSE)</f>
        <v>Opuntia littoralis</v>
      </c>
      <c r="M152" s="9" t="str">
        <f>VLOOKUP(L152, 'Alphabetical by species code'!B:C, 2, FALSE)</f>
        <v>Native</v>
      </c>
    </row>
    <row r="153">
      <c r="A153" s="7">
        <v>2.0</v>
      </c>
      <c r="B153" s="7">
        <v>2025.0</v>
      </c>
      <c r="C153" s="10">
        <v>45755.0</v>
      </c>
      <c r="D153" s="7" t="s">
        <v>45</v>
      </c>
      <c r="E153" s="7" t="s">
        <v>26</v>
      </c>
      <c r="F153" s="7">
        <v>1.0</v>
      </c>
      <c r="G153" s="7" t="s">
        <v>46</v>
      </c>
      <c r="H153" s="7">
        <v>2.0</v>
      </c>
      <c r="I153" s="7">
        <v>2.0</v>
      </c>
      <c r="J153" s="7">
        <v>0.5</v>
      </c>
      <c r="K153" s="7" t="s">
        <v>32</v>
      </c>
      <c r="L153" s="9" t="str">
        <f>VLOOKUP(K153, 'Alphabetical by species code'!A:B, 2, FALSE)</f>
        <v>Medicago polymorpha</v>
      </c>
      <c r="M153" s="9" t="str">
        <f>VLOOKUP(L153, 'Alphabetical by species code'!B:C, 2, FALSE)</f>
        <v>Non-Native</v>
      </c>
    </row>
    <row r="154">
      <c r="A154" s="7">
        <v>2.0</v>
      </c>
      <c r="B154" s="7">
        <v>2025.0</v>
      </c>
      <c r="C154" s="10">
        <v>45755.0</v>
      </c>
      <c r="D154" s="7" t="s">
        <v>45</v>
      </c>
      <c r="E154" s="7" t="s">
        <v>26</v>
      </c>
      <c r="F154" s="7">
        <v>1.0</v>
      </c>
      <c r="G154" s="7" t="s">
        <v>46</v>
      </c>
      <c r="H154" s="7">
        <v>2.0</v>
      </c>
      <c r="I154" s="7">
        <v>2.0</v>
      </c>
      <c r="J154" s="7">
        <v>0.5</v>
      </c>
      <c r="K154" s="7" t="s">
        <v>50</v>
      </c>
      <c r="L154" s="9" t="str">
        <f>VLOOKUP(K154, 'Alphabetical by species code'!A:B, 2, FALSE)</f>
        <v>Crypantha maritima</v>
      </c>
      <c r="M154" s="9" t="str">
        <f>VLOOKUP(L154, 'Alphabetical by species code'!B:C, 2, FALSE)</f>
        <v>Native</v>
      </c>
    </row>
    <row r="155">
      <c r="A155" s="7">
        <v>2.0</v>
      </c>
      <c r="B155" s="7">
        <v>2025.0</v>
      </c>
      <c r="C155" s="10">
        <v>45755.0</v>
      </c>
      <c r="D155" s="7" t="s">
        <v>45</v>
      </c>
      <c r="E155" s="7" t="s">
        <v>26</v>
      </c>
      <c r="F155" s="7">
        <v>1.0</v>
      </c>
      <c r="G155" s="7" t="s">
        <v>46</v>
      </c>
      <c r="H155" s="7">
        <v>2.0</v>
      </c>
      <c r="I155" s="7">
        <v>2.0</v>
      </c>
      <c r="J155" s="7">
        <v>0.5</v>
      </c>
      <c r="K155" s="7" t="s">
        <v>42</v>
      </c>
      <c r="L155" s="9" t="str">
        <f>VLOOKUP(K155, 'Alphabetical by species code'!A:B, 2, FALSE)</f>
        <v>Centaurea melitensis</v>
      </c>
      <c r="M155" s="9" t="str">
        <f>VLOOKUP(L155, 'Alphabetical by species code'!B:C, 2, FALSE)</f>
        <v>Non-Native</v>
      </c>
    </row>
    <row r="156">
      <c r="A156" s="7">
        <v>2.0</v>
      </c>
      <c r="B156" s="7">
        <v>2025.0</v>
      </c>
      <c r="C156" s="10">
        <v>45755.0</v>
      </c>
      <c r="D156" s="7" t="s">
        <v>45</v>
      </c>
      <c r="E156" s="7" t="s">
        <v>26</v>
      </c>
      <c r="F156" s="7">
        <v>1.0</v>
      </c>
      <c r="G156" s="7" t="s">
        <v>46</v>
      </c>
      <c r="H156" s="7">
        <v>2.0</v>
      </c>
      <c r="I156" s="7">
        <v>3.0</v>
      </c>
      <c r="J156" s="7">
        <v>1.0</v>
      </c>
      <c r="K156" s="7" t="s">
        <v>41</v>
      </c>
      <c r="L156" s="9" t="str">
        <f>VLOOKUP(K156, 'Alphabetical by species code'!A:B, 2, FALSE)</f>
        <v>Stem</v>
      </c>
      <c r="M156" s="9" t="str">
        <f>VLOOKUP(L156, 'Alphabetical by species code'!B:C, 2, FALSE)</f>
        <v>Ground Cover</v>
      </c>
    </row>
    <row r="157">
      <c r="A157" s="7">
        <v>2.0</v>
      </c>
      <c r="B157" s="7">
        <v>2025.0</v>
      </c>
      <c r="C157" s="10">
        <v>45755.0</v>
      </c>
      <c r="D157" s="7" t="s">
        <v>45</v>
      </c>
      <c r="E157" s="7" t="s">
        <v>26</v>
      </c>
      <c r="F157" s="7">
        <v>1.0</v>
      </c>
      <c r="G157" s="7" t="s">
        <v>46</v>
      </c>
      <c r="H157" s="7">
        <v>2.0</v>
      </c>
      <c r="I157" s="7">
        <v>3.0</v>
      </c>
      <c r="J157" s="7">
        <v>1.0</v>
      </c>
      <c r="K157" s="7" t="s">
        <v>42</v>
      </c>
      <c r="L157" s="9" t="str">
        <f>VLOOKUP(K157, 'Alphabetical by species code'!A:B, 2, FALSE)</f>
        <v>Centaurea melitensis</v>
      </c>
      <c r="M157" s="9" t="str">
        <f>VLOOKUP(L157, 'Alphabetical by species code'!B:C, 2, FALSE)</f>
        <v>Non-Native</v>
      </c>
    </row>
    <row r="158">
      <c r="A158" s="7">
        <v>2.0</v>
      </c>
      <c r="B158" s="7">
        <v>2025.0</v>
      </c>
      <c r="C158" s="10">
        <v>45755.0</v>
      </c>
      <c r="D158" s="7" t="s">
        <v>45</v>
      </c>
      <c r="E158" s="7" t="s">
        <v>26</v>
      </c>
      <c r="F158" s="7">
        <v>1.0</v>
      </c>
      <c r="G158" s="7" t="s">
        <v>46</v>
      </c>
      <c r="H158" s="7">
        <v>2.0</v>
      </c>
      <c r="I158" s="7">
        <v>3.0</v>
      </c>
      <c r="J158" s="7">
        <v>1.0</v>
      </c>
      <c r="K158" s="7" t="s">
        <v>34</v>
      </c>
      <c r="L158" s="9" t="str">
        <f>VLOOKUP(K158, 'Alphabetical by species code'!A:B, 2, FALSE)</f>
        <v>Erodium cicutarium</v>
      </c>
      <c r="M158" s="9" t="str">
        <f>VLOOKUP(L158, 'Alphabetical by species code'!B:C, 2, FALSE)</f>
        <v>Non-Native</v>
      </c>
    </row>
    <row r="159">
      <c r="A159" s="7">
        <v>2.0</v>
      </c>
      <c r="B159" s="7">
        <v>2025.0</v>
      </c>
      <c r="C159" s="10">
        <v>45755.0</v>
      </c>
      <c r="D159" s="7" t="s">
        <v>45</v>
      </c>
      <c r="E159" s="7" t="s">
        <v>26</v>
      </c>
      <c r="F159" s="7">
        <v>1.0</v>
      </c>
      <c r="G159" s="7" t="s">
        <v>46</v>
      </c>
      <c r="H159" s="7">
        <v>2.0</v>
      </c>
      <c r="I159" s="7">
        <v>3.0</v>
      </c>
      <c r="J159" s="7">
        <v>1.0</v>
      </c>
      <c r="K159" s="7" t="s">
        <v>31</v>
      </c>
      <c r="L159" s="9" t="str">
        <f>VLOOKUP(K159, 'Alphabetical by species code'!A:B, 2, FALSE)</f>
        <v>Festuca myuros</v>
      </c>
      <c r="M159" s="9" t="str">
        <f>VLOOKUP(L159, 'Alphabetical by species code'!B:C, 2, FALSE)</f>
        <v>Non-Native</v>
      </c>
    </row>
    <row r="160">
      <c r="A160" s="7">
        <v>2.0</v>
      </c>
      <c r="B160" s="7">
        <v>2025.0</v>
      </c>
      <c r="C160" s="10">
        <v>45755.0</v>
      </c>
      <c r="D160" s="7" t="s">
        <v>45</v>
      </c>
      <c r="E160" s="7" t="s">
        <v>26</v>
      </c>
      <c r="F160" s="7">
        <v>1.0</v>
      </c>
      <c r="G160" s="7" t="s">
        <v>46</v>
      </c>
      <c r="H160" s="7">
        <v>2.0</v>
      </c>
      <c r="I160" s="7">
        <v>4.0</v>
      </c>
      <c r="J160" s="7">
        <v>1.5</v>
      </c>
      <c r="K160" s="7" t="s">
        <v>28</v>
      </c>
      <c r="L160" s="9" t="str">
        <f>VLOOKUP(K160, 'Alphabetical by species code'!A:B, 2, FALSE)</f>
        <v>Litter</v>
      </c>
      <c r="M160" s="9" t="str">
        <f>VLOOKUP(L160, 'Alphabetical by species code'!B:C, 2, FALSE)</f>
        <v>Ground Cover</v>
      </c>
    </row>
    <row r="161">
      <c r="A161" s="7">
        <v>2.0</v>
      </c>
      <c r="B161" s="7">
        <v>2025.0</v>
      </c>
      <c r="C161" s="10">
        <v>45755.0</v>
      </c>
      <c r="D161" s="7" t="s">
        <v>45</v>
      </c>
      <c r="E161" s="7" t="s">
        <v>26</v>
      </c>
      <c r="F161" s="7">
        <v>1.0</v>
      </c>
      <c r="G161" s="7" t="s">
        <v>46</v>
      </c>
      <c r="H161" s="7">
        <v>2.0</v>
      </c>
      <c r="I161" s="7">
        <v>4.0</v>
      </c>
      <c r="J161" s="7">
        <v>1.5</v>
      </c>
      <c r="K161" s="7" t="s">
        <v>32</v>
      </c>
      <c r="L161" s="9" t="str">
        <f>VLOOKUP(K161, 'Alphabetical by species code'!A:B, 2, FALSE)</f>
        <v>Medicago polymorpha</v>
      </c>
      <c r="M161" s="9" t="str">
        <f>VLOOKUP(L161, 'Alphabetical by species code'!B:C, 2, FALSE)</f>
        <v>Non-Native</v>
      </c>
    </row>
    <row r="162">
      <c r="A162" s="7">
        <v>2.0</v>
      </c>
      <c r="B162" s="7">
        <v>2025.0</v>
      </c>
      <c r="C162" s="10">
        <v>45755.0</v>
      </c>
      <c r="D162" s="7" t="s">
        <v>45</v>
      </c>
      <c r="E162" s="7" t="s">
        <v>26</v>
      </c>
      <c r="F162" s="7">
        <v>1.0</v>
      </c>
      <c r="G162" s="7" t="s">
        <v>46</v>
      </c>
      <c r="H162" s="7">
        <v>2.0</v>
      </c>
      <c r="I162" s="7">
        <v>4.0</v>
      </c>
      <c r="J162" s="7">
        <v>1.5</v>
      </c>
      <c r="K162" s="7" t="s">
        <v>40</v>
      </c>
      <c r="L162" s="9" t="str">
        <f>VLOOKUP(K162, 'Alphabetical by species code'!A:B, 2, FALSE)</f>
        <v>Cylindropuntia prolifera</v>
      </c>
      <c r="M162" s="9" t="str">
        <f>VLOOKUP(L162, 'Alphabetical by species code'!B:C, 2, FALSE)</f>
        <v>Native</v>
      </c>
    </row>
    <row r="163">
      <c r="A163" s="7">
        <v>2.0</v>
      </c>
      <c r="B163" s="7">
        <v>2025.0</v>
      </c>
      <c r="C163" s="10">
        <v>45755.0</v>
      </c>
      <c r="D163" s="7" t="s">
        <v>45</v>
      </c>
      <c r="E163" s="7" t="s">
        <v>26</v>
      </c>
      <c r="F163" s="7">
        <v>1.0</v>
      </c>
      <c r="G163" s="7" t="s">
        <v>46</v>
      </c>
      <c r="H163" s="7">
        <v>2.0</v>
      </c>
      <c r="I163" s="7">
        <v>4.0</v>
      </c>
      <c r="J163" s="7">
        <v>1.5</v>
      </c>
      <c r="K163" s="7" t="s">
        <v>42</v>
      </c>
      <c r="L163" s="9" t="str">
        <f>VLOOKUP(K163, 'Alphabetical by species code'!A:B, 2, FALSE)</f>
        <v>Centaurea melitensis</v>
      </c>
      <c r="M163" s="9" t="str">
        <f>VLOOKUP(L163, 'Alphabetical by species code'!B:C, 2, FALSE)</f>
        <v>Non-Native</v>
      </c>
    </row>
    <row r="164">
      <c r="A164" s="7">
        <v>2.0</v>
      </c>
      <c r="B164" s="7">
        <v>2025.0</v>
      </c>
      <c r="C164" s="10">
        <v>45755.0</v>
      </c>
      <c r="D164" s="7" t="s">
        <v>45</v>
      </c>
      <c r="E164" s="7" t="s">
        <v>26</v>
      </c>
      <c r="F164" s="7">
        <v>1.0</v>
      </c>
      <c r="G164" s="7" t="s">
        <v>46</v>
      </c>
      <c r="H164" s="7">
        <v>2.0</v>
      </c>
      <c r="I164" s="7">
        <v>5.0</v>
      </c>
      <c r="J164" s="7">
        <v>2.5</v>
      </c>
      <c r="K164" s="7" t="s">
        <v>28</v>
      </c>
      <c r="L164" s="9" t="str">
        <f>VLOOKUP(K164, 'Alphabetical by species code'!A:B, 2, FALSE)</f>
        <v>Litter</v>
      </c>
      <c r="M164" s="9" t="str">
        <f>VLOOKUP(L164, 'Alphabetical by species code'!B:C, 2, FALSE)</f>
        <v>Ground Cover</v>
      </c>
    </row>
    <row r="165">
      <c r="A165" s="7">
        <v>2.0</v>
      </c>
      <c r="B165" s="7">
        <v>2025.0</v>
      </c>
      <c r="C165" s="10">
        <v>45755.0</v>
      </c>
      <c r="D165" s="7" t="s">
        <v>45</v>
      </c>
      <c r="E165" s="7" t="s">
        <v>26</v>
      </c>
      <c r="F165" s="7">
        <v>1.0</v>
      </c>
      <c r="G165" s="7" t="s">
        <v>46</v>
      </c>
      <c r="H165" s="7">
        <v>2.0</v>
      </c>
      <c r="I165" s="7">
        <v>5.0</v>
      </c>
      <c r="J165" s="7">
        <v>2.5</v>
      </c>
      <c r="K165" s="7" t="s">
        <v>32</v>
      </c>
      <c r="L165" s="9" t="str">
        <f>VLOOKUP(K165, 'Alphabetical by species code'!A:B, 2, FALSE)</f>
        <v>Medicago polymorpha</v>
      </c>
      <c r="M165" s="9" t="str">
        <f>VLOOKUP(L165, 'Alphabetical by species code'!B:C, 2, FALSE)</f>
        <v>Non-Native</v>
      </c>
    </row>
    <row r="166">
      <c r="A166" s="7">
        <v>2.0</v>
      </c>
      <c r="B166" s="7">
        <v>2025.0</v>
      </c>
      <c r="C166" s="10">
        <v>45755.0</v>
      </c>
      <c r="D166" s="7" t="s">
        <v>45</v>
      </c>
      <c r="E166" s="7" t="s">
        <v>26</v>
      </c>
      <c r="F166" s="7">
        <v>1.0</v>
      </c>
      <c r="G166" s="7" t="s">
        <v>46</v>
      </c>
      <c r="H166" s="7">
        <v>2.0</v>
      </c>
      <c r="I166" s="7">
        <v>5.0</v>
      </c>
      <c r="J166" s="7">
        <v>2.5</v>
      </c>
      <c r="K166" s="7" t="s">
        <v>30</v>
      </c>
      <c r="L166" s="9" t="str">
        <f>VLOOKUP(K166, 'Alphabetical by species code'!A:B, 2, FALSE)</f>
        <v>Erodium moschatum</v>
      </c>
      <c r="M166" s="9" t="str">
        <f>VLOOKUP(L166, 'Alphabetical by species code'!B:C, 2, FALSE)</f>
        <v>Non-Native</v>
      </c>
    </row>
    <row r="167">
      <c r="A167" s="7">
        <v>2.0</v>
      </c>
      <c r="B167" s="7">
        <v>2025.0</v>
      </c>
      <c r="C167" s="10">
        <v>45755.0</v>
      </c>
      <c r="D167" s="7" t="s">
        <v>45</v>
      </c>
      <c r="E167" s="7" t="s">
        <v>26</v>
      </c>
      <c r="F167" s="7">
        <v>1.0</v>
      </c>
      <c r="G167" s="7" t="s">
        <v>46</v>
      </c>
      <c r="H167" s="7">
        <v>2.0</v>
      </c>
      <c r="I167" s="7">
        <v>5.0</v>
      </c>
      <c r="J167" s="7">
        <v>2.5</v>
      </c>
      <c r="K167" s="7" t="s">
        <v>39</v>
      </c>
      <c r="L167" s="9" t="str">
        <f>VLOOKUP(K167, 'Alphabetical by species code'!A:B, 2, FALSE)</f>
        <v>Stephanomeria diegensis</v>
      </c>
      <c r="M167" s="9" t="str">
        <f>VLOOKUP(L167, 'Alphabetical by species code'!B:C, 2, FALSE)</f>
        <v>Native</v>
      </c>
    </row>
    <row r="168">
      <c r="A168" s="7">
        <v>2.0</v>
      </c>
      <c r="B168" s="7">
        <v>2025.0</v>
      </c>
      <c r="C168" s="10">
        <v>45755.0</v>
      </c>
      <c r="D168" s="7" t="s">
        <v>45</v>
      </c>
      <c r="E168" s="7" t="s">
        <v>26</v>
      </c>
      <c r="F168" s="7">
        <v>1.0</v>
      </c>
      <c r="G168" s="7" t="s">
        <v>46</v>
      </c>
      <c r="H168" s="7">
        <v>2.0</v>
      </c>
      <c r="I168" s="7">
        <v>6.0</v>
      </c>
      <c r="J168" s="7">
        <v>3.0</v>
      </c>
      <c r="K168" s="7" t="s">
        <v>28</v>
      </c>
      <c r="L168" s="9" t="str">
        <f>VLOOKUP(K168, 'Alphabetical by species code'!A:B, 2, FALSE)</f>
        <v>Litter</v>
      </c>
      <c r="M168" s="9" t="str">
        <f>VLOOKUP(L168, 'Alphabetical by species code'!B:C, 2, FALSE)</f>
        <v>Ground Cover</v>
      </c>
    </row>
    <row r="169">
      <c r="A169" s="7">
        <v>2.0</v>
      </c>
      <c r="B169" s="7">
        <v>2025.0</v>
      </c>
      <c r="C169" s="10">
        <v>45755.0</v>
      </c>
      <c r="D169" s="7" t="s">
        <v>45</v>
      </c>
      <c r="E169" s="7" t="s">
        <v>26</v>
      </c>
      <c r="F169" s="7">
        <v>1.0</v>
      </c>
      <c r="G169" s="7" t="s">
        <v>46</v>
      </c>
      <c r="H169" s="7">
        <v>2.0</v>
      </c>
      <c r="I169" s="7">
        <v>6.0</v>
      </c>
      <c r="J169" s="7">
        <v>3.0</v>
      </c>
      <c r="K169" s="7" t="s">
        <v>32</v>
      </c>
      <c r="L169" s="9" t="str">
        <f>VLOOKUP(K169, 'Alphabetical by species code'!A:B, 2, FALSE)</f>
        <v>Medicago polymorpha</v>
      </c>
      <c r="M169" s="9" t="str">
        <f>VLOOKUP(L169, 'Alphabetical by species code'!B:C, 2, FALSE)</f>
        <v>Non-Native</v>
      </c>
    </row>
    <row r="170">
      <c r="A170" s="7">
        <v>2.0</v>
      </c>
      <c r="B170" s="7">
        <v>2025.0</v>
      </c>
      <c r="C170" s="10">
        <v>45755.0</v>
      </c>
      <c r="D170" s="7" t="s">
        <v>45</v>
      </c>
      <c r="E170" s="7" t="s">
        <v>26</v>
      </c>
      <c r="F170" s="7">
        <v>1.0</v>
      </c>
      <c r="G170" s="7" t="s">
        <v>46</v>
      </c>
      <c r="H170" s="7">
        <v>2.0</v>
      </c>
      <c r="I170" s="7">
        <v>6.0</v>
      </c>
      <c r="J170" s="7">
        <v>3.0</v>
      </c>
      <c r="K170" s="7" t="s">
        <v>37</v>
      </c>
      <c r="L170" s="9" t="str">
        <f>VLOOKUP(K170, 'Alphabetical by species code'!A:B, 2, FALSE)</f>
        <v>Sonchus oleraceus</v>
      </c>
      <c r="M170" s="9" t="str">
        <f>VLOOKUP(L170, 'Alphabetical by species code'!B:C, 2, FALSE)</f>
        <v>Non-Native</v>
      </c>
    </row>
    <row r="171">
      <c r="A171" s="7">
        <v>2.0</v>
      </c>
      <c r="B171" s="7">
        <v>2025.0</v>
      </c>
      <c r="C171" s="10">
        <v>45755.0</v>
      </c>
      <c r="D171" s="7" t="s">
        <v>45</v>
      </c>
      <c r="E171" s="7" t="s">
        <v>26</v>
      </c>
      <c r="F171" s="7">
        <v>1.0</v>
      </c>
      <c r="G171" s="7" t="s">
        <v>46</v>
      </c>
      <c r="H171" s="7">
        <v>2.0</v>
      </c>
      <c r="I171" s="7">
        <v>7.0</v>
      </c>
      <c r="J171" s="7">
        <v>3.5</v>
      </c>
      <c r="K171" s="7" t="s">
        <v>51</v>
      </c>
      <c r="L171" s="9" t="str">
        <f>VLOOKUP(K171, 'Alphabetical by species code'!A:B, 2, FALSE)</f>
        <v>Bareground</v>
      </c>
      <c r="M171" s="9" t="str">
        <f>VLOOKUP(L171, 'Alphabetical by species code'!B:C, 2, FALSE)</f>
        <v>Ground Cover</v>
      </c>
    </row>
    <row r="172">
      <c r="A172" s="7">
        <v>2.0</v>
      </c>
      <c r="B172" s="7">
        <v>2025.0</v>
      </c>
      <c r="C172" s="10">
        <v>45755.0</v>
      </c>
      <c r="D172" s="7" t="s">
        <v>45</v>
      </c>
      <c r="E172" s="7" t="s">
        <v>26</v>
      </c>
      <c r="F172" s="7">
        <v>1.0</v>
      </c>
      <c r="G172" s="7" t="s">
        <v>46</v>
      </c>
      <c r="H172" s="7">
        <v>2.0</v>
      </c>
      <c r="I172" s="7">
        <v>8.0</v>
      </c>
      <c r="J172" s="7">
        <v>4.0</v>
      </c>
      <c r="K172" s="7" t="s">
        <v>28</v>
      </c>
      <c r="L172" s="9" t="str">
        <f>VLOOKUP(K172, 'Alphabetical by species code'!A:B, 2, FALSE)</f>
        <v>Litter</v>
      </c>
      <c r="M172" s="9" t="str">
        <f>VLOOKUP(L172, 'Alphabetical by species code'!B:C, 2, FALSE)</f>
        <v>Ground Cover</v>
      </c>
    </row>
    <row r="173">
      <c r="A173" s="7">
        <v>2.0</v>
      </c>
      <c r="B173" s="7">
        <v>2025.0</v>
      </c>
      <c r="C173" s="10">
        <v>45755.0</v>
      </c>
      <c r="D173" s="7" t="s">
        <v>45</v>
      </c>
      <c r="E173" s="7" t="s">
        <v>26</v>
      </c>
      <c r="F173" s="7">
        <v>1.0</v>
      </c>
      <c r="G173" s="7" t="s">
        <v>46</v>
      </c>
      <c r="H173" s="7">
        <v>2.0</v>
      </c>
      <c r="I173" s="7">
        <v>8.0</v>
      </c>
      <c r="J173" s="7">
        <v>4.0</v>
      </c>
      <c r="K173" s="7" t="s">
        <v>37</v>
      </c>
      <c r="L173" s="9" t="str">
        <f>VLOOKUP(K173, 'Alphabetical by species code'!A:B, 2, FALSE)</f>
        <v>Sonchus oleraceus</v>
      </c>
      <c r="M173" s="9" t="str">
        <f>VLOOKUP(L173, 'Alphabetical by species code'!B:C, 2, FALSE)</f>
        <v>Non-Native</v>
      </c>
    </row>
    <row r="174">
      <c r="A174" s="7">
        <v>2.0</v>
      </c>
      <c r="B174" s="7">
        <v>2025.0</v>
      </c>
      <c r="C174" s="10">
        <v>45755.0</v>
      </c>
      <c r="D174" s="7" t="s">
        <v>45</v>
      </c>
      <c r="E174" s="7" t="s">
        <v>26</v>
      </c>
      <c r="F174" s="7">
        <v>1.0</v>
      </c>
      <c r="G174" s="7" t="s">
        <v>46</v>
      </c>
      <c r="H174" s="7">
        <v>2.0</v>
      </c>
      <c r="I174" s="7">
        <v>8.0</v>
      </c>
      <c r="J174" s="7">
        <v>4.0</v>
      </c>
      <c r="K174" s="7" t="s">
        <v>34</v>
      </c>
      <c r="L174" s="9" t="str">
        <f>VLOOKUP(K174, 'Alphabetical by species code'!A:B, 2, FALSE)</f>
        <v>Erodium cicutarium</v>
      </c>
      <c r="M174" s="9" t="str">
        <f>VLOOKUP(L174, 'Alphabetical by species code'!B:C, 2, FALSE)</f>
        <v>Non-Native</v>
      </c>
    </row>
    <row r="175">
      <c r="A175" s="7">
        <v>2.0</v>
      </c>
      <c r="B175" s="7">
        <v>2025.0</v>
      </c>
      <c r="C175" s="10">
        <v>45755.0</v>
      </c>
      <c r="D175" s="7" t="s">
        <v>45</v>
      </c>
      <c r="E175" s="7" t="s">
        <v>26</v>
      </c>
      <c r="F175" s="7">
        <v>1.0</v>
      </c>
      <c r="G175" s="7" t="s">
        <v>46</v>
      </c>
      <c r="H175" s="7">
        <v>2.0</v>
      </c>
      <c r="I175" s="7">
        <v>9.0</v>
      </c>
      <c r="J175" s="7">
        <v>4.5</v>
      </c>
      <c r="K175" s="7" t="s">
        <v>28</v>
      </c>
      <c r="L175" s="9" t="str">
        <f>VLOOKUP(K175, 'Alphabetical by species code'!A:B, 2, FALSE)</f>
        <v>Litter</v>
      </c>
      <c r="M175" s="9" t="str">
        <f>VLOOKUP(L175, 'Alphabetical by species code'!B:C, 2, FALSE)</f>
        <v>Ground Cover</v>
      </c>
    </row>
    <row r="176">
      <c r="A176" s="7">
        <v>2.0</v>
      </c>
      <c r="B176" s="7">
        <v>2025.0</v>
      </c>
      <c r="C176" s="10">
        <v>45755.0</v>
      </c>
      <c r="D176" s="7" t="s">
        <v>45</v>
      </c>
      <c r="E176" s="7" t="s">
        <v>26</v>
      </c>
      <c r="F176" s="7">
        <v>1.0</v>
      </c>
      <c r="G176" s="7" t="s">
        <v>46</v>
      </c>
      <c r="H176" s="7">
        <v>2.0</v>
      </c>
      <c r="I176" s="7">
        <v>9.0</v>
      </c>
      <c r="J176" s="7">
        <v>4.5</v>
      </c>
      <c r="K176" s="7" t="s">
        <v>35</v>
      </c>
      <c r="L176" s="9" t="str">
        <f>VLOOKUP(K176, 'Alphabetical by species code'!A:B, 2, FALSE)</f>
        <v>Deinandra fasciculata</v>
      </c>
      <c r="M176" s="9" t="str">
        <f>VLOOKUP(L176, 'Alphabetical by species code'!B:C, 2, FALSE)</f>
        <v>Native</v>
      </c>
    </row>
    <row r="177">
      <c r="A177" s="7">
        <v>2.0</v>
      </c>
      <c r="B177" s="7">
        <v>2025.0</v>
      </c>
      <c r="C177" s="10">
        <v>45755.0</v>
      </c>
      <c r="D177" s="7" t="s">
        <v>45</v>
      </c>
      <c r="E177" s="7" t="s">
        <v>26</v>
      </c>
      <c r="F177" s="7">
        <v>1.0</v>
      </c>
      <c r="G177" s="7" t="s">
        <v>46</v>
      </c>
      <c r="H177" s="7">
        <v>2.0</v>
      </c>
      <c r="I177" s="7">
        <v>9.0</v>
      </c>
      <c r="J177" s="7">
        <v>4.5</v>
      </c>
      <c r="K177" s="7" t="s">
        <v>37</v>
      </c>
      <c r="L177" s="9" t="str">
        <f>VLOOKUP(K177, 'Alphabetical by species code'!A:B, 2, FALSE)</f>
        <v>Sonchus oleraceus</v>
      </c>
      <c r="M177" s="9" t="str">
        <f>VLOOKUP(L177, 'Alphabetical by species code'!B:C, 2, FALSE)</f>
        <v>Non-Native</v>
      </c>
    </row>
    <row r="178">
      <c r="A178" s="7">
        <v>2.0</v>
      </c>
      <c r="B178" s="7">
        <v>2025.0</v>
      </c>
      <c r="C178" s="10">
        <v>45755.0</v>
      </c>
      <c r="D178" s="7" t="s">
        <v>45</v>
      </c>
      <c r="E178" s="7" t="s">
        <v>26</v>
      </c>
      <c r="F178" s="7">
        <v>1.0</v>
      </c>
      <c r="G178" s="7" t="s">
        <v>46</v>
      </c>
      <c r="H178" s="7">
        <v>2.0</v>
      </c>
      <c r="I178" s="7">
        <v>10.0</v>
      </c>
      <c r="J178" s="7">
        <v>5.0</v>
      </c>
      <c r="K178" s="7" t="s">
        <v>28</v>
      </c>
      <c r="L178" s="9" t="str">
        <f>VLOOKUP(K178, 'Alphabetical by species code'!A:B, 2, FALSE)</f>
        <v>Litter</v>
      </c>
      <c r="M178" s="9" t="str">
        <f>VLOOKUP(L178, 'Alphabetical by species code'!B:C, 2, FALSE)</f>
        <v>Ground Cover</v>
      </c>
    </row>
    <row r="179">
      <c r="A179" s="7">
        <v>2.0</v>
      </c>
      <c r="B179" s="7">
        <v>2025.0</v>
      </c>
      <c r="C179" s="10">
        <v>45755.0</v>
      </c>
      <c r="D179" s="7" t="s">
        <v>45</v>
      </c>
      <c r="E179" s="7" t="s">
        <v>26</v>
      </c>
      <c r="F179" s="7">
        <v>1.0</v>
      </c>
      <c r="G179" s="7" t="s">
        <v>46</v>
      </c>
      <c r="H179" s="7">
        <v>2.0</v>
      </c>
      <c r="I179" s="7">
        <v>10.0</v>
      </c>
      <c r="J179" s="7">
        <v>5.0</v>
      </c>
      <c r="K179" s="7" t="s">
        <v>34</v>
      </c>
      <c r="L179" s="9" t="str">
        <f>VLOOKUP(K179, 'Alphabetical by species code'!A:B, 2, FALSE)</f>
        <v>Erodium cicutarium</v>
      </c>
      <c r="M179" s="9" t="str">
        <f>VLOOKUP(L179, 'Alphabetical by species code'!B:C, 2, FALSE)</f>
        <v>Non-Native</v>
      </c>
    </row>
    <row r="180">
      <c r="A180" s="7">
        <v>2.0</v>
      </c>
      <c r="B180" s="7">
        <v>2025.0</v>
      </c>
      <c r="C180" s="10">
        <v>45755.0</v>
      </c>
      <c r="D180" s="7" t="s">
        <v>45</v>
      </c>
      <c r="E180" s="7" t="s">
        <v>26</v>
      </c>
      <c r="F180" s="7">
        <v>1.0</v>
      </c>
      <c r="G180" s="7" t="s">
        <v>46</v>
      </c>
      <c r="H180" s="7">
        <v>2.0</v>
      </c>
      <c r="I180" s="7">
        <v>10.0</v>
      </c>
      <c r="J180" s="7">
        <v>5.0</v>
      </c>
      <c r="K180" s="7" t="s">
        <v>42</v>
      </c>
      <c r="L180" s="9" t="str">
        <f>VLOOKUP(K180, 'Alphabetical by species code'!A:B, 2, FALSE)</f>
        <v>Centaurea melitensis</v>
      </c>
      <c r="M180" s="9" t="str">
        <f>VLOOKUP(L180, 'Alphabetical by species code'!B:C, 2, FALSE)</f>
        <v>Non-Native</v>
      </c>
    </row>
    <row r="181">
      <c r="A181" s="7">
        <v>2.0</v>
      </c>
      <c r="B181" s="7">
        <v>2025.0</v>
      </c>
      <c r="C181" s="10">
        <v>45755.0</v>
      </c>
      <c r="D181" s="7" t="s">
        <v>45</v>
      </c>
      <c r="E181" s="7" t="s">
        <v>26</v>
      </c>
      <c r="F181" s="7">
        <v>1.0</v>
      </c>
      <c r="G181" s="7" t="s">
        <v>46</v>
      </c>
      <c r="H181" s="7">
        <v>2.0</v>
      </c>
      <c r="I181" s="7">
        <v>11.0</v>
      </c>
      <c r="J181" s="7">
        <v>5.5</v>
      </c>
      <c r="K181" s="7" t="s">
        <v>28</v>
      </c>
      <c r="L181" s="9" t="str">
        <f>VLOOKUP(K181, 'Alphabetical by species code'!A:B, 2, FALSE)</f>
        <v>Litter</v>
      </c>
      <c r="M181" s="9" t="str">
        <f>VLOOKUP(L181, 'Alphabetical by species code'!B:C, 2, FALSE)</f>
        <v>Ground Cover</v>
      </c>
    </row>
    <row r="182">
      <c r="A182" s="7">
        <v>2.0</v>
      </c>
      <c r="B182" s="7">
        <v>2025.0</v>
      </c>
      <c r="C182" s="10">
        <v>45755.0</v>
      </c>
      <c r="D182" s="7" t="s">
        <v>45</v>
      </c>
      <c r="E182" s="7" t="s">
        <v>26</v>
      </c>
      <c r="F182" s="7">
        <v>1.0</v>
      </c>
      <c r="G182" s="7" t="s">
        <v>46</v>
      </c>
      <c r="H182" s="7">
        <v>2.0</v>
      </c>
      <c r="I182" s="7">
        <v>11.0</v>
      </c>
      <c r="J182" s="7">
        <v>5.5</v>
      </c>
      <c r="K182" s="7" t="s">
        <v>34</v>
      </c>
      <c r="L182" s="9" t="str">
        <f>VLOOKUP(K182, 'Alphabetical by species code'!A:B, 2, FALSE)</f>
        <v>Erodium cicutarium</v>
      </c>
      <c r="M182" s="9" t="str">
        <f>VLOOKUP(L182, 'Alphabetical by species code'!B:C, 2, FALSE)</f>
        <v>Non-Native</v>
      </c>
    </row>
    <row r="183">
      <c r="A183" s="7">
        <v>2.0</v>
      </c>
      <c r="B183" s="7">
        <v>2025.0</v>
      </c>
      <c r="C183" s="10">
        <v>45755.0</v>
      </c>
      <c r="D183" s="7" t="s">
        <v>45</v>
      </c>
      <c r="E183" s="7" t="s">
        <v>26</v>
      </c>
      <c r="F183" s="7">
        <v>1.0</v>
      </c>
      <c r="G183" s="7" t="s">
        <v>46</v>
      </c>
      <c r="H183" s="7">
        <v>2.0</v>
      </c>
      <c r="I183" s="7">
        <v>11.0</v>
      </c>
      <c r="J183" s="7">
        <v>5.5</v>
      </c>
      <c r="K183" s="7" t="s">
        <v>42</v>
      </c>
      <c r="L183" s="9" t="str">
        <f>VLOOKUP(K183, 'Alphabetical by species code'!A:B, 2, FALSE)</f>
        <v>Centaurea melitensis</v>
      </c>
      <c r="M183" s="9" t="str">
        <f>VLOOKUP(L183, 'Alphabetical by species code'!B:C, 2, FALSE)</f>
        <v>Non-Native</v>
      </c>
    </row>
    <row r="184">
      <c r="A184" s="7">
        <v>2.0</v>
      </c>
      <c r="B184" s="7">
        <v>2025.0</v>
      </c>
      <c r="C184" s="10">
        <v>45755.0</v>
      </c>
      <c r="D184" s="7" t="s">
        <v>45</v>
      </c>
      <c r="E184" s="7" t="s">
        <v>26</v>
      </c>
      <c r="F184" s="7">
        <v>1.0</v>
      </c>
      <c r="G184" s="7" t="s">
        <v>46</v>
      </c>
      <c r="H184" s="7">
        <v>2.0</v>
      </c>
      <c r="I184" s="7">
        <v>12.0</v>
      </c>
      <c r="J184" s="7">
        <v>6.0</v>
      </c>
      <c r="K184" s="7" t="s">
        <v>28</v>
      </c>
      <c r="L184" s="9" t="str">
        <f>VLOOKUP(K184, 'Alphabetical by species code'!A:B, 2, FALSE)</f>
        <v>Litter</v>
      </c>
      <c r="M184" s="9" t="str">
        <f>VLOOKUP(L184, 'Alphabetical by species code'!B:C, 2, FALSE)</f>
        <v>Ground Cover</v>
      </c>
    </row>
    <row r="185">
      <c r="A185" s="7">
        <v>2.0</v>
      </c>
      <c r="B185" s="7">
        <v>2025.0</v>
      </c>
      <c r="C185" s="10">
        <v>45755.0</v>
      </c>
      <c r="D185" s="7" t="s">
        <v>45</v>
      </c>
      <c r="E185" s="7" t="s">
        <v>26</v>
      </c>
      <c r="F185" s="7">
        <v>1.0</v>
      </c>
      <c r="G185" s="7" t="s">
        <v>46</v>
      </c>
      <c r="H185" s="7">
        <v>2.0</v>
      </c>
      <c r="I185" s="7">
        <v>12.0</v>
      </c>
      <c r="J185" s="7">
        <v>6.0</v>
      </c>
      <c r="K185" s="7" t="s">
        <v>39</v>
      </c>
      <c r="L185" s="9" t="str">
        <f>VLOOKUP(K185, 'Alphabetical by species code'!A:B, 2, FALSE)</f>
        <v>Stephanomeria diegensis</v>
      </c>
      <c r="M185" s="9" t="str">
        <f>VLOOKUP(L185, 'Alphabetical by species code'!B:C, 2, FALSE)</f>
        <v>Native</v>
      </c>
    </row>
    <row r="186">
      <c r="A186" s="7">
        <v>2.0</v>
      </c>
      <c r="B186" s="7">
        <v>2025.0</v>
      </c>
      <c r="C186" s="10">
        <v>45755.0</v>
      </c>
      <c r="D186" s="7" t="s">
        <v>45</v>
      </c>
      <c r="E186" s="7" t="s">
        <v>26</v>
      </c>
      <c r="F186" s="7">
        <v>1.0</v>
      </c>
      <c r="G186" s="7" t="s">
        <v>46</v>
      </c>
      <c r="H186" s="7">
        <v>2.0</v>
      </c>
      <c r="I186" s="7">
        <v>12.0</v>
      </c>
      <c r="J186" s="7">
        <v>6.0</v>
      </c>
      <c r="K186" s="7" t="s">
        <v>30</v>
      </c>
      <c r="L186" s="9" t="str">
        <f>VLOOKUP(K186, 'Alphabetical by species code'!A:B, 2, FALSE)</f>
        <v>Erodium moschatum</v>
      </c>
      <c r="M186" s="9" t="str">
        <f>VLOOKUP(L186, 'Alphabetical by species code'!B:C, 2, FALSE)</f>
        <v>Non-Native</v>
      </c>
    </row>
    <row r="187">
      <c r="A187" s="7">
        <v>2.0</v>
      </c>
      <c r="B187" s="7">
        <v>2025.0</v>
      </c>
      <c r="C187" s="10">
        <v>45755.0</v>
      </c>
      <c r="D187" s="7" t="s">
        <v>45</v>
      </c>
      <c r="E187" s="7" t="s">
        <v>26</v>
      </c>
      <c r="F187" s="7">
        <v>1.0</v>
      </c>
      <c r="G187" s="7" t="s">
        <v>46</v>
      </c>
      <c r="H187" s="7">
        <v>2.0</v>
      </c>
      <c r="I187" s="7">
        <v>13.0</v>
      </c>
      <c r="J187" s="7">
        <v>6.5</v>
      </c>
      <c r="K187" s="7" t="s">
        <v>28</v>
      </c>
      <c r="L187" s="9" t="str">
        <f>VLOOKUP(K187, 'Alphabetical by species code'!A:B, 2, FALSE)</f>
        <v>Litter</v>
      </c>
      <c r="M187" s="9" t="str">
        <f>VLOOKUP(L187, 'Alphabetical by species code'!B:C, 2, FALSE)</f>
        <v>Ground Cover</v>
      </c>
    </row>
    <row r="188">
      <c r="A188" s="7">
        <v>2.0</v>
      </c>
      <c r="B188" s="7">
        <v>2025.0</v>
      </c>
      <c r="C188" s="10">
        <v>45755.0</v>
      </c>
      <c r="D188" s="7" t="s">
        <v>45</v>
      </c>
      <c r="E188" s="7" t="s">
        <v>26</v>
      </c>
      <c r="F188" s="7">
        <v>1.0</v>
      </c>
      <c r="G188" s="7" t="s">
        <v>46</v>
      </c>
      <c r="H188" s="7">
        <v>2.0</v>
      </c>
      <c r="I188" s="7">
        <v>13.0</v>
      </c>
      <c r="J188" s="7">
        <v>6.5</v>
      </c>
      <c r="K188" s="7" t="s">
        <v>48</v>
      </c>
      <c r="L188" s="9" t="str">
        <f>VLOOKUP(K188, 'Alphabetical by species code'!A:B, 2, FALSE)</f>
        <v>Sonchus asper</v>
      </c>
      <c r="M188" s="9" t="str">
        <f>VLOOKUP(L188, 'Alphabetical by species code'!B:C, 2, FALSE)</f>
        <v>Non-Native</v>
      </c>
    </row>
    <row r="189">
      <c r="A189" s="7">
        <v>2.0</v>
      </c>
      <c r="B189" s="7">
        <v>2025.0</v>
      </c>
      <c r="C189" s="10">
        <v>45755.0</v>
      </c>
      <c r="D189" s="7" t="s">
        <v>45</v>
      </c>
      <c r="E189" s="7" t="s">
        <v>26</v>
      </c>
      <c r="F189" s="7">
        <v>1.0</v>
      </c>
      <c r="G189" s="7" t="s">
        <v>46</v>
      </c>
      <c r="H189" s="7">
        <v>2.0</v>
      </c>
      <c r="I189" s="7">
        <v>13.0</v>
      </c>
      <c r="J189" s="7">
        <v>6.5</v>
      </c>
      <c r="K189" s="7" t="s">
        <v>39</v>
      </c>
      <c r="L189" s="9" t="str">
        <f>VLOOKUP(K189, 'Alphabetical by species code'!A:B, 2, FALSE)</f>
        <v>Stephanomeria diegensis</v>
      </c>
      <c r="M189" s="9" t="str">
        <f>VLOOKUP(L189, 'Alphabetical by species code'!B:C, 2, FALSE)</f>
        <v>Native</v>
      </c>
    </row>
    <row r="190">
      <c r="A190" s="7">
        <v>2.0</v>
      </c>
      <c r="B190" s="7">
        <v>2025.0</v>
      </c>
      <c r="C190" s="10">
        <v>45755.0</v>
      </c>
      <c r="D190" s="7" t="s">
        <v>45</v>
      </c>
      <c r="E190" s="7" t="s">
        <v>26</v>
      </c>
      <c r="F190" s="7">
        <v>1.0</v>
      </c>
      <c r="G190" s="7" t="s">
        <v>46</v>
      </c>
      <c r="H190" s="7">
        <v>2.0</v>
      </c>
      <c r="I190" s="7">
        <v>13.0</v>
      </c>
      <c r="J190" s="7">
        <v>6.5</v>
      </c>
      <c r="K190" s="7" t="s">
        <v>31</v>
      </c>
      <c r="L190" s="9" t="str">
        <f>VLOOKUP(K190, 'Alphabetical by species code'!A:B, 2, FALSE)</f>
        <v>Festuca myuros</v>
      </c>
      <c r="M190" s="9" t="str">
        <f>VLOOKUP(L190, 'Alphabetical by species code'!B:C, 2, FALSE)</f>
        <v>Non-Native</v>
      </c>
    </row>
    <row r="191">
      <c r="A191" s="7">
        <v>2.0</v>
      </c>
      <c r="B191" s="7">
        <v>2025.0</v>
      </c>
      <c r="C191" s="10">
        <v>45755.0</v>
      </c>
      <c r="D191" s="7" t="s">
        <v>45</v>
      </c>
      <c r="E191" s="7" t="s">
        <v>26</v>
      </c>
      <c r="F191" s="7">
        <v>1.0</v>
      </c>
      <c r="G191" s="7" t="s">
        <v>46</v>
      </c>
      <c r="H191" s="7">
        <v>2.0</v>
      </c>
      <c r="I191" s="7">
        <v>14.0</v>
      </c>
      <c r="J191" s="7">
        <v>7.0</v>
      </c>
      <c r="K191" s="7" t="s">
        <v>52</v>
      </c>
      <c r="L191" s="9" t="str">
        <f>VLOOKUP(K191, 'Alphabetical by species code'!A:B, 2, FALSE)</f>
        <v>Rock</v>
      </c>
      <c r="M191" s="9" t="str">
        <f>VLOOKUP(L191, 'Alphabetical by species code'!B:C, 2, FALSE)</f>
        <v>Ground Cover</v>
      </c>
    </row>
    <row r="192">
      <c r="A192" s="7">
        <v>2.0</v>
      </c>
      <c r="B192" s="7">
        <v>2025.0</v>
      </c>
      <c r="C192" s="10">
        <v>45755.0</v>
      </c>
      <c r="D192" s="7" t="s">
        <v>45</v>
      </c>
      <c r="E192" s="7" t="s">
        <v>26</v>
      </c>
      <c r="F192" s="7">
        <v>1.0</v>
      </c>
      <c r="G192" s="7" t="s">
        <v>46</v>
      </c>
      <c r="H192" s="7">
        <v>2.0</v>
      </c>
      <c r="I192" s="7">
        <v>14.0</v>
      </c>
      <c r="J192" s="7">
        <v>7.0</v>
      </c>
      <c r="K192" s="7" t="s">
        <v>48</v>
      </c>
      <c r="L192" s="9" t="str">
        <f>VLOOKUP(K192, 'Alphabetical by species code'!A:B, 2, FALSE)</f>
        <v>Sonchus asper</v>
      </c>
      <c r="M192" s="9" t="str">
        <f>VLOOKUP(L192, 'Alphabetical by species code'!B:C, 2, FALSE)</f>
        <v>Non-Native</v>
      </c>
    </row>
    <row r="193">
      <c r="A193" s="7">
        <v>2.0</v>
      </c>
      <c r="B193" s="7">
        <v>2025.0</v>
      </c>
      <c r="C193" s="10">
        <v>45755.0</v>
      </c>
      <c r="D193" s="7" t="s">
        <v>45</v>
      </c>
      <c r="E193" s="7" t="s">
        <v>26</v>
      </c>
      <c r="F193" s="7">
        <v>1.0</v>
      </c>
      <c r="G193" s="7" t="s">
        <v>46</v>
      </c>
      <c r="H193" s="7">
        <v>2.0</v>
      </c>
      <c r="I193" s="7">
        <v>14.0</v>
      </c>
      <c r="J193" s="7">
        <v>7.0</v>
      </c>
      <c r="K193" s="7" t="s">
        <v>36</v>
      </c>
      <c r="L193" s="9" t="str">
        <f>VLOOKUP(K193, 'Alphabetical by species code'!A:B, 2, FALSE)</f>
        <v>Bromus madritensis</v>
      </c>
      <c r="M193" s="9" t="str">
        <f>VLOOKUP(L193, 'Alphabetical by species code'!B:C, 2, FALSE)</f>
        <v>Non-Native</v>
      </c>
    </row>
    <row r="194">
      <c r="A194" s="7">
        <v>2.0</v>
      </c>
      <c r="B194" s="7">
        <v>2025.0</v>
      </c>
      <c r="C194" s="10">
        <v>45755.0</v>
      </c>
      <c r="D194" s="7" t="s">
        <v>45</v>
      </c>
      <c r="E194" s="7" t="s">
        <v>26</v>
      </c>
      <c r="F194" s="7">
        <v>1.0</v>
      </c>
      <c r="G194" s="7" t="s">
        <v>46</v>
      </c>
      <c r="H194" s="7">
        <v>2.0</v>
      </c>
      <c r="I194" s="7">
        <v>14.0</v>
      </c>
      <c r="J194" s="7">
        <v>7.0</v>
      </c>
      <c r="K194" s="7" t="s">
        <v>30</v>
      </c>
      <c r="L194" s="9" t="str">
        <f>VLOOKUP(K194, 'Alphabetical by species code'!A:B, 2, FALSE)</f>
        <v>Erodium moschatum</v>
      </c>
      <c r="M194" s="9" t="str">
        <f>VLOOKUP(L194, 'Alphabetical by species code'!B:C, 2, FALSE)</f>
        <v>Non-Native</v>
      </c>
    </row>
    <row r="195">
      <c r="A195" s="7">
        <v>2.0</v>
      </c>
      <c r="B195" s="7">
        <v>2025.0</v>
      </c>
      <c r="C195" s="10">
        <v>45755.0</v>
      </c>
      <c r="D195" s="7" t="s">
        <v>45</v>
      </c>
      <c r="E195" s="7" t="s">
        <v>26</v>
      </c>
      <c r="F195" s="7">
        <v>1.0</v>
      </c>
      <c r="G195" s="7" t="s">
        <v>46</v>
      </c>
      <c r="H195" s="7">
        <v>2.0</v>
      </c>
      <c r="I195" s="7">
        <v>15.0</v>
      </c>
      <c r="J195" s="7">
        <v>7.5</v>
      </c>
      <c r="K195" s="7" t="s">
        <v>28</v>
      </c>
      <c r="L195" s="9" t="str">
        <f>VLOOKUP(K195, 'Alphabetical by species code'!A:B, 2, FALSE)</f>
        <v>Litter</v>
      </c>
      <c r="M195" s="9" t="str">
        <f>VLOOKUP(L195, 'Alphabetical by species code'!B:C, 2, FALSE)</f>
        <v>Ground Cover</v>
      </c>
    </row>
    <row r="196">
      <c r="A196" s="7">
        <v>2.0</v>
      </c>
      <c r="B196" s="7">
        <v>2025.0</v>
      </c>
      <c r="C196" s="10">
        <v>45755.0</v>
      </c>
      <c r="D196" s="7" t="s">
        <v>45</v>
      </c>
      <c r="E196" s="7" t="s">
        <v>26</v>
      </c>
      <c r="F196" s="7">
        <v>1.0</v>
      </c>
      <c r="G196" s="7" t="s">
        <v>46</v>
      </c>
      <c r="H196" s="7">
        <v>2.0</v>
      </c>
      <c r="I196" s="7">
        <v>15.0</v>
      </c>
      <c r="J196" s="7">
        <v>7.5</v>
      </c>
      <c r="K196" s="7" t="s">
        <v>42</v>
      </c>
      <c r="L196" s="9" t="str">
        <f>VLOOKUP(K196, 'Alphabetical by species code'!A:B, 2, FALSE)</f>
        <v>Centaurea melitensis</v>
      </c>
      <c r="M196" s="9" t="str">
        <f>VLOOKUP(L196, 'Alphabetical by species code'!B:C, 2, FALSE)</f>
        <v>Non-Native</v>
      </c>
    </row>
    <row r="197">
      <c r="A197" s="7">
        <v>2.0</v>
      </c>
      <c r="B197" s="7">
        <v>2025.0</v>
      </c>
      <c r="C197" s="10">
        <v>45755.0</v>
      </c>
      <c r="D197" s="7" t="s">
        <v>45</v>
      </c>
      <c r="E197" s="7" t="s">
        <v>26</v>
      </c>
      <c r="F197" s="7">
        <v>1.0</v>
      </c>
      <c r="G197" s="7" t="s">
        <v>46</v>
      </c>
      <c r="H197" s="7">
        <v>2.0</v>
      </c>
      <c r="I197" s="7">
        <v>15.0</v>
      </c>
      <c r="J197" s="7">
        <v>7.5</v>
      </c>
      <c r="K197" s="7" t="s">
        <v>35</v>
      </c>
      <c r="L197" s="9" t="str">
        <f>VLOOKUP(K197, 'Alphabetical by species code'!A:B, 2, FALSE)</f>
        <v>Deinandra fasciculata</v>
      </c>
      <c r="M197" s="9" t="str">
        <f>VLOOKUP(L197, 'Alphabetical by species code'!B:C, 2, FALSE)</f>
        <v>Native</v>
      </c>
    </row>
    <row r="198">
      <c r="A198" s="7">
        <v>2.0</v>
      </c>
      <c r="B198" s="7">
        <v>2025.0</v>
      </c>
      <c r="C198" s="10">
        <v>45755.0</v>
      </c>
      <c r="D198" s="7" t="s">
        <v>45</v>
      </c>
      <c r="E198" s="7" t="s">
        <v>26</v>
      </c>
      <c r="F198" s="7">
        <v>1.0</v>
      </c>
      <c r="G198" s="7" t="s">
        <v>46</v>
      </c>
      <c r="H198" s="7">
        <v>2.0</v>
      </c>
      <c r="I198" s="7">
        <v>15.0</v>
      </c>
      <c r="J198" s="7">
        <v>7.5</v>
      </c>
      <c r="K198" s="7" t="s">
        <v>53</v>
      </c>
      <c r="L198" s="9" t="str">
        <f>VLOOKUP(K198, 'Alphabetical by species code'!A:B, 2, FALSE)</f>
        <v>Erodium botrys</v>
      </c>
      <c r="M198" s="9" t="str">
        <f>VLOOKUP(L198, 'Alphabetical by species code'!B:C, 2, FALSE)</f>
        <v>Non-Native</v>
      </c>
    </row>
    <row r="199">
      <c r="A199" s="7">
        <v>3.0</v>
      </c>
      <c r="B199" s="7">
        <v>2025.0</v>
      </c>
      <c r="C199" s="10">
        <v>45755.0</v>
      </c>
      <c r="D199" s="7" t="s">
        <v>54</v>
      </c>
      <c r="E199" s="7" t="s">
        <v>26</v>
      </c>
      <c r="F199" s="7">
        <v>3.0</v>
      </c>
      <c r="G199" s="7" t="s">
        <v>46</v>
      </c>
      <c r="H199" s="7">
        <v>1.0</v>
      </c>
      <c r="I199" s="7">
        <v>1.0</v>
      </c>
      <c r="J199" s="7">
        <v>0.0</v>
      </c>
      <c r="K199" s="7" t="s">
        <v>51</v>
      </c>
      <c r="L199" s="9" t="str">
        <f>VLOOKUP(K199, 'Alphabetical by species code'!A:B, 2, FALSE)</f>
        <v>Bareground</v>
      </c>
      <c r="M199" s="9" t="str">
        <f>VLOOKUP(L199, 'Alphabetical by species code'!B:C, 2, FALSE)</f>
        <v>Ground Cover</v>
      </c>
    </row>
    <row r="200">
      <c r="A200" s="7">
        <v>3.0</v>
      </c>
      <c r="B200" s="7">
        <v>2025.0</v>
      </c>
      <c r="C200" s="10">
        <v>45755.0</v>
      </c>
      <c r="D200" s="7" t="s">
        <v>54</v>
      </c>
      <c r="E200" s="7" t="s">
        <v>26</v>
      </c>
      <c r="F200" s="7">
        <v>3.0</v>
      </c>
      <c r="G200" s="7" t="s">
        <v>46</v>
      </c>
      <c r="H200" s="7">
        <v>1.0</v>
      </c>
      <c r="I200" s="7">
        <v>1.0</v>
      </c>
      <c r="J200" s="7">
        <v>0.0</v>
      </c>
      <c r="K200" s="7" t="s">
        <v>32</v>
      </c>
      <c r="L200" s="9" t="str">
        <f>VLOOKUP(K200, 'Alphabetical by species code'!A:B, 2, FALSE)</f>
        <v>Medicago polymorpha</v>
      </c>
      <c r="M200" s="9" t="str">
        <f>VLOOKUP(L200, 'Alphabetical by species code'!B:C, 2, FALSE)</f>
        <v>Non-Native</v>
      </c>
    </row>
    <row r="201">
      <c r="A201" s="7">
        <v>3.0</v>
      </c>
      <c r="B201" s="7">
        <v>2025.0</v>
      </c>
      <c r="C201" s="10">
        <v>45755.0</v>
      </c>
      <c r="D201" s="7" t="s">
        <v>54</v>
      </c>
      <c r="E201" s="7" t="s">
        <v>26</v>
      </c>
      <c r="F201" s="7">
        <v>3.0</v>
      </c>
      <c r="G201" s="7" t="s">
        <v>46</v>
      </c>
      <c r="H201" s="7">
        <v>1.0</v>
      </c>
      <c r="I201" s="7">
        <v>1.0</v>
      </c>
      <c r="J201" s="7">
        <v>0.0</v>
      </c>
      <c r="K201" s="7" t="s">
        <v>42</v>
      </c>
      <c r="L201" s="9" t="str">
        <f>VLOOKUP(K201, 'Alphabetical by species code'!A:B, 2, FALSE)</f>
        <v>Centaurea melitensis</v>
      </c>
      <c r="M201" s="9" t="str">
        <f>VLOOKUP(L201, 'Alphabetical by species code'!B:C, 2, FALSE)</f>
        <v>Non-Native</v>
      </c>
    </row>
    <row r="202">
      <c r="A202" s="7">
        <v>3.0</v>
      </c>
      <c r="B202" s="7">
        <v>2025.0</v>
      </c>
      <c r="C202" s="10">
        <v>45755.0</v>
      </c>
      <c r="D202" s="7" t="s">
        <v>54</v>
      </c>
      <c r="E202" s="7" t="s">
        <v>26</v>
      </c>
      <c r="F202" s="7">
        <v>3.0</v>
      </c>
      <c r="G202" s="7" t="s">
        <v>46</v>
      </c>
      <c r="H202" s="7">
        <v>1.0</v>
      </c>
      <c r="I202" s="7">
        <v>2.0</v>
      </c>
      <c r="J202" s="7">
        <v>0.5</v>
      </c>
      <c r="K202" s="7" t="s">
        <v>28</v>
      </c>
      <c r="L202" s="9" t="str">
        <f>VLOOKUP(K202, 'Alphabetical by species code'!A:B, 2, FALSE)</f>
        <v>Litter</v>
      </c>
      <c r="M202" s="9" t="str">
        <f>VLOOKUP(L202, 'Alphabetical by species code'!B:C, 2, FALSE)</f>
        <v>Ground Cover</v>
      </c>
    </row>
    <row r="203">
      <c r="A203" s="7">
        <v>3.0</v>
      </c>
      <c r="B203" s="7">
        <v>2025.0</v>
      </c>
      <c r="C203" s="10">
        <v>45755.0</v>
      </c>
      <c r="D203" s="7" t="s">
        <v>54</v>
      </c>
      <c r="E203" s="7" t="s">
        <v>26</v>
      </c>
      <c r="F203" s="7">
        <v>3.0</v>
      </c>
      <c r="G203" s="7" t="s">
        <v>46</v>
      </c>
      <c r="H203" s="7">
        <v>1.0</v>
      </c>
      <c r="I203" s="7">
        <v>2.0</v>
      </c>
      <c r="J203" s="7">
        <v>0.5</v>
      </c>
      <c r="K203" s="7" t="s">
        <v>29</v>
      </c>
      <c r="L203" s="9" t="str">
        <f>VLOOKUP(K203, 'Alphabetical by species code'!A:B, 2, FALSE)</f>
        <v>Opuntia littoralis</v>
      </c>
      <c r="M203" s="9" t="str">
        <f>VLOOKUP(L203, 'Alphabetical by species code'!B:C, 2, FALSE)</f>
        <v>Native</v>
      </c>
    </row>
    <row r="204">
      <c r="A204" s="7">
        <v>3.0</v>
      </c>
      <c r="B204" s="7">
        <v>2025.0</v>
      </c>
      <c r="C204" s="10">
        <v>45755.0</v>
      </c>
      <c r="D204" s="7" t="s">
        <v>54</v>
      </c>
      <c r="E204" s="7" t="s">
        <v>26</v>
      </c>
      <c r="F204" s="7">
        <v>3.0</v>
      </c>
      <c r="G204" s="7" t="s">
        <v>46</v>
      </c>
      <c r="H204" s="7">
        <v>1.0</v>
      </c>
      <c r="I204" s="7">
        <v>2.0</v>
      </c>
      <c r="J204" s="7">
        <v>0.5</v>
      </c>
      <c r="K204" s="7" t="s">
        <v>31</v>
      </c>
      <c r="L204" s="9" t="str">
        <f>VLOOKUP(K204, 'Alphabetical by species code'!A:B, 2, FALSE)</f>
        <v>Festuca myuros</v>
      </c>
      <c r="M204" s="9" t="str">
        <f>VLOOKUP(L204, 'Alphabetical by species code'!B:C, 2, FALSE)</f>
        <v>Non-Native</v>
      </c>
    </row>
    <row r="205">
      <c r="A205" s="7">
        <v>3.0</v>
      </c>
      <c r="B205" s="7">
        <v>2025.0</v>
      </c>
      <c r="C205" s="10">
        <v>45755.0</v>
      </c>
      <c r="D205" s="7" t="s">
        <v>54</v>
      </c>
      <c r="E205" s="7" t="s">
        <v>26</v>
      </c>
      <c r="F205" s="7">
        <v>3.0</v>
      </c>
      <c r="G205" s="7" t="s">
        <v>46</v>
      </c>
      <c r="H205" s="7">
        <v>1.0</v>
      </c>
      <c r="I205" s="7">
        <v>2.0</v>
      </c>
      <c r="J205" s="7">
        <v>0.5</v>
      </c>
      <c r="K205" s="7" t="s">
        <v>32</v>
      </c>
      <c r="L205" s="9" t="str">
        <f>VLOOKUP(K205, 'Alphabetical by species code'!A:B, 2, FALSE)</f>
        <v>Medicago polymorpha</v>
      </c>
      <c r="M205" s="9" t="str">
        <f>VLOOKUP(L205, 'Alphabetical by species code'!B:C, 2, FALSE)</f>
        <v>Non-Native</v>
      </c>
    </row>
    <row r="206">
      <c r="A206" s="7">
        <v>3.0</v>
      </c>
      <c r="B206" s="7">
        <v>2025.0</v>
      </c>
      <c r="C206" s="10">
        <v>45755.0</v>
      </c>
      <c r="D206" s="7" t="s">
        <v>54</v>
      </c>
      <c r="E206" s="7" t="s">
        <v>26</v>
      </c>
      <c r="F206" s="7">
        <v>3.0</v>
      </c>
      <c r="G206" s="7" t="s">
        <v>46</v>
      </c>
      <c r="H206" s="7">
        <v>1.0</v>
      </c>
      <c r="I206" s="7">
        <v>3.0</v>
      </c>
      <c r="J206" s="7">
        <v>1.0</v>
      </c>
      <c r="K206" s="7" t="s">
        <v>51</v>
      </c>
      <c r="L206" s="9" t="str">
        <f>VLOOKUP(K206, 'Alphabetical by species code'!A:B, 2, FALSE)</f>
        <v>Bareground</v>
      </c>
      <c r="M206" s="9" t="str">
        <f>VLOOKUP(L206, 'Alphabetical by species code'!B:C, 2, FALSE)</f>
        <v>Ground Cover</v>
      </c>
    </row>
    <row r="207">
      <c r="A207" s="7">
        <v>3.0</v>
      </c>
      <c r="B207" s="7">
        <v>2025.0</v>
      </c>
      <c r="C207" s="10">
        <v>45755.0</v>
      </c>
      <c r="D207" s="7" t="s">
        <v>54</v>
      </c>
      <c r="E207" s="7" t="s">
        <v>26</v>
      </c>
      <c r="F207" s="7">
        <v>3.0</v>
      </c>
      <c r="G207" s="7" t="s">
        <v>46</v>
      </c>
      <c r="H207" s="7">
        <v>1.0</v>
      </c>
      <c r="I207" s="7">
        <v>3.0</v>
      </c>
      <c r="J207" s="7">
        <v>1.0</v>
      </c>
      <c r="K207" s="7" t="s">
        <v>31</v>
      </c>
      <c r="L207" s="9" t="str">
        <f>VLOOKUP(K207, 'Alphabetical by species code'!A:B, 2, FALSE)</f>
        <v>Festuca myuros</v>
      </c>
      <c r="M207" s="9" t="str">
        <f>VLOOKUP(L207, 'Alphabetical by species code'!B:C, 2, FALSE)</f>
        <v>Non-Native</v>
      </c>
    </row>
    <row r="208">
      <c r="A208" s="7">
        <v>3.0</v>
      </c>
      <c r="B208" s="7">
        <v>2025.0</v>
      </c>
      <c r="C208" s="10">
        <v>45755.0</v>
      </c>
      <c r="D208" s="7" t="s">
        <v>54</v>
      </c>
      <c r="E208" s="7" t="s">
        <v>26</v>
      </c>
      <c r="F208" s="7">
        <v>3.0</v>
      </c>
      <c r="G208" s="7" t="s">
        <v>46</v>
      </c>
      <c r="H208" s="7">
        <v>1.0</v>
      </c>
      <c r="I208" s="7">
        <v>3.0</v>
      </c>
      <c r="J208" s="7">
        <v>1.0</v>
      </c>
      <c r="K208" s="7" t="s">
        <v>55</v>
      </c>
      <c r="L208" s="9" t="str">
        <f>VLOOKUP(K208, 'Alphabetical by species code'!A:B, 2, FALSE)</f>
        <v>Daucus pusillus</v>
      </c>
      <c r="M208" s="9" t="str">
        <f>VLOOKUP(L208, 'Alphabetical by species code'!B:C, 2, FALSE)</f>
        <v>Native</v>
      </c>
    </row>
    <row r="209">
      <c r="A209" s="7">
        <v>3.0</v>
      </c>
      <c r="B209" s="7">
        <v>2025.0</v>
      </c>
      <c r="C209" s="10">
        <v>45755.0</v>
      </c>
      <c r="D209" s="7" t="s">
        <v>54</v>
      </c>
      <c r="E209" s="7" t="s">
        <v>26</v>
      </c>
      <c r="F209" s="7">
        <v>3.0</v>
      </c>
      <c r="G209" s="7" t="s">
        <v>46</v>
      </c>
      <c r="H209" s="7">
        <v>1.0</v>
      </c>
      <c r="I209" s="7">
        <v>3.0</v>
      </c>
      <c r="J209" s="7">
        <v>1.0</v>
      </c>
      <c r="K209" s="7" t="s">
        <v>35</v>
      </c>
      <c r="L209" s="9" t="str">
        <f>VLOOKUP(K209, 'Alphabetical by species code'!A:B, 2, FALSE)</f>
        <v>Deinandra fasciculata</v>
      </c>
      <c r="M209" s="9" t="str">
        <f>VLOOKUP(L209, 'Alphabetical by species code'!B:C, 2, FALSE)</f>
        <v>Native</v>
      </c>
    </row>
    <row r="210">
      <c r="A210" s="7">
        <v>3.0</v>
      </c>
      <c r="B210" s="7">
        <v>2025.0</v>
      </c>
      <c r="C210" s="10">
        <v>45755.0</v>
      </c>
      <c r="D210" s="7" t="s">
        <v>54</v>
      </c>
      <c r="E210" s="7" t="s">
        <v>26</v>
      </c>
      <c r="F210" s="7">
        <v>3.0</v>
      </c>
      <c r="G210" s="7" t="s">
        <v>46</v>
      </c>
      <c r="H210" s="7">
        <v>1.0</v>
      </c>
      <c r="I210" s="7">
        <v>3.0</v>
      </c>
      <c r="J210" s="7">
        <v>1.0</v>
      </c>
      <c r="K210" s="7" t="s">
        <v>56</v>
      </c>
      <c r="L210" s="9" t="str">
        <f>VLOOKUP(K210, 'Alphabetical by species code'!A:B, 2, FALSE)</f>
        <v>Grindelia camporum</v>
      </c>
      <c r="M210" s="9" t="str">
        <f>VLOOKUP(L210, 'Alphabetical by species code'!B:C, 2, FALSE)</f>
        <v>Native</v>
      </c>
    </row>
    <row r="211">
      <c r="A211" s="7">
        <v>3.0</v>
      </c>
      <c r="B211" s="7">
        <v>2025.0</v>
      </c>
      <c r="C211" s="10">
        <v>45755.0</v>
      </c>
      <c r="D211" s="7" t="s">
        <v>54</v>
      </c>
      <c r="E211" s="7" t="s">
        <v>26</v>
      </c>
      <c r="F211" s="7">
        <v>3.0</v>
      </c>
      <c r="G211" s="7" t="s">
        <v>46</v>
      </c>
      <c r="H211" s="7">
        <v>1.0</v>
      </c>
      <c r="I211" s="7">
        <v>4.0</v>
      </c>
      <c r="J211" s="7">
        <v>1.5</v>
      </c>
      <c r="K211" s="7" t="s">
        <v>28</v>
      </c>
      <c r="L211" s="9" t="str">
        <f>VLOOKUP(K211, 'Alphabetical by species code'!A:B, 2, FALSE)</f>
        <v>Litter</v>
      </c>
      <c r="M211" s="9" t="str">
        <f>VLOOKUP(L211, 'Alphabetical by species code'!B:C, 2, FALSE)</f>
        <v>Ground Cover</v>
      </c>
    </row>
    <row r="212">
      <c r="A212" s="7">
        <v>3.0</v>
      </c>
      <c r="B212" s="7">
        <v>2025.0</v>
      </c>
      <c r="C212" s="10">
        <v>45755.0</v>
      </c>
      <c r="D212" s="7" t="s">
        <v>54</v>
      </c>
      <c r="E212" s="7" t="s">
        <v>26</v>
      </c>
      <c r="F212" s="7">
        <v>3.0</v>
      </c>
      <c r="G212" s="7" t="s">
        <v>46</v>
      </c>
      <c r="H212" s="7">
        <v>1.0</v>
      </c>
      <c r="I212" s="7">
        <v>4.0</v>
      </c>
      <c r="J212" s="7">
        <v>1.5</v>
      </c>
      <c r="K212" s="7" t="s">
        <v>34</v>
      </c>
      <c r="L212" s="9" t="str">
        <f>VLOOKUP(K212, 'Alphabetical by species code'!A:B, 2, FALSE)</f>
        <v>Erodium cicutarium</v>
      </c>
      <c r="M212" s="9" t="str">
        <f>VLOOKUP(L212, 'Alphabetical by species code'!B:C, 2, FALSE)</f>
        <v>Non-Native</v>
      </c>
    </row>
    <row r="213">
      <c r="A213" s="7">
        <v>3.0</v>
      </c>
      <c r="B213" s="7">
        <v>2025.0</v>
      </c>
      <c r="C213" s="10">
        <v>45755.0</v>
      </c>
      <c r="D213" s="7" t="s">
        <v>54</v>
      </c>
      <c r="E213" s="7" t="s">
        <v>26</v>
      </c>
      <c r="F213" s="7">
        <v>3.0</v>
      </c>
      <c r="G213" s="7" t="s">
        <v>46</v>
      </c>
      <c r="H213" s="7">
        <v>1.0</v>
      </c>
      <c r="I213" s="7">
        <v>4.0</v>
      </c>
      <c r="J213" s="7">
        <v>1.5</v>
      </c>
      <c r="K213" s="7" t="s">
        <v>31</v>
      </c>
      <c r="L213" s="9" t="str">
        <f>VLOOKUP(K213, 'Alphabetical by species code'!A:B, 2, FALSE)</f>
        <v>Festuca myuros</v>
      </c>
      <c r="M213" s="9" t="str">
        <f>VLOOKUP(L213, 'Alphabetical by species code'!B:C, 2, FALSE)</f>
        <v>Non-Native</v>
      </c>
    </row>
    <row r="214">
      <c r="A214" s="7">
        <v>3.0</v>
      </c>
      <c r="B214" s="7">
        <v>2025.0</v>
      </c>
      <c r="C214" s="10">
        <v>45755.0</v>
      </c>
      <c r="D214" s="7" t="s">
        <v>54</v>
      </c>
      <c r="E214" s="7" t="s">
        <v>26</v>
      </c>
      <c r="F214" s="7">
        <v>3.0</v>
      </c>
      <c r="G214" s="7" t="s">
        <v>46</v>
      </c>
      <c r="H214" s="7">
        <v>1.0</v>
      </c>
      <c r="I214" s="7">
        <v>5.0</v>
      </c>
      <c r="J214" s="7">
        <v>2.0</v>
      </c>
      <c r="K214" s="7" t="s">
        <v>28</v>
      </c>
      <c r="L214" s="9" t="str">
        <f>VLOOKUP(K214, 'Alphabetical by species code'!A:B, 2, FALSE)</f>
        <v>Litter</v>
      </c>
      <c r="M214" s="9" t="str">
        <f>VLOOKUP(L214, 'Alphabetical by species code'!B:C, 2, FALSE)</f>
        <v>Ground Cover</v>
      </c>
    </row>
    <row r="215">
      <c r="A215" s="7">
        <v>3.0</v>
      </c>
      <c r="B215" s="7">
        <v>2025.0</v>
      </c>
      <c r="C215" s="10">
        <v>45755.0</v>
      </c>
      <c r="D215" s="7" t="s">
        <v>54</v>
      </c>
      <c r="E215" s="7" t="s">
        <v>26</v>
      </c>
      <c r="F215" s="7">
        <v>3.0</v>
      </c>
      <c r="G215" s="7" t="s">
        <v>46</v>
      </c>
      <c r="H215" s="7">
        <v>1.0</v>
      </c>
      <c r="I215" s="7">
        <v>5.0</v>
      </c>
      <c r="J215" s="7">
        <v>2.0</v>
      </c>
      <c r="K215" s="7" t="s">
        <v>37</v>
      </c>
      <c r="L215" s="9" t="str">
        <f>VLOOKUP(K215, 'Alphabetical by species code'!A:B, 2, FALSE)</f>
        <v>Sonchus oleraceus</v>
      </c>
      <c r="M215" s="9" t="str">
        <f>VLOOKUP(L215, 'Alphabetical by species code'!B:C, 2, FALSE)</f>
        <v>Non-Native</v>
      </c>
    </row>
    <row r="216">
      <c r="A216" s="7">
        <v>3.0</v>
      </c>
      <c r="B216" s="7">
        <v>2025.0</v>
      </c>
      <c r="C216" s="10">
        <v>45755.0</v>
      </c>
      <c r="D216" s="7" t="s">
        <v>54</v>
      </c>
      <c r="E216" s="7" t="s">
        <v>26</v>
      </c>
      <c r="F216" s="7">
        <v>3.0</v>
      </c>
      <c r="G216" s="7" t="s">
        <v>46</v>
      </c>
      <c r="H216" s="7">
        <v>1.0</v>
      </c>
      <c r="I216" s="7">
        <v>5.0</v>
      </c>
      <c r="J216" s="7">
        <v>2.0</v>
      </c>
      <c r="K216" s="7" t="s">
        <v>32</v>
      </c>
      <c r="L216" s="9" t="str">
        <f>VLOOKUP(K216, 'Alphabetical by species code'!A:B, 2, FALSE)</f>
        <v>Medicago polymorpha</v>
      </c>
      <c r="M216" s="9" t="str">
        <f>VLOOKUP(L216, 'Alphabetical by species code'!B:C, 2, FALSE)</f>
        <v>Non-Native</v>
      </c>
    </row>
    <row r="217">
      <c r="A217" s="7">
        <v>3.0</v>
      </c>
      <c r="B217" s="7">
        <v>2025.0</v>
      </c>
      <c r="C217" s="10">
        <v>45755.0</v>
      </c>
      <c r="D217" s="7" t="s">
        <v>54</v>
      </c>
      <c r="E217" s="7" t="s">
        <v>26</v>
      </c>
      <c r="F217" s="7">
        <v>3.0</v>
      </c>
      <c r="G217" s="7" t="s">
        <v>46</v>
      </c>
      <c r="H217" s="7">
        <v>1.0</v>
      </c>
      <c r="I217" s="7">
        <v>5.0</v>
      </c>
      <c r="J217" s="7">
        <v>2.0</v>
      </c>
      <c r="K217" s="7" t="s">
        <v>55</v>
      </c>
      <c r="L217" s="9" t="str">
        <f>VLOOKUP(K217, 'Alphabetical by species code'!A:B, 2, FALSE)</f>
        <v>Daucus pusillus</v>
      </c>
      <c r="M217" s="9" t="str">
        <f>VLOOKUP(L217, 'Alphabetical by species code'!B:C, 2, FALSE)</f>
        <v>Native</v>
      </c>
    </row>
    <row r="218">
      <c r="A218" s="7">
        <v>3.0</v>
      </c>
      <c r="B218" s="7">
        <v>2025.0</v>
      </c>
      <c r="C218" s="10">
        <v>45755.0</v>
      </c>
      <c r="D218" s="7" t="s">
        <v>54</v>
      </c>
      <c r="E218" s="7" t="s">
        <v>26</v>
      </c>
      <c r="F218" s="7">
        <v>3.0</v>
      </c>
      <c r="G218" s="7" t="s">
        <v>46</v>
      </c>
      <c r="H218" s="7">
        <v>1.0</v>
      </c>
      <c r="I218" s="7">
        <v>6.0</v>
      </c>
      <c r="J218" s="7">
        <v>2.5</v>
      </c>
      <c r="K218" s="7" t="s">
        <v>51</v>
      </c>
      <c r="L218" s="9" t="str">
        <f>VLOOKUP(K218, 'Alphabetical by species code'!A:B, 2, FALSE)</f>
        <v>Bareground</v>
      </c>
      <c r="M218" s="9" t="str">
        <f>VLOOKUP(L218, 'Alphabetical by species code'!B:C, 2, FALSE)</f>
        <v>Ground Cover</v>
      </c>
    </row>
    <row r="219">
      <c r="A219" s="7">
        <v>3.0</v>
      </c>
      <c r="B219" s="7">
        <v>2025.0</v>
      </c>
      <c r="C219" s="10">
        <v>45755.0</v>
      </c>
      <c r="D219" s="7" t="s">
        <v>54</v>
      </c>
      <c r="E219" s="7" t="s">
        <v>26</v>
      </c>
      <c r="F219" s="7">
        <v>3.0</v>
      </c>
      <c r="G219" s="7" t="s">
        <v>46</v>
      </c>
      <c r="H219" s="7">
        <v>1.0</v>
      </c>
      <c r="I219" s="7">
        <v>6.0</v>
      </c>
      <c r="J219" s="7">
        <v>2.5</v>
      </c>
      <c r="K219" s="7" t="s">
        <v>29</v>
      </c>
      <c r="L219" s="9" t="str">
        <f>VLOOKUP(K219, 'Alphabetical by species code'!A:B, 2, FALSE)</f>
        <v>Opuntia littoralis</v>
      </c>
      <c r="M219" s="9" t="str">
        <f>VLOOKUP(L219, 'Alphabetical by species code'!B:C, 2, FALSE)</f>
        <v>Native</v>
      </c>
    </row>
    <row r="220">
      <c r="A220" s="7">
        <v>3.0</v>
      </c>
      <c r="B220" s="7">
        <v>2025.0</v>
      </c>
      <c r="C220" s="10">
        <v>45755.0</v>
      </c>
      <c r="D220" s="7" t="s">
        <v>54</v>
      </c>
      <c r="E220" s="7" t="s">
        <v>26</v>
      </c>
      <c r="F220" s="7">
        <v>3.0</v>
      </c>
      <c r="G220" s="7" t="s">
        <v>46</v>
      </c>
      <c r="H220" s="7">
        <v>1.0</v>
      </c>
      <c r="I220" s="7">
        <v>6.0</v>
      </c>
      <c r="J220" s="7">
        <v>2.5</v>
      </c>
      <c r="K220" s="7" t="s">
        <v>55</v>
      </c>
      <c r="L220" s="9" t="str">
        <f>VLOOKUP(K220, 'Alphabetical by species code'!A:B, 2, FALSE)</f>
        <v>Daucus pusillus</v>
      </c>
      <c r="M220" s="9" t="str">
        <f>VLOOKUP(L220, 'Alphabetical by species code'!B:C, 2, FALSE)</f>
        <v>Native</v>
      </c>
    </row>
    <row r="221">
      <c r="A221" s="7">
        <v>3.0</v>
      </c>
      <c r="B221" s="7">
        <v>2025.0</v>
      </c>
      <c r="C221" s="10">
        <v>45755.0</v>
      </c>
      <c r="D221" s="7" t="s">
        <v>54</v>
      </c>
      <c r="E221" s="7" t="s">
        <v>26</v>
      </c>
      <c r="F221" s="7">
        <v>3.0</v>
      </c>
      <c r="G221" s="7" t="s">
        <v>46</v>
      </c>
      <c r="H221" s="7">
        <v>1.0</v>
      </c>
      <c r="I221" s="7">
        <v>6.0</v>
      </c>
      <c r="J221" s="7">
        <v>2.5</v>
      </c>
      <c r="K221" s="7" t="s">
        <v>31</v>
      </c>
      <c r="L221" s="9" t="str">
        <f>VLOOKUP(K221, 'Alphabetical by species code'!A:B, 2, FALSE)</f>
        <v>Festuca myuros</v>
      </c>
      <c r="M221" s="9" t="str">
        <f>VLOOKUP(L221, 'Alphabetical by species code'!B:C, 2, FALSE)</f>
        <v>Non-Native</v>
      </c>
    </row>
    <row r="222">
      <c r="A222" s="7">
        <v>3.0</v>
      </c>
      <c r="B222" s="7">
        <v>2025.0</v>
      </c>
      <c r="C222" s="10">
        <v>45755.0</v>
      </c>
      <c r="D222" s="7" t="s">
        <v>54</v>
      </c>
      <c r="E222" s="7" t="s">
        <v>26</v>
      </c>
      <c r="F222" s="7">
        <v>3.0</v>
      </c>
      <c r="G222" s="7" t="s">
        <v>46</v>
      </c>
      <c r="H222" s="7">
        <v>1.0</v>
      </c>
      <c r="I222" s="7">
        <v>6.0</v>
      </c>
      <c r="J222" s="7">
        <v>2.5</v>
      </c>
      <c r="K222" s="7" t="s">
        <v>37</v>
      </c>
      <c r="L222" s="9" t="str">
        <f>VLOOKUP(K222, 'Alphabetical by species code'!A:B, 2, FALSE)</f>
        <v>Sonchus oleraceus</v>
      </c>
      <c r="M222" s="9" t="str">
        <f>VLOOKUP(L222, 'Alphabetical by species code'!B:C, 2, FALSE)</f>
        <v>Non-Native</v>
      </c>
    </row>
    <row r="223">
      <c r="A223" s="7">
        <v>3.0</v>
      </c>
      <c r="B223" s="7">
        <v>2025.0</v>
      </c>
      <c r="C223" s="10">
        <v>45755.0</v>
      </c>
      <c r="D223" s="7" t="s">
        <v>54</v>
      </c>
      <c r="E223" s="7" t="s">
        <v>26</v>
      </c>
      <c r="F223" s="7">
        <v>3.0</v>
      </c>
      <c r="G223" s="7" t="s">
        <v>46</v>
      </c>
      <c r="H223" s="7">
        <v>1.0</v>
      </c>
      <c r="I223" s="7">
        <v>7.0</v>
      </c>
      <c r="J223" s="7">
        <v>3.0</v>
      </c>
      <c r="K223" s="7" t="s">
        <v>51</v>
      </c>
      <c r="L223" s="9" t="str">
        <f>VLOOKUP(K223, 'Alphabetical by species code'!A:B, 2, FALSE)</f>
        <v>Bareground</v>
      </c>
      <c r="M223" s="9" t="str">
        <f>VLOOKUP(L223, 'Alphabetical by species code'!B:C, 2, FALSE)</f>
        <v>Ground Cover</v>
      </c>
    </row>
    <row r="224">
      <c r="A224" s="7">
        <v>3.0</v>
      </c>
      <c r="B224" s="7">
        <v>2025.0</v>
      </c>
      <c r="C224" s="10">
        <v>45755.0</v>
      </c>
      <c r="D224" s="7" t="s">
        <v>54</v>
      </c>
      <c r="E224" s="7" t="s">
        <v>26</v>
      </c>
      <c r="F224" s="7">
        <v>3.0</v>
      </c>
      <c r="G224" s="7" t="s">
        <v>46</v>
      </c>
      <c r="H224" s="7">
        <v>1.0</v>
      </c>
      <c r="I224" s="7">
        <v>7.0</v>
      </c>
      <c r="J224" s="7">
        <v>3.0</v>
      </c>
      <c r="K224" s="7" t="s">
        <v>36</v>
      </c>
      <c r="L224" s="9" t="str">
        <f>VLOOKUP(K224, 'Alphabetical by species code'!A:B, 2, FALSE)</f>
        <v>Bromus madritensis</v>
      </c>
      <c r="M224" s="9" t="str">
        <f>VLOOKUP(L224, 'Alphabetical by species code'!B:C, 2, FALSE)</f>
        <v>Non-Native</v>
      </c>
    </row>
    <row r="225">
      <c r="A225" s="7">
        <v>3.0</v>
      </c>
      <c r="B225" s="7">
        <v>2025.0</v>
      </c>
      <c r="C225" s="10">
        <v>45755.0</v>
      </c>
      <c r="D225" s="7" t="s">
        <v>54</v>
      </c>
      <c r="E225" s="7" t="s">
        <v>26</v>
      </c>
      <c r="F225" s="7">
        <v>3.0</v>
      </c>
      <c r="G225" s="7" t="s">
        <v>46</v>
      </c>
      <c r="H225" s="7">
        <v>1.0</v>
      </c>
      <c r="I225" s="7">
        <v>7.0</v>
      </c>
      <c r="J225" s="7">
        <v>3.0</v>
      </c>
      <c r="K225" s="7" t="s">
        <v>55</v>
      </c>
      <c r="L225" s="9" t="str">
        <f>VLOOKUP(K225, 'Alphabetical by species code'!A:B, 2, FALSE)</f>
        <v>Daucus pusillus</v>
      </c>
      <c r="M225" s="9" t="str">
        <f>VLOOKUP(L225, 'Alphabetical by species code'!B:C, 2, FALSE)</f>
        <v>Native</v>
      </c>
    </row>
    <row r="226">
      <c r="A226" s="7">
        <v>3.0</v>
      </c>
      <c r="B226" s="7">
        <v>2025.0</v>
      </c>
      <c r="C226" s="10">
        <v>45755.0</v>
      </c>
      <c r="D226" s="7" t="s">
        <v>54</v>
      </c>
      <c r="E226" s="7" t="s">
        <v>26</v>
      </c>
      <c r="F226" s="7">
        <v>3.0</v>
      </c>
      <c r="G226" s="7" t="s">
        <v>46</v>
      </c>
      <c r="H226" s="7">
        <v>1.0</v>
      </c>
      <c r="I226" s="7">
        <v>7.0</v>
      </c>
      <c r="J226" s="7">
        <v>3.0</v>
      </c>
      <c r="K226" s="7" t="s">
        <v>31</v>
      </c>
      <c r="L226" s="9" t="str">
        <f>VLOOKUP(K226, 'Alphabetical by species code'!A:B, 2, FALSE)</f>
        <v>Festuca myuros</v>
      </c>
      <c r="M226" s="9" t="str">
        <f>VLOOKUP(L226, 'Alphabetical by species code'!B:C, 2, FALSE)</f>
        <v>Non-Native</v>
      </c>
    </row>
    <row r="227">
      <c r="A227" s="7">
        <v>3.0</v>
      </c>
      <c r="B227" s="7">
        <v>2025.0</v>
      </c>
      <c r="C227" s="10">
        <v>45755.0</v>
      </c>
      <c r="D227" s="7" t="s">
        <v>54</v>
      </c>
      <c r="E227" s="7" t="s">
        <v>26</v>
      </c>
      <c r="F227" s="7">
        <v>3.0</v>
      </c>
      <c r="G227" s="7" t="s">
        <v>46</v>
      </c>
      <c r="H227" s="7">
        <v>1.0</v>
      </c>
      <c r="I227" s="7">
        <v>7.0</v>
      </c>
      <c r="J227" s="7">
        <v>3.0</v>
      </c>
      <c r="K227" s="7" t="s">
        <v>35</v>
      </c>
      <c r="L227" s="9" t="str">
        <f>VLOOKUP(K227, 'Alphabetical by species code'!A:B, 2, FALSE)</f>
        <v>Deinandra fasciculata</v>
      </c>
      <c r="M227" s="9" t="str">
        <f>VLOOKUP(L227, 'Alphabetical by species code'!B:C, 2, FALSE)</f>
        <v>Native</v>
      </c>
    </row>
    <row r="228">
      <c r="A228" s="7">
        <v>3.0</v>
      </c>
      <c r="B228" s="7">
        <v>2025.0</v>
      </c>
      <c r="C228" s="10">
        <v>45755.0</v>
      </c>
      <c r="D228" s="7" t="s">
        <v>54</v>
      </c>
      <c r="E228" s="7" t="s">
        <v>26</v>
      </c>
      <c r="F228" s="7">
        <v>3.0</v>
      </c>
      <c r="G228" s="7" t="s">
        <v>46</v>
      </c>
      <c r="H228" s="7">
        <v>1.0</v>
      </c>
      <c r="I228" s="7">
        <v>8.0</v>
      </c>
      <c r="J228" s="7">
        <v>3.5</v>
      </c>
      <c r="K228" s="7" t="s">
        <v>51</v>
      </c>
      <c r="L228" s="9" t="str">
        <f>VLOOKUP(K228, 'Alphabetical by species code'!A:B, 2, FALSE)</f>
        <v>Bareground</v>
      </c>
      <c r="M228" s="9" t="str">
        <f>VLOOKUP(L228, 'Alphabetical by species code'!B:C, 2, FALSE)</f>
        <v>Ground Cover</v>
      </c>
    </row>
    <row r="229">
      <c r="A229" s="7">
        <v>3.0</v>
      </c>
      <c r="B229" s="7">
        <v>2025.0</v>
      </c>
      <c r="C229" s="10">
        <v>45755.0</v>
      </c>
      <c r="D229" s="7" t="s">
        <v>54</v>
      </c>
      <c r="E229" s="7" t="s">
        <v>26</v>
      </c>
      <c r="F229" s="7">
        <v>3.0</v>
      </c>
      <c r="G229" s="7" t="s">
        <v>46</v>
      </c>
      <c r="H229" s="7">
        <v>1.0</v>
      </c>
      <c r="I229" s="7">
        <v>8.0</v>
      </c>
      <c r="J229" s="7">
        <v>3.5</v>
      </c>
      <c r="K229" s="7" t="s">
        <v>55</v>
      </c>
      <c r="L229" s="9" t="str">
        <f>VLOOKUP(K229, 'Alphabetical by species code'!A:B, 2, FALSE)</f>
        <v>Daucus pusillus</v>
      </c>
      <c r="M229" s="9" t="str">
        <f>VLOOKUP(L229, 'Alphabetical by species code'!B:C, 2, FALSE)</f>
        <v>Native</v>
      </c>
    </row>
    <row r="230">
      <c r="A230" s="7">
        <v>3.0</v>
      </c>
      <c r="B230" s="7">
        <v>2025.0</v>
      </c>
      <c r="C230" s="10">
        <v>45755.0</v>
      </c>
      <c r="D230" s="7" t="s">
        <v>54</v>
      </c>
      <c r="E230" s="7" t="s">
        <v>26</v>
      </c>
      <c r="F230" s="7">
        <v>3.0</v>
      </c>
      <c r="G230" s="7" t="s">
        <v>46</v>
      </c>
      <c r="H230" s="7">
        <v>1.0</v>
      </c>
      <c r="I230" s="7">
        <v>8.0</v>
      </c>
      <c r="J230" s="7">
        <v>3.5</v>
      </c>
      <c r="K230" s="7" t="s">
        <v>31</v>
      </c>
      <c r="L230" s="9" t="str">
        <f>VLOOKUP(K230, 'Alphabetical by species code'!A:B, 2, FALSE)</f>
        <v>Festuca myuros</v>
      </c>
      <c r="M230" s="9" t="str">
        <f>VLOOKUP(L230, 'Alphabetical by species code'!B:C, 2, FALSE)</f>
        <v>Non-Native</v>
      </c>
    </row>
    <row r="231">
      <c r="A231" s="7">
        <v>3.0</v>
      </c>
      <c r="B231" s="7">
        <v>2025.0</v>
      </c>
      <c r="C231" s="10">
        <v>45755.0</v>
      </c>
      <c r="D231" s="7" t="s">
        <v>54</v>
      </c>
      <c r="E231" s="7" t="s">
        <v>26</v>
      </c>
      <c r="F231" s="7">
        <v>3.0</v>
      </c>
      <c r="G231" s="7" t="s">
        <v>46</v>
      </c>
      <c r="H231" s="7">
        <v>1.0</v>
      </c>
      <c r="I231" s="7">
        <v>9.0</v>
      </c>
      <c r="J231" s="7">
        <v>4.0</v>
      </c>
      <c r="K231" s="7" t="s">
        <v>51</v>
      </c>
      <c r="L231" s="9" t="str">
        <f>VLOOKUP(K231, 'Alphabetical by species code'!A:B, 2, FALSE)</f>
        <v>Bareground</v>
      </c>
      <c r="M231" s="9" t="str">
        <f>VLOOKUP(L231, 'Alphabetical by species code'!B:C, 2, FALSE)</f>
        <v>Ground Cover</v>
      </c>
    </row>
    <row r="232">
      <c r="A232" s="7">
        <v>3.0</v>
      </c>
      <c r="B232" s="7">
        <v>2025.0</v>
      </c>
      <c r="C232" s="10">
        <v>45755.0</v>
      </c>
      <c r="D232" s="7" t="s">
        <v>54</v>
      </c>
      <c r="E232" s="7" t="s">
        <v>26</v>
      </c>
      <c r="F232" s="7">
        <v>3.0</v>
      </c>
      <c r="G232" s="7" t="s">
        <v>46</v>
      </c>
      <c r="H232" s="7">
        <v>1.0</v>
      </c>
      <c r="I232" s="7">
        <v>9.0</v>
      </c>
      <c r="J232" s="7">
        <v>4.0</v>
      </c>
      <c r="K232" s="7" t="s">
        <v>32</v>
      </c>
      <c r="L232" s="9" t="str">
        <f>VLOOKUP(K232, 'Alphabetical by species code'!A:B, 2, FALSE)</f>
        <v>Medicago polymorpha</v>
      </c>
      <c r="M232" s="9" t="str">
        <f>VLOOKUP(L232, 'Alphabetical by species code'!B:C, 2, FALSE)</f>
        <v>Non-Native</v>
      </c>
    </row>
    <row r="233">
      <c r="A233" s="7">
        <v>3.0</v>
      </c>
      <c r="B233" s="7">
        <v>2025.0</v>
      </c>
      <c r="C233" s="10">
        <v>45755.0</v>
      </c>
      <c r="D233" s="7" t="s">
        <v>54</v>
      </c>
      <c r="E233" s="7" t="s">
        <v>26</v>
      </c>
      <c r="F233" s="7">
        <v>3.0</v>
      </c>
      <c r="G233" s="7" t="s">
        <v>46</v>
      </c>
      <c r="H233" s="7">
        <v>1.0</v>
      </c>
      <c r="I233" s="7">
        <v>9.0</v>
      </c>
      <c r="J233" s="7">
        <v>4.0</v>
      </c>
      <c r="K233" s="7" t="s">
        <v>31</v>
      </c>
      <c r="L233" s="9" t="str">
        <f>VLOOKUP(K233, 'Alphabetical by species code'!A:B, 2, FALSE)</f>
        <v>Festuca myuros</v>
      </c>
      <c r="M233" s="9" t="str">
        <f>VLOOKUP(L233, 'Alphabetical by species code'!B:C, 2, FALSE)</f>
        <v>Non-Native</v>
      </c>
    </row>
    <row r="234">
      <c r="A234" s="7">
        <v>3.0</v>
      </c>
      <c r="B234" s="7">
        <v>2025.0</v>
      </c>
      <c r="C234" s="10">
        <v>45755.0</v>
      </c>
      <c r="D234" s="7" t="s">
        <v>54</v>
      </c>
      <c r="E234" s="7" t="s">
        <v>26</v>
      </c>
      <c r="F234" s="7">
        <v>3.0</v>
      </c>
      <c r="G234" s="7" t="s">
        <v>46</v>
      </c>
      <c r="H234" s="7">
        <v>1.0</v>
      </c>
      <c r="I234" s="7">
        <v>10.0</v>
      </c>
      <c r="J234" s="7">
        <v>4.5</v>
      </c>
      <c r="K234" s="7" t="s">
        <v>28</v>
      </c>
      <c r="L234" s="9" t="str">
        <f>VLOOKUP(K234, 'Alphabetical by species code'!A:B, 2, FALSE)</f>
        <v>Litter</v>
      </c>
      <c r="M234" s="9" t="str">
        <f>VLOOKUP(L234, 'Alphabetical by species code'!B:C, 2, FALSE)</f>
        <v>Ground Cover</v>
      </c>
    </row>
    <row r="235">
      <c r="A235" s="7">
        <v>3.0</v>
      </c>
      <c r="B235" s="7">
        <v>2025.0</v>
      </c>
      <c r="C235" s="10">
        <v>45755.0</v>
      </c>
      <c r="D235" s="7" t="s">
        <v>54</v>
      </c>
      <c r="E235" s="7" t="s">
        <v>26</v>
      </c>
      <c r="F235" s="7">
        <v>3.0</v>
      </c>
      <c r="G235" s="7" t="s">
        <v>46</v>
      </c>
      <c r="H235" s="7">
        <v>1.0</v>
      </c>
      <c r="I235" s="7">
        <v>10.0</v>
      </c>
      <c r="J235" s="7">
        <v>4.5</v>
      </c>
      <c r="K235" s="7" t="s">
        <v>55</v>
      </c>
      <c r="L235" s="9" t="str">
        <f>VLOOKUP(K235, 'Alphabetical by species code'!A:B, 2, FALSE)</f>
        <v>Daucus pusillus</v>
      </c>
      <c r="M235" s="9" t="str">
        <f>VLOOKUP(L235, 'Alphabetical by species code'!B:C, 2, FALSE)</f>
        <v>Native</v>
      </c>
    </row>
    <row r="236">
      <c r="A236" s="7">
        <v>3.0</v>
      </c>
      <c r="B236" s="7">
        <v>2025.0</v>
      </c>
      <c r="C236" s="10">
        <v>45755.0</v>
      </c>
      <c r="D236" s="7" t="s">
        <v>54</v>
      </c>
      <c r="E236" s="7" t="s">
        <v>26</v>
      </c>
      <c r="F236" s="7">
        <v>3.0</v>
      </c>
      <c r="G236" s="7" t="s">
        <v>46</v>
      </c>
      <c r="H236" s="7">
        <v>1.0</v>
      </c>
      <c r="I236" s="7">
        <v>10.0</v>
      </c>
      <c r="J236" s="7">
        <v>4.5</v>
      </c>
      <c r="K236" s="7" t="s">
        <v>48</v>
      </c>
      <c r="L236" s="9" t="str">
        <f>VLOOKUP(K236, 'Alphabetical by species code'!A:B, 2, FALSE)</f>
        <v>Sonchus asper</v>
      </c>
      <c r="M236" s="9" t="str">
        <f>VLOOKUP(L236, 'Alphabetical by species code'!B:C, 2, FALSE)</f>
        <v>Non-Native</v>
      </c>
    </row>
    <row r="237">
      <c r="A237" s="7">
        <v>3.0</v>
      </c>
      <c r="B237" s="7">
        <v>2025.0</v>
      </c>
      <c r="C237" s="10">
        <v>45755.0</v>
      </c>
      <c r="D237" s="7" t="s">
        <v>54</v>
      </c>
      <c r="E237" s="7" t="s">
        <v>26</v>
      </c>
      <c r="F237" s="7">
        <v>3.0</v>
      </c>
      <c r="G237" s="7" t="s">
        <v>46</v>
      </c>
      <c r="H237" s="7">
        <v>1.0</v>
      </c>
      <c r="I237" s="7">
        <v>11.0</v>
      </c>
      <c r="J237" s="7">
        <v>5.0</v>
      </c>
      <c r="K237" s="7" t="s">
        <v>28</v>
      </c>
      <c r="L237" s="9" t="str">
        <f>VLOOKUP(K237, 'Alphabetical by species code'!A:B, 2, FALSE)</f>
        <v>Litter</v>
      </c>
      <c r="M237" s="9" t="str">
        <f>VLOOKUP(L237, 'Alphabetical by species code'!B:C, 2, FALSE)</f>
        <v>Ground Cover</v>
      </c>
    </row>
    <row r="238">
      <c r="A238" s="7">
        <v>3.0</v>
      </c>
      <c r="B238" s="7">
        <v>2025.0</v>
      </c>
      <c r="C238" s="10">
        <v>45755.0</v>
      </c>
      <c r="D238" s="7" t="s">
        <v>54</v>
      </c>
      <c r="E238" s="7" t="s">
        <v>26</v>
      </c>
      <c r="F238" s="7">
        <v>3.0</v>
      </c>
      <c r="G238" s="7" t="s">
        <v>46</v>
      </c>
      <c r="H238" s="7">
        <v>1.0</v>
      </c>
      <c r="I238" s="7">
        <v>11.0</v>
      </c>
      <c r="J238" s="7">
        <v>5.0</v>
      </c>
      <c r="K238" s="7" t="s">
        <v>35</v>
      </c>
      <c r="L238" s="9" t="str">
        <f>VLOOKUP(K238, 'Alphabetical by species code'!A:B, 2, FALSE)</f>
        <v>Deinandra fasciculata</v>
      </c>
      <c r="M238" s="9" t="str">
        <f>VLOOKUP(L238, 'Alphabetical by species code'!B:C, 2, FALSE)</f>
        <v>Native</v>
      </c>
    </row>
    <row r="239">
      <c r="A239" s="7">
        <v>3.0</v>
      </c>
      <c r="B239" s="7">
        <v>2025.0</v>
      </c>
      <c r="C239" s="10">
        <v>45755.0</v>
      </c>
      <c r="D239" s="7" t="s">
        <v>54</v>
      </c>
      <c r="E239" s="7" t="s">
        <v>26</v>
      </c>
      <c r="F239" s="7">
        <v>3.0</v>
      </c>
      <c r="G239" s="7" t="s">
        <v>46</v>
      </c>
      <c r="H239" s="7">
        <v>1.0</v>
      </c>
      <c r="I239" s="7">
        <v>11.0</v>
      </c>
      <c r="J239" s="7">
        <v>5.0</v>
      </c>
      <c r="K239" s="7" t="s">
        <v>31</v>
      </c>
      <c r="L239" s="9" t="str">
        <f>VLOOKUP(K239, 'Alphabetical by species code'!A:B, 2, FALSE)</f>
        <v>Festuca myuros</v>
      </c>
      <c r="M239" s="9" t="str">
        <f>VLOOKUP(L239, 'Alphabetical by species code'!B:C, 2, FALSE)</f>
        <v>Non-Native</v>
      </c>
    </row>
    <row r="240">
      <c r="A240" s="7">
        <v>3.0</v>
      </c>
      <c r="B240" s="7">
        <v>2025.0</v>
      </c>
      <c r="C240" s="10">
        <v>45755.0</v>
      </c>
      <c r="D240" s="7" t="s">
        <v>54</v>
      </c>
      <c r="E240" s="7" t="s">
        <v>26</v>
      </c>
      <c r="F240" s="7">
        <v>3.0</v>
      </c>
      <c r="G240" s="7" t="s">
        <v>46</v>
      </c>
      <c r="H240" s="7">
        <v>1.0</v>
      </c>
      <c r="I240" s="7">
        <v>12.0</v>
      </c>
      <c r="J240" s="7">
        <v>5.5</v>
      </c>
      <c r="K240" s="7" t="s">
        <v>28</v>
      </c>
      <c r="L240" s="9" t="str">
        <f>VLOOKUP(K240, 'Alphabetical by species code'!A:B, 2, FALSE)</f>
        <v>Litter</v>
      </c>
      <c r="M240" s="9" t="str">
        <f>VLOOKUP(L240, 'Alphabetical by species code'!B:C, 2, FALSE)</f>
        <v>Ground Cover</v>
      </c>
    </row>
    <row r="241">
      <c r="A241" s="7">
        <v>3.0</v>
      </c>
      <c r="B241" s="7">
        <v>2025.0</v>
      </c>
      <c r="C241" s="10">
        <v>45755.0</v>
      </c>
      <c r="D241" s="7" t="s">
        <v>54</v>
      </c>
      <c r="E241" s="7" t="s">
        <v>26</v>
      </c>
      <c r="F241" s="7">
        <v>3.0</v>
      </c>
      <c r="G241" s="7" t="s">
        <v>46</v>
      </c>
      <c r="H241" s="7">
        <v>1.0</v>
      </c>
      <c r="I241" s="7">
        <v>12.0</v>
      </c>
      <c r="J241" s="7">
        <v>5.5</v>
      </c>
      <c r="K241" s="7" t="s">
        <v>31</v>
      </c>
      <c r="L241" s="9" t="str">
        <f>VLOOKUP(K241, 'Alphabetical by species code'!A:B, 2, FALSE)</f>
        <v>Festuca myuros</v>
      </c>
      <c r="M241" s="9" t="str">
        <f>VLOOKUP(L241, 'Alphabetical by species code'!B:C, 2, FALSE)</f>
        <v>Non-Native</v>
      </c>
    </row>
    <row r="242">
      <c r="A242" s="7">
        <v>3.0</v>
      </c>
      <c r="B242" s="7">
        <v>2025.0</v>
      </c>
      <c r="C242" s="10">
        <v>45755.0</v>
      </c>
      <c r="D242" s="7" t="s">
        <v>54</v>
      </c>
      <c r="E242" s="7" t="s">
        <v>26</v>
      </c>
      <c r="F242" s="7">
        <v>3.0</v>
      </c>
      <c r="G242" s="7" t="s">
        <v>46</v>
      </c>
      <c r="H242" s="7">
        <v>1.0</v>
      </c>
      <c r="I242" s="7">
        <v>13.0</v>
      </c>
      <c r="J242" s="7">
        <v>6.5</v>
      </c>
      <c r="K242" s="7" t="s">
        <v>28</v>
      </c>
      <c r="L242" s="9" t="str">
        <f>VLOOKUP(K242, 'Alphabetical by species code'!A:B, 2, FALSE)</f>
        <v>Litter</v>
      </c>
      <c r="M242" s="9" t="str">
        <f>VLOOKUP(L242, 'Alphabetical by species code'!B:C, 2, FALSE)</f>
        <v>Ground Cover</v>
      </c>
    </row>
    <row r="243">
      <c r="A243" s="7">
        <v>3.0</v>
      </c>
      <c r="B243" s="7">
        <v>2025.0</v>
      </c>
      <c r="C243" s="10">
        <v>45755.0</v>
      </c>
      <c r="D243" s="7" t="s">
        <v>54</v>
      </c>
      <c r="E243" s="7" t="s">
        <v>26</v>
      </c>
      <c r="F243" s="7">
        <v>3.0</v>
      </c>
      <c r="G243" s="7" t="s">
        <v>46</v>
      </c>
      <c r="H243" s="7">
        <v>1.0</v>
      </c>
      <c r="I243" s="7">
        <v>13.0</v>
      </c>
      <c r="J243" s="7">
        <v>6.5</v>
      </c>
      <c r="K243" s="7" t="s">
        <v>55</v>
      </c>
      <c r="L243" s="9" t="str">
        <f>VLOOKUP(K243, 'Alphabetical by species code'!A:B, 2, FALSE)</f>
        <v>Daucus pusillus</v>
      </c>
      <c r="M243" s="9" t="str">
        <f>VLOOKUP(L243, 'Alphabetical by species code'!B:C, 2, FALSE)</f>
        <v>Native</v>
      </c>
    </row>
    <row r="244">
      <c r="A244" s="7">
        <v>3.0</v>
      </c>
      <c r="B244" s="7">
        <v>2025.0</v>
      </c>
      <c r="C244" s="10">
        <v>45755.0</v>
      </c>
      <c r="D244" s="7" t="s">
        <v>54</v>
      </c>
      <c r="E244" s="7" t="s">
        <v>26</v>
      </c>
      <c r="F244" s="7">
        <v>3.0</v>
      </c>
      <c r="G244" s="7" t="s">
        <v>46</v>
      </c>
      <c r="H244" s="7">
        <v>1.0</v>
      </c>
      <c r="I244" s="7">
        <v>13.0</v>
      </c>
      <c r="J244" s="7">
        <v>6.5</v>
      </c>
      <c r="K244" s="7" t="s">
        <v>35</v>
      </c>
      <c r="L244" s="9" t="str">
        <f>VLOOKUP(K244, 'Alphabetical by species code'!A:B, 2, FALSE)</f>
        <v>Deinandra fasciculata</v>
      </c>
      <c r="M244" s="9" t="str">
        <f>VLOOKUP(L244, 'Alphabetical by species code'!B:C, 2, FALSE)</f>
        <v>Native</v>
      </c>
    </row>
    <row r="245">
      <c r="A245" s="7">
        <v>3.0</v>
      </c>
      <c r="B245" s="7">
        <v>2025.0</v>
      </c>
      <c r="C245" s="10">
        <v>45755.0</v>
      </c>
      <c r="D245" s="7" t="s">
        <v>54</v>
      </c>
      <c r="E245" s="7" t="s">
        <v>26</v>
      </c>
      <c r="F245" s="7">
        <v>3.0</v>
      </c>
      <c r="G245" s="7" t="s">
        <v>46</v>
      </c>
      <c r="H245" s="7">
        <v>1.0</v>
      </c>
      <c r="I245" s="7">
        <v>13.0</v>
      </c>
      <c r="J245" s="7">
        <v>6.5</v>
      </c>
      <c r="K245" s="7" t="s">
        <v>32</v>
      </c>
      <c r="L245" s="9" t="str">
        <f>VLOOKUP(K245, 'Alphabetical by species code'!A:B, 2, FALSE)</f>
        <v>Medicago polymorpha</v>
      </c>
      <c r="M245" s="9" t="str">
        <f>VLOOKUP(L245, 'Alphabetical by species code'!B:C, 2, FALSE)</f>
        <v>Non-Native</v>
      </c>
    </row>
    <row r="246">
      <c r="A246" s="7">
        <v>3.0</v>
      </c>
      <c r="B246" s="7">
        <v>2025.0</v>
      </c>
      <c r="C246" s="10">
        <v>45755.0</v>
      </c>
      <c r="D246" s="7" t="s">
        <v>54</v>
      </c>
      <c r="E246" s="7" t="s">
        <v>26</v>
      </c>
      <c r="F246" s="7">
        <v>3.0</v>
      </c>
      <c r="G246" s="7" t="s">
        <v>46</v>
      </c>
      <c r="H246" s="7">
        <v>1.0</v>
      </c>
      <c r="I246" s="7">
        <v>13.0</v>
      </c>
      <c r="J246" s="7">
        <v>6.5</v>
      </c>
      <c r="K246" s="7" t="s">
        <v>31</v>
      </c>
      <c r="L246" s="9" t="str">
        <f>VLOOKUP(K246, 'Alphabetical by species code'!A:B, 2, FALSE)</f>
        <v>Festuca myuros</v>
      </c>
      <c r="M246" s="9" t="str">
        <f>VLOOKUP(L246, 'Alphabetical by species code'!B:C, 2, FALSE)</f>
        <v>Non-Native</v>
      </c>
    </row>
    <row r="247">
      <c r="A247" s="7">
        <v>3.0</v>
      </c>
      <c r="B247" s="7">
        <v>2025.0</v>
      </c>
      <c r="C247" s="10">
        <v>45755.0</v>
      </c>
      <c r="D247" s="7" t="s">
        <v>54</v>
      </c>
      <c r="E247" s="7" t="s">
        <v>26</v>
      </c>
      <c r="F247" s="7">
        <v>3.0</v>
      </c>
      <c r="G247" s="7" t="s">
        <v>46</v>
      </c>
      <c r="H247" s="7">
        <v>1.0</v>
      </c>
      <c r="I247" s="7">
        <v>14.0</v>
      </c>
      <c r="J247" s="7">
        <v>7.0</v>
      </c>
      <c r="K247" s="7" t="s">
        <v>41</v>
      </c>
      <c r="L247" s="9" t="str">
        <f>VLOOKUP(K247, 'Alphabetical by species code'!A:B, 2, FALSE)</f>
        <v>Stem</v>
      </c>
      <c r="M247" s="9" t="str">
        <f>VLOOKUP(L247, 'Alphabetical by species code'!B:C, 2, FALSE)</f>
        <v>Ground Cover</v>
      </c>
    </row>
    <row r="248">
      <c r="A248" s="7">
        <v>3.0</v>
      </c>
      <c r="B248" s="7">
        <v>2025.0</v>
      </c>
      <c r="C248" s="10">
        <v>45755.0</v>
      </c>
      <c r="D248" s="7" t="s">
        <v>54</v>
      </c>
      <c r="E248" s="7" t="s">
        <v>26</v>
      </c>
      <c r="F248" s="7">
        <v>3.0</v>
      </c>
      <c r="G248" s="7" t="s">
        <v>46</v>
      </c>
      <c r="H248" s="7">
        <v>1.0</v>
      </c>
      <c r="I248" s="7">
        <v>14.0</v>
      </c>
      <c r="J248" s="7">
        <v>7.0</v>
      </c>
      <c r="K248" s="7" t="s">
        <v>32</v>
      </c>
      <c r="L248" s="9" t="str">
        <f>VLOOKUP(K248, 'Alphabetical by species code'!A:B, 2, FALSE)</f>
        <v>Medicago polymorpha</v>
      </c>
      <c r="M248" s="9" t="str">
        <f>VLOOKUP(L248, 'Alphabetical by species code'!B:C, 2, FALSE)</f>
        <v>Non-Native</v>
      </c>
    </row>
    <row r="249">
      <c r="A249" s="7">
        <v>3.0</v>
      </c>
      <c r="B249" s="7">
        <v>2025.0</v>
      </c>
      <c r="C249" s="10">
        <v>45755.0</v>
      </c>
      <c r="D249" s="7" t="s">
        <v>54</v>
      </c>
      <c r="E249" s="7" t="s">
        <v>26</v>
      </c>
      <c r="F249" s="7">
        <v>3.0</v>
      </c>
      <c r="G249" s="7" t="s">
        <v>46</v>
      </c>
      <c r="H249" s="7">
        <v>1.0</v>
      </c>
      <c r="I249" s="7">
        <v>14.0</v>
      </c>
      <c r="J249" s="7">
        <v>7.0</v>
      </c>
      <c r="K249" s="7" t="s">
        <v>29</v>
      </c>
      <c r="L249" s="9" t="str">
        <f>VLOOKUP(K249, 'Alphabetical by species code'!A:B, 2, FALSE)</f>
        <v>Opuntia littoralis</v>
      </c>
      <c r="M249" s="9" t="str">
        <f>VLOOKUP(L249, 'Alphabetical by species code'!B:C, 2, FALSE)</f>
        <v>Native</v>
      </c>
    </row>
    <row r="250">
      <c r="A250" s="7">
        <v>3.0</v>
      </c>
      <c r="B250" s="7">
        <v>2025.0</v>
      </c>
      <c r="C250" s="10">
        <v>45755.0</v>
      </c>
      <c r="D250" s="7" t="s">
        <v>54</v>
      </c>
      <c r="E250" s="7" t="s">
        <v>26</v>
      </c>
      <c r="F250" s="7">
        <v>3.0</v>
      </c>
      <c r="G250" s="7" t="s">
        <v>46</v>
      </c>
      <c r="H250" s="7">
        <v>1.0</v>
      </c>
      <c r="I250" s="7">
        <v>15.0</v>
      </c>
      <c r="J250" s="7">
        <v>7.5</v>
      </c>
      <c r="K250" s="7" t="s">
        <v>28</v>
      </c>
      <c r="L250" s="9" t="str">
        <f>VLOOKUP(K250, 'Alphabetical by species code'!A:B, 2, FALSE)</f>
        <v>Litter</v>
      </c>
      <c r="M250" s="9" t="str">
        <f>VLOOKUP(L250, 'Alphabetical by species code'!B:C, 2, FALSE)</f>
        <v>Ground Cover</v>
      </c>
    </row>
    <row r="251">
      <c r="A251" s="7">
        <v>3.0</v>
      </c>
      <c r="B251" s="7">
        <v>2025.0</v>
      </c>
      <c r="C251" s="10">
        <v>45755.0</v>
      </c>
      <c r="D251" s="7" t="s">
        <v>54</v>
      </c>
      <c r="E251" s="7" t="s">
        <v>26</v>
      </c>
      <c r="F251" s="7">
        <v>3.0</v>
      </c>
      <c r="G251" s="7" t="s">
        <v>46</v>
      </c>
      <c r="H251" s="7">
        <v>1.0</v>
      </c>
      <c r="I251" s="7">
        <v>15.0</v>
      </c>
      <c r="J251" s="7">
        <v>7.5</v>
      </c>
      <c r="K251" s="7" t="s">
        <v>31</v>
      </c>
      <c r="L251" s="9" t="str">
        <f>VLOOKUP(K251, 'Alphabetical by species code'!A:B, 2, FALSE)</f>
        <v>Festuca myuros</v>
      </c>
      <c r="M251" s="9" t="str">
        <f>VLOOKUP(L251, 'Alphabetical by species code'!B:C, 2, FALSE)</f>
        <v>Non-Native</v>
      </c>
    </row>
    <row r="252">
      <c r="A252" s="7">
        <v>3.0</v>
      </c>
      <c r="B252" s="7">
        <v>2025.0</v>
      </c>
      <c r="C252" s="10">
        <v>45755.0</v>
      </c>
      <c r="D252" s="7" t="s">
        <v>54</v>
      </c>
      <c r="E252" s="7" t="s">
        <v>26</v>
      </c>
      <c r="F252" s="7">
        <v>3.0</v>
      </c>
      <c r="G252" s="7" t="s">
        <v>46</v>
      </c>
      <c r="H252" s="7">
        <v>1.0</v>
      </c>
      <c r="I252" s="7">
        <v>15.0</v>
      </c>
      <c r="J252" s="7">
        <v>7.5</v>
      </c>
      <c r="K252" s="7" t="s">
        <v>35</v>
      </c>
      <c r="L252" s="9" t="str">
        <f>VLOOKUP(K252, 'Alphabetical by species code'!A:B, 2, FALSE)</f>
        <v>Deinandra fasciculata</v>
      </c>
      <c r="M252" s="9" t="str">
        <f>VLOOKUP(L252, 'Alphabetical by species code'!B:C, 2, FALSE)</f>
        <v>Native</v>
      </c>
    </row>
    <row r="253">
      <c r="A253" s="7">
        <v>3.0</v>
      </c>
      <c r="B253" s="7">
        <v>2025.0</v>
      </c>
      <c r="C253" s="10">
        <v>45755.0</v>
      </c>
      <c r="D253" s="7" t="s">
        <v>54</v>
      </c>
      <c r="E253" s="7" t="s">
        <v>26</v>
      </c>
      <c r="F253" s="7">
        <v>3.0</v>
      </c>
      <c r="G253" s="7" t="s">
        <v>46</v>
      </c>
      <c r="H253" s="7">
        <v>1.0</v>
      </c>
      <c r="I253" s="7">
        <v>15.0</v>
      </c>
      <c r="J253" s="7">
        <v>7.5</v>
      </c>
      <c r="K253" s="7" t="s">
        <v>42</v>
      </c>
      <c r="L253" s="9" t="str">
        <f>VLOOKUP(K253, 'Alphabetical by species code'!A:B, 2, FALSE)</f>
        <v>Centaurea melitensis</v>
      </c>
      <c r="M253" s="9" t="str">
        <f>VLOOKUP(L253, 'Alphabetical by species code'!B:C, 2, FALSE)</f>
        <v>Non-Native</v>
      </c>
    </row>
    <row r="254">
      <c r="A254" s="7">
        <v>3.0</v>
      </c>
      <c r="B254" s="7">
        <v>2025.0</v>
      </c>
      <c r="C254" s="10">
        <v>45755.0</v>
      </c>
      <c r="D254" s="7" t="s">
        <v>54</v>
      </c>
      <c r="E254" s="7" t="s">
        <v>26</v>
      </c>
      <c r="F254" s="7">
        <v>3.0</v>
      </c>
      <c r="G254" s="7" t="s">
        <v>46</v>
      </c>
      <c r="H254" s="7">
        <v>2.0</v>
      </c>
      <c r="I254" s="7">
        <v>1.0</v>
      </c>
      <c r="J254" s="7">
        <v>0.0</v>
      </c>
      <c r="K254" s="7" t="s">
        <v>28</v>
      </c>
      <c r="L254" s="9" t="str">
        <f>VLOOKUP(K254, 'Alphabetical by species code'!A:B, 2, FALSE)</f>
        <v>Litter</v>
      </c>
      <c r="M254" s="9" t="str">
        <f>VLOOKUP(L254, 'Alphabetical by species code'!B:C, 2, FALSE)</f>
        <v>Ground Cover</v>
      </c>
    </row>
    <row r="255">
      <c r="A255" s="7">
        <v>3.0</v>
      </c>
      <c r="B255" s="7">
        <v>2025.0</v>
      </c>
      <c r="C255" s="10">
        <v>45755.0</v>
      </c>
      <c r="D255" s="7" t="s">
        <v>54</v>
      </c>
      <c r="E255" s="7" t="s">
        <v>26</v>
      </c>
      <c r="F255" s="7">
        <v>3.0</v>
      </c>
      <c r="G255" s="7" t="s">
        <v>46</v>
      </c>
      <c r="H255" s="7">
        <v>2.0</v>
      </c>
      <c r="I255" s="7">
        <v>1.0</v>
      </c>
      <c r="J255" s="7">
        <v>0.0</v>
      </c>
      <c r="K255" s="7" t="s">
        <v>49</v>
      </c>
      <c r="L255" s="9" t="str">
        <f>VLOOKUP(K255, 'Alphabetical by species code'!A:B, 2, FALSE)</f>
        <v>Anagallis arvensis</v>
      </c>
      <c r="M255" s="9" t="str">
        <f>VLOOKUP(L255, 'Alphabetical by species code'!B:C, 2, FALSE)</f>
        <v>Non-Native</v>
      </c>
    </row>
    <row r="256">
      <c r="A256" s="7">
        <v>3.0</v>
      </c>
      <c r="B256" s="7">
        <v>2025.0</v>
      </c>
      <c r="C256" s="10">
        <v>45755.0</v>
      </c>
      <c r="D256" s="7" t="s">
        <v>54</v>
      </c>
      <c r="E256" s="7" t="s">
        <v>26</v>
      </c>
      <c r="F256" s="7">
        <v>3.0</v>
      </c>
      <c r="G256" s="7" t="s">
        <v>46</v>
      </c>
      <c r="H256" s="7">
        <v>2.0</v>
      </c>
      <c r="I256" s="7">
        <v>1.0</v>
      </c>
      <c r="J256" s="7">
        <v>0.0</v>
      </c>
      <c r="K256" s="7" t="s">
        <v>32</v>
      </c>
      <c r="L256" s="9" t="str">
        <f>VLOOKUP(K256, 'Alphabetical by species code'!A:B, 2, FALSE)</f>
        <v>Medicago polymorpha</v>
      </c>
      <c r="M256" s="9" t="str">
        <f>VLOOKUP(L256, 'Alphabetical by species code'!B:C, 2, FALSE)</f>
        <v>Non-Native</v>
      </c>
    </row>
    <row r="257">
      <c r="A257" s="7">
        <v>3.0</v>
      </c>
      <c r="B257" s="7">
        <v>2025.0</v>
      </c>
      <c r="C257" s="10">
        <v>45755.0</v>
      </c>
      <c r="D257" s="7" t="s">
        <v>54</v>
      </c>
      <c r="E257" s="7" t="s">
        <v>26</v>
      </c>
      <c r="F257" s="7">
        <v>3.0</v>
      </c>
      <c r="G257" s="7" t="s">
        <v>46</v>
      </c>
      <c r="H257" s="7">
        <v>2.0</v>
      </c>
      <c r="I257" s="7">
        <v>1.0</v>
      </c>
      <c r="J257" s="7">
        <v>0.0</v>
      </c>
      <c r="K257" s="7" t="s">
        <v>31</v>
      </c>
      <c r="L257" s="9" t="str">
        <f>VLOOKUP(K257, 'Alphabetical by species code'!A:B, 2, FALSE)</f>
        <v>Festuca myuros</v>
      </c>
      <c r="M257" s="9" t="str">
        <f>VLOOKUP(L257, 'Alphabetical by species code'!B:C, 2, FALSE)</f>
        <v>Non-Native</v>
      </c>
    </row>
    <row r="258">
      <c r="A258" s="7">
        <v>3.0</v>
      </c>
      <c r="B258" s="7">
        <v>2025.0</v>
      </c>
      <c r="C258" s="10">
        <v>45755.0</v>
      </c>
      <c r="D258" s="7" t="s">
        <v>54</v>
      </c>
      <c r="E258" s="7" t="s">
        <v>26</v>
      </c>
      <c r="F258" s="7">
        <v>3.0</v>
      </c>
      <c r="G258" s="7" t="s">
        <v>46</v>
      </c>
      <c r="H258" s="7">
        <v>2.0</v>
      </c>
      <c r="I258" s="7">
        <v>2.0</v>
      </c>
      <c r="J258" s="7">
        <v>0.5</v>
      </c>
      <c r="K258" s="7" t="s">
        <v>28</v>
      </c>
      <c r="L258" s="9" t="str">
        <f>VLOOKUP(K258, 'Alphabetical by species code'!A:B, 2, FALSE)</f>
        <v>Litter</v>
      </c>
      <c r="M258" s="9" t="str">
        <f>VLOOKUP(L258, 'Alphabetical by species code'!B:C, 2, FALSE)</f>
        <v>Ground Cover</v>
      </c>
    </row>
    <row r="259">
      <c r="A259" s="7">
        <v>3.0</v>
      </c>
      <c r="B259" s="7">
        <v>2025.0</v>
      </c>
      <c r="C259" s="10">
        <v>45755.0</v>
      </c>
      <c r="D259" s="7" t="s">
        <v>54</v>
      </c>
      <c r="E259" s="7" t="s">
        <v>26</v>
      </c>
      <c r="F259" s="7">
        <v>3.0</v>
      </c>
      <c r="G259" s="7" t="s">
        <v>46</v>
      </c>
      <c r="H259" s="7">
        <v>2.0</v>
      </c>
      <c r="I259" s="7">
        <v>2.0</v>
      </c>
      <c r="J259" s="7">
        <v>0.5</v>
      </c>
      <c r="K259" s="7" t="s">
        <v>49</v>
      </c>
      <c r="L259" s="9" t="str">
        <f>VLOOKUP(K259, 'Alphabetical by species code'!A:B, 2, FALSE)</f>
        <v>Anagallis arvensis</v>
      </c>
      <c r="M259" s="9" t="str">
        <f>VLOOKUP(L259, 'Alphabetical by species code'!B:C, 2, FALSE)</f>
        <v>Non-Native</v>
      </c>
    </row>
    <row r="260">
      <c r="A260" s="7">
        <v>3.0</v>
      </c>
      <c r="B260" s="7">
        <v>2025.0</v>
      </c>
      <c r="C260" s="10">
        <v>45755.0</v>
      </c>
      <c r="D260" s="7" t="s">
        <v>54</v>
      </c>
      <c r="E260" s="7" t="s">
        <v>26</v>
      </c>
      <c r="F260" s="7">
        <v>3.0</v>
      </c>
      <c r="G260" s="7" t="s">
        <v>46</v>
      </c>
      <c r="H260" s="7">
        <v>2.0</v>
      </c>
      <c r="I260" s="7">
        <v>2.0</v>
      </c>
      <c r="J260" s="7">
        <v>0.5</v>
      </c>
      <c r="K260" s="7" t="s">
        <v>57</v>
      </c>
      <c r="L260" s="9" t="str">
        <f>VLOOKUP(K260, 'Alphabetical by species code'!A:B, 2, FALSE)</f>
        <v>Stipa pulchra</v>
      </c>
      <c r="M260" s="9" t="str">
        <f>VLOOKUP(L260, 'Alphabetical by species code'!B:C, 2, FALSE)</f>
        <v>Native</v>
      </c>
    </row>
    <row r="261">
      <c r="A261" s="7">
        <v>3.0</v>
      </c>
      <c r="B261" s="7">
        <v>2025.0</v>
      </c>
      <c r="C261" s="10">
        <v>45755.0</v>
      </c>
      <c r="D261" s="7" t="s">
        <v>54</v>
      </c>
      <c r="E261" s="7" t="s">
        <v>26</v>
      </c>
      <c r="F261" s="7">
        <v>3.0</v>
      </c>
      <c r="G261" s="7" t="s">
        <v>46</v>
      </c>
      <c r="H261" s="7">
        <v>2.0</v>
      </c>
      <c r="I261" s="7">
        <v>2.0</v>
      </c>
      <c r="J261" s="7">
        <v>0.5</v>
      </c>
      <c r="K261" s="7" t="s">
        <v>55</v>
      </c>
      <c r="L261" s="9" t="str">
        <f>VLOOKUP(K261, 'Alphabetical by species code'!A:B, 2, FALSE)</f>
        <v>Daucus pusillus</v>
      </c>
      <c r="M261" s="9" t="str">
        <f>VLOOKUP(L261, 'Alphabetical by species code'!B:C, 2, FALSE)</f>
        <v>Native</v>
      </c>
    </row>
    <row r="262">
      <c r="A262" s="7">
        <v>3.0</v>
      </c>
      <c r="B262" s="7">
        <v>2025.0</v>
      </c>
      <c r="C262" s="10">
        <v>45755.0</v>
      </c>
      <c r="D262" s="7" t="s">
        <v>54</v>
      </c>
      <c r="E262" s="7" t="s">
        <v>26</v>
      </c>
      <c r="F262" s="7">
        <v>3.0</v>
      </c>
      <c r="G262" s="7" t="s">
        <v>46</v>
      </c>
      <c r="H262" s="7">
        <v>2.0</v>
      </c>
      <c r="I262" s="7">
        <v>2.0</v>
      </c>
      <c r="J262" s="7">
        <v>0.5</v>
      </c>
      <c r="K262" s="7" t="s">
        <v>32</v>
      </c>
      <c r="L262" s="9" t="str">
        <f>VLOOKUP(K262, 'Alphabetical by species code'!A:B, 2, FALSE)</f>
        <v>Medicago polymorpha</v>
      </c>
      <c r="M262" s="9" t="str">
        <f>VLOOKUP(L262, 'Alphabetical by species code'!B:C, 2, FALSE)</f>
        <v>Non-Native</v>
      </c>
    </row>
    <row r="263">
      <c r="A263" s="7">
        <v>3.0</v>
      </c>
      <c r="B263" s="7">
        <v>2025.0</v>
      </c>
      <c r="C263" s="10">
        <v>45755.0</v>
      </c>
      <c r="D263" s="7" t="s">
        <v>54</v>
      </c>
      <c r="E263" s="7" t="s">
        <v>26</v>
      </c>
      <c r="F263" s="7">
        <v>3.0</v>
      </c>
      <c r="G263" s="7" t="s">
        <v>46</v>
      </c>
      <c r="H263" s="7">
        <v>2.0</v>
      </c>
      <c r="I263" s="7">
        <v>3.0</v>
      </c>
      <c r="J263" s="7">
        <v>1.0</v>
      </c>
      <c r="K263" s="7" t="s">
        <v>41</v>
      </c>
      <c r="L263" s="9" t="str">
        <f>VLOOKUP(K263, 'Alphabetical by species code'!A:B, 2, FALSE)</f>
        <v>Stem</v>
      </c>
      <c r="M263" s="9" t="str">
        <f>VLOOKUP(L263, 'Alphabetical by species code'!B:C, 2, FALSE)</f>
        <v>Ground Cover</v>
      </c>
    </row>
    <row r="264">
      <c r="A264" s="7">
        <v>3.0</v>
      </c>
      <c r="B264" s="7">
        <v>2025.0</v>
      </c>
      <c r="C264" s="10">
        <v>45755.0</v>
      </c>
      <c r="D264" s="7" t="s">
        <v>54</v>
      </c>
      <c r="E264" s="7" t="s">
        <v>26</v>
      </c>
      <c r="F264" s="7">
        <v>3.0</v>
      </c>
      <c r="G264" s="7" t="s">
        <v>46</v>
      </c>
      <c r="H264" s="7">
        <v>2.0</v>
      </c>
      <c r="I264" s="7">
        <v>3.0</v>
      </c>
      <c r="J264" s="7">
        <v>1.0</v>
      </c>
      <c r="K264" s="7" t="s">
        <v>40</v>
      </c>
      <c r="L264" s="9" t="str">
        <f>VLOOKUP(K264, 'Alphabetical by species code'!A:B, 2, FALSE)</f>
        <v>Cylindropuntia prolifera</v>
      </c>
      <c r="M264" s="9" t="str">
        <f>VLOOKUP(L264, 'Alphabetical by species code'!B:C, 2, FALSE)</f>
        <v>Native</v>
      </c>
    </row>
    <row r="265">
      <c r="A265" s="7">
        <v>3.0</v>
      </c>
      <c r="B265" s="7">
        <v>2025.0</v>
      </c>
      <c r="C265" s="10">
        <v>45755.0</v>
      </c>
      <c r="D265" s="7" t="s">
        <v>54</v>
      </c>
      <c r="E265" s="7" t="s">
        <v>26</v>
      </c>
      <c r="F265" s="7">
        <v>3.0</v>
      </c>
      <c r="G265" s="7" t="s">
        <v>46</v>
      </c>
      <c r="H265" s="7">
        <v>2.0</v>
      </c>
      <c r="I265" s="7">
        <v>4.0</v>
      </c>
      <c r="J265" s="7">
        <v>1.5</v>
      </c>
      <c r="K265" s="7" t="s">
        <v>51</v>
      </c>
      <c r="L265" s="9" t="str">
        <f>VLOOKUP(K265, 'Alphabetical by species code'!A:B, 2, FALSE)</f>
        <v>Bareground</v>
      </c>
      <c r="M265" s="9" t="str">
        <f>VLOOKUP(L265, 'Alphabetical by species code'!B:C, 2, FALSE)</f>
        <v>Ground Cover</v>
      </c>
    </row>
    <row r="266">
      <c r="A266" s="7">
        <v>3.0</v>
      </c>
      <c r="B266" s="7">
        <v>2025.0</v>
      </c>
      <c r="C266" s="10">
        <v>45755.0</v>
      </c>
      <c r="D266" s="7" t="s">
        <v>54</v>
      </c>
      <c r="E266" s="7" t="s">
        <v>26</v>
      </c>
      <c r="F266" s="7">
        <v>3.0</v>
      </c>
      <c r="G266" s="7" t="s">
        <v>46</v>
      </c>
      <c r="H266" s="7">
        <v>2.0</v>
      </c>
      <c r="I266" s="7">
        <v>4.0</v>
      </c>
      <c r="J266" s="7">
        <v>1.5</v>
      </c>
      <c r="K266" s="7" t="s">
        <v>57</v>
      </c>
      <c r="L266" s="9" t="str">
        <f>VLOOKUP(K266, 'Alphabetical by species code'!A:B, 2, FALSE)</f>
        <v>Stipa pulchra</v>
      </c>
      <c r="M266" s="9" t="str">
        <f>VLOOKUP(L266, 'Alphabetical by species code'!B:C, 2, FALSE)</f>
        <v>Native</v>
      </c>
    </row>
    <row r="267">
      <c r="A267" s="7">
        <v>3.0</v>
      </c>
      <c r="B267" s="7">
        <v>2025.0</v>
      </c>
      <c r="C267" s="10">
        <v>45755.0</v>
      </c>
      <c r="D267" s="7" t="s">
        <v>54</v>
      </c>
      <c r="E267" s="7" t="s">
        <v>26</v>
      </c>
      <c r="F267" s="7">
        <v>3.0</v>
      </c>
      <c r="G267" s="7" t="s">
        <v>46</v>
      </c>
      <c r="H267" s="7">
        <v>2.0</v>
      </c>
      <c r="I267" s="7">
        <v>4.0</v>
      </c>
      <c r="J267" s="7">
        <v>1.5</v>
      </c>
      <c r="K267" s="7" t="s">
        <v>58</v>
      </c>
      <c r="L267" s="9" t="str">
        <f>VLOOKUP(K267, 'Alphabetical by species code'!A:B, 2, FALSE)</f>
        <v>Crassula connata</v>
      </c>
      <c r="M267" s="9" t="str">
        <f>VLOOKUP(L267, 'Alphabetical by species code'!B:C, 2, FALSE)</f>
        <v>Native</v>
      </c>
    </row>
    <row r="268">
      <c r="A268" s="7">
        <v>3.0</v>
      </c>
      <c r="B268" s="7">
        <v>2025.0</v>
      </c>
      <c r="C268" s="10">
        <v>45755.0</v>
      </c>
      <c r="D268" s="7" t="s">
        <v>54</v>
      </c>
      <c r="E268" s="7" t="s">
        <v>26</v>
      </c>
      <c r="F268" s="7">
        <v>3.0</v>
      </c>
      <c r="G268" s="7" t="s">
        <v>46</v>
      </c>
      <c r="H268" s="7">
        <v>2.0</v>
      </c>
      <c r="I268" s="7">
        <v>4.0</v>
      </c>
      <c r="J268" s="7">
        <v>1.5</v>
      </c>
      <c r="K268" s="7" t="s">
        <v>55</v>
      </c>
      <c r="L268" s="9" t="str">
        <f>VLOOKUP(K268, 'Alphabetical by species code'!A:B, 2, FALSE)</f>
        <v>Daucus pusillus</v>
      </c>
      <c r="M268" s="9" t="str">
        <f>VLOOKUP(L268, 'Alphabetical by species code'!B:C, 2, FALSE)</f>
        <v>Native</v>
      </c>
    </row>
    <row r="269">
      <c r="A269" s="7">
        <v>3.0</v>
      </c>
      <c r="B269" s="7">
        <v>2025.0</v>
      </c>
      <c r="C269" s="10">
        <v>45755.0</v>
      </c>
      <c r="D269" s="7" t="s">
        <v>54</v>
      </c>
      <c r="E269" s="7" t="s">
        <v>26</v>
      </c>
      <c r="F269" s="7">
        <v>3.0</v>
      </c>
      <c r="G269" s="7" t="s">
        <v>46</v>
      </c>
      <c r="H269" s="7">
        <v>2.0</v>
      </c>
      <c r="I269" s="7">
        <v>4.0</v>
      </c>
      <c r="J269" s="7">
        <v>1.5</v>
      </c>
      <c r="K269" s="7" t="s">
        <v>31</v>
      </c>
      <c r="L269" s="9" t="str">
        <f>VLOOKUP(K269, 'Alphabetical by species code'!A:B, 2, FALSE)</f>
        <v>Festuca myuros</v>
      </c>
      <c r="M269" s="9" t="str">
        <f>VLOOKUP(L269, 'Alphabetical by species code'!B:C, 2, FALSE)</f>
        <v>Non-Native</v>
      </c>
    </row>
    <row r="270">
      <c r="A270" s="7">
        <v>3.0</v>
      </c>
      <c r="B270" s="7">
        <v>2025.0</v>
      </c>
      <c r="C270" s="10">
        <v>45755.0</v>
      </c>
      <c r="D270" s="7" t="s">
        <v>54</v>
      </c>
      <c r="E270" s="7" t="s">
        <v>26</v>
      </c>
      <c r="F270" s="7">
        <v>3.0</v>
      </c>
      <c r="G270" s="7" t="s">
        <v>46</v>
      </c>
      <c r="H270" s="7">
        <v>2.0</v>
      </c>
      <c r="I270" s="7">
        <v>5.0</v>
      </c>
      <c r="J270" s="7">
        <v>2.5</v>
      </c>
      <c r="K270" s="7" t="s">
        <v>51</v>
      </c>
      <c r="L270" s="9" t="str">
        <f>VLOOKUP(K270, 'Alphabetical by species code'!A:B, 2, FALSE)</f>
        <v>Bareground</v>
      </c>
      <c r="M270" s="9" t="str">
        <f>VLOOKUP(L270, 'Alphabetical by species code'!B:C, 2, FALSE)</f>
        <v>Ground Cover</v>
      </c>
    </row>
    <row r="271">
      <c r="A271" s="7">
        <v>3.0</v>
      </c>
      <c r="B271" s="7">
        <v>2025.0</v>
      </c>
      <c r="C271" s="10">
        <v>45755.0</v>
      </c>
      <c r="D271" s="7" t="s">
        <v>54</v>
      </c>
      <c r="E271" s="7" t="s">
        <v>26</v>
      </c>
      <c r="F271" s="7">
        <v>3.0</v>
      </c>
      <c r="G271" s="7" t="s">
        <v>46</v>
      </c>
      <c r="H271" s="7">
        <v>2.0</v>
      </c>
      <c r="I271" s="7">
        <v>5.0</v>
      </c>
      <c r="J271" s="7">
        <v>2.5</v>
      </c>
      <c r="K271" s="7" t="s">
        <v>31</v>
      </c>
      <c r="L271" s="9" t="str">
        <f>VLOOKUP(K271, 'Alphabetical by species code'!A:B, 2, FALSE)</f>
        <v>Festuca myuros</v>
      </c>
      <c r="M271" s="9" t="str">
        <f>VLOOKUP(L271, 'Alphabetical by species code'!B:C, 2, FALSE)</f>
        <v>Non-Native</v>
      </c>
    </row>
    <row r="272">
      <c r="A272" s="7">
        <v>3.0</v>
      </c>
      <c r="B272" s="7">
        <v>2025.0</v>
      </c>
      <c r="C272" s="10">
        <v>45755.0</v>
      </c>
      <c r="D272" s="7" t="s">
        <v>54</v>
      </c>
      <c r="E272" s="7" t="s">
        <v>26</v>
      </c>
      <c r="F272" s="7">
        <v>3.0</v>
      </c>
      <c r="G272" s="7" t="s">
        <v>46</v>
      </c>
      <c r="H272" s="7">
        <v>2.0</v>
      </c>
      <c r="I272" s="7">
        <v>6.0</v>
      </c>
      <c r="J272" s="7">
        <v>3.0</v>
      </c>
      <c r="K272" s="7" t="s">
        <v>28</v>
      </c>
      <c r="L272" s="9" t="str">
        <f>VLOOKUP(K272, 'Alphabetical by species code'!A:B, 2, FALSE)</f>
        <v>Litter</v>
      </c>
      <c r="M272" s="9" t="str">
        <f>VLOOKUP(L272, 'Alphabetical by species code'!B:C, 2, FALSE)</f>
        <v>Ground Cover</v>
      </c>
    </row>
    <row r="273">
      <c r="A273" s="7">
        <v>3.0</v>
      </c>
      <c r="B273" s="7">
        <v>2025.0</v>
      </c>
      <c r="C273" s="10">
        <v>45755.0</v>
      </c>
      <c r="D273" s="7" t="s">
        <v>54</v>
      </c>
      <c r="E273" s="7" t="s">
        <v>26</v>
      </c>
      <c r="F273" s="7">
        <v>3.0</v>
      </c>
      <c r="G273" s="7" t="s">
        <v>46</v>
      </c>
      <c r="H273" s="7">
        <v>2.0</v>
      </c>
      <c r="I273" s="7">
        <v>6.0</v>
      </c>
      <c r="J273" s="7">
        <v>3.0</v>
      </c>
      <c r="K273" s="7" t="s">
        <v>58</v>
      </c>
      <c r="L273" s="9" t="str">
        <f>VLOOKUP(K273, 'Alphabetical by species code'!A:B, 2, FALSE)</f>
        <v>Crassula connata</v>
      </c>
      <c r="M273" s="9" t="str">
        <f>VLOOKUP(L273, 'Alphabetical by species code'!B:C, 2, FALSE)</f>
        <v>Native</v>
      </c>
    </row>
    <row r="274">
      <c r="A274" s="7">
        <v>3.0</v>
      </c>
      <c r="B274" s="7">
        <v>2025.0</v>
      </c>
      <c r="C274" s="10">
        <v>45755.0</v>
      </c>
      <c r="D274" s="7" t="s">
        <v>54</v>
      </c>
      <c r="E274" s="7" t="s">
        <v>26</v>
      </c>
      <c r="F274" s="7">
        <v>3.0</v>
      </c>
      <c r="G274" s="7" t="s">
        <v>46</v>
      </c>
      <c r="H274" s="7">
        <v>2.0</v>
      </c>
      <c r="I274" s="7">
        <v>6.0</v>
      </c>
      <c r="J274" s="7">
        <v>3.0</v>
      </c>
      <c r="K274" s="7" t="s">
        <v>31</v>
      </c>
      <c r="L274" s="9" t="str">
        <f>VLOOKUP(K274, 'Alphabetical by species code'!A:B, 2, FALSE)</f>
        <v>Festuca myuros</v>
      </c>
      <c r="M274" s="9" t="str">
        <f>VLOOKUP(L274, 'Alphabetical by species code'!B:C, 2, FALSE)</f>
        <v>Non-Native</v>
      </c>
    </row>
    <row r="275">
      <c r="A275" s="7">
        <v>3.0</v>
      </c>
      <c r="B275" s="7">
        <v>2025.0</v>
      </c>
      <c r="C275" s="10">
        <v>45755.0</v>
      </c>
      <c r="D275" s="7" t="s">
        <v>54</v>
      </c>
      <c r="E275" s="7" t="s">
        <v>26</v>
      </c>
      <c r="F275" s="7">
        <v>3.0</v>
      </c>
      <c r="G275" s="7" t="s">
        <v>46</v>
      </c>
      <c r="H275" s="7">
        <v>2.0</v>
      </c>
      <c r="I275" s="7">
        <v>6.0</v>
      </c>
      <c r="J275" s="7">
        <v>3.0</v>
      </c>
      <c r="K275" s="7" t="s">
        <v>32</v>
      </c>
      <c r="L275" s="9" t="str">
        <f>VLOOKUP(K275, 'Alphabetical by species code'!A:B, 2, FALSE)</f>
        <v>Medicago polymorpha</v>
      </c>
      <c r="M275" s="9" t="str">
        <f>VLOOKUP(L275, 'Alphabetical by species code'!B:C, 2, FALSE)</f>
        <v>Non-Native</v>
      </c>
    </row>
    <row r="276">
      <c r="A276" s="7">
        <v>3.0</v>
      </c>
      <c r="B276" s="7">
        <v>2025.0</v>
      </c>
      <c r="C276" s="10">
        <v>45755.0</v>
      </c>
      <c r="D276" s="7" t="s">
        <v>54</v>
      </c>
      <c r="E276" s="7" t="s">
        <v>26</v>
      </c>
      <c r="F276" s="7">
        <v>3.0</v>
      </c>
      <c r="G276" s="7" t="s">
        <v>46</v>
      </c>
      <c r="H276" s="7">
        <v>2.0</v>
      </c>
      <c r="I276" s="7">
        <v>6.0</v>
      </c>
      <c r="J276" s="7">
        <v>3.0</v>
      </c>
      <c r="K276" s="7" t="s">
        <v>29</v>
      </c>
      <c r="L276" s="9" t="str">
        <f>VLOOKUP(K276, 'Alphabetical by species code'!A:B, 2, FALSE)</f>
        <v>Opuntia littoralis</v>
      </c>
      <c r="M276" s="9" t="str">
        <f>VLOOKUP(L276, 'Alphabetical by species code'!B:C, 2, FALSE)</f>
        <v>Native</v>
      </c>
    </row>
    <row r="277">
      <c r="A277" s="7">
        <v>3.0</v>
      </c>
      <c r="B277" s="7">
        <v>2025.0</v>
      </c>
      <c r="C277" s="10">
        <v>45755.0</v>
      </c>
      <c r="D277" s="7" t="s">
        <v>54</v>
      </c>
      <c r="E277" s="7" t="s">
        <v>26</v>
      </c>
      <c r="F277" s="7">
        <v>3.0</v>
      </c>
      <c r="G277" s="7" t="s">
        <v>46</v>
      </c>
      <c r="H277" s="7">
        <v>2.0</v>
      </c>
      <c r="I277" s="7">
        <v>7.0</v>
      </c>
      <c r="J277" s="7">
        <v>3.5</v>
      </c>
      <c r="K277" s="7" t="s">
        <v>28</v>
      </c>
      <c r="L277" s="9" t="str">
        <f>VLOOKUP(K277, 'Alphabetical by species code'!A:B, 2, FALSE)</f>
        <v>Litter</v>
      </c>
      <c r="M277" s="9" t="str">
        <f>VLOOKUP(L277, 'Alphabetical by species code'!B:C, 2, FALSE)</f>
        <v>Ground Cover</v>
      </c>
    </row>
    <row r="278">
      <c r="A278" s="7">
        <v>3.0</v>
      </c>
      <c r="B278" s="7">
        <v>2025.0</v>
      </c>
      <c r="C278" s="10">
        <v>45755.0</v>
      </c>
      <c r="D278" s="7" t="s">
        <v>54</v>
      </c>
      <c r="E278" s="7" t="s">
        <v>26</v>
      </c>
      <c r="F278" s="7">
        <v>3.0</v>
      </c>
      <c r="G278" s="7" t="s">
        <v>46</v>
      </c>
      <c r="H278" s="7">
        <v>2.0</v>
      </c>
      <c r="I278" s="7">
        <v>7.0</v>
      </c>
      <c r="J278" s="7">
        <v>3.5</v>
      </c>
      <c r="K278" s="7" t="s">
        <v>31</v>
      </c>
      <c r="L278" s="9" t="str">
        <f>VLOOKUP(K278, 'Alphabetical by species code'!A:B, 2, FALSE)</f>
        <v>Festuca myuros</v>
      </c>
      <c r="M278" s="9" t="str">
        <f>VLOOKUP(L278, 'Alphabetical by species code'!B:C, 2, FALSE)</f>
        <v>Non-Native</v>
      </c>
    </row>
    <row r="279">
      <c r="A279" s="7">
        <v>3.0</v>
      </c>
      <c r="B279" s="7">
        <v>2025.0</v>
      </c>
      <c r="C279" s="10">
        <v>45755.0</v>
      </c>
      <c r="D279" s="7" t="s">
        <v>54</v>
      </c>
      <c r="E279" s="7" t="s">
        <v>26</v>
      </c>
      <c r="F279" s="7">
        <v>3.0</v>
      </c>
      <c r="G279" s="7" t="s">
        <v>46</v>
      </c>
      <c r="H279" s="7">
        <v>2.0</v>
      </c>
      <c r="I279" s="7">
        <v>8.0</v>
      </c>
      <c r="J279" s="7">
        <v>4.0</v>
      </c>
      <c r="K279" s="7" t="s">
        <v>51</v>
      </c>
      <c r="L279" s="9" t="str">
        <f>VLOOKUP(K279, 'Alphabetical by species code'!A:B, 2, FALSE)</f>
        <v>Bareground</v>
      </c>
      <c r="M279" s="9" t="str">
        <f>VLOOKUP(L279, 'Alphabetical by species code'!B:C, 2, FALSE)</f>
        <v>Ground Cover</v>
      </c>
    </row>
    <row r="280">
      <c r="A280" s="7">
        <v>3.0</v>
      </c>
      <c r="B280" s="7">
        <v>2025.0</v>
      </c>
      <c r="C280" s="10">
        <v>45755.0</v>
      </c>
      <c r="D280" s="7" t="s">
        <v>54</v>
      </c>
      <c r="E280" s="7" t="s">
        <v>26</v>
      </c>
      <c r="F280" s="7">
        <v>3.0</v>
      </c>
      <c r="G280" s="7" t="s">
        <v>46</v>
      </c>
      <c r="H280" s="7">
        <v>2.0</v>
      </c>
      <c r="I280" s="7">
        <v>8.0</v>
      </c>
      <c r="J280" s="7">
        <v>4.0</v>
      </c>
      <c r="K280" s="7" t="s">
        <v>55</v>
      </c>
      <c r="L280" s="9" t="str">
        <f>VLOOKUP(K280, 'Alphabetical by species code'!A:B, 2, FALSE)</f>
        <v>Daucus pusillus</v>
      </c>
      <c r="M280" s="9" t="str">
        <f>VLOOKUP(L280, 'Alphabetical by species code'!B:C, 2, FALSE)</f>
        <v>Native</v>
      </c>
    </row>
    <row r="281">
      <c r="A281" s="7">
        <v>3.0</v>
      </c>
      <c r="B281" s="7">
        <v>2025.0</v>
      </c>
      <c r="C281" s="10">
        <v>45755.0</v>
      </c>
      <c r="D281" s="7" t="s">
        <v>54</v>
      </c>
      <c r="E281" s="7" t="s">
        <v>26</v>
      </c>
      <c r="F281" s="7">
        <v>3.0</v>
      </c>
      <c r="G281" s="7" t="s">
        <v>46</v>
      </c>
      <c r="H281" s="7">
        <v>2.0</v>
      </c>
      <c r="I281" s="7">
        <v>8.0</v>
      </c>
      <c r="J281" s="7">
        <v>4.0</v>
      </c>
      <c r="K281" s="7" t="s">
        <v>56</v>
      </c>
      <c r="L281" s="9" t="str">
        <f>VLOOKUP(K281, 'Alphabetical by species code'!A:B, 2, FALSE)</f>
        <v>Grindelia camporum</v>
      </c>
      <c r="M281" s="9" t="str">
        <f>VLOOKUP(L281, 'Alphabetical by species code'!B:C, 2, FALSE)</f>
        <v>Native</v>
      </c>
    </row>
    <row r="282">
      <c r="A282" s="7">
        <v>3.0</v>
      </c>
      <c r="B282" s="7">
        <v>2025.0</v>
      </c>
      <c r="C282" s="10">
        <v>45755.0</v>
      </c>
      <c r="D282" s="7" t="s">
        <v>54</v>
      </c>
      <c r="E282" s="7" t="s">
        <v>26</v>
      </c>
      <c r="F282" s="7">
        <v>3.0</v>
      </c>
      <c r="G282" s="7" t="s">
        <v>46</v>
      </c>
      <c r="H282" s="7">
        <v>2.0</v>
      </c>
      <c r="I282" s="7">
        <v>9.0</v>
      </c>
      <c r="J282" s="7">
        <v>4.5</v>
      </c>
      <c r="K282" s="7" t="s">
        <v>28</v>
      </c>
      <c r="L282" s="9" t="str">
        <f>VLOOKUP(K282, 'Alphabetical by species code'!A:B, 2, FALSE)</f>
        <v>Litter</v>
      </c>
      <c r="M282" s="9" t="str">
        <f>VLOOKUP(L282, 'Alphabetical by species code'!B:C, 2, FALSE)</f>
        <v>Ground Cover</v>
      </c>
    </row>
    <row r="283">
      <c r="A283" s="7">
        <v>3.0</v>
      </c>
      <c r="B283" s="7">
        <v>2025.0</v>
      </c>
      <c r="C283" s="10">
        <v>45755.0</v>
      </c>
      <c r="D283" s="7" t="s">
        <v>54</v>
      </c>
      <c r="E283" s="7" t="s">
        <v>26</v>
      </c>
      <c r="F283" s="7">
        <v>3.0</v>
      </c>
      <c r="G283" s="7" t="s">
        <v>46</v>
      </c>
      <c r="H283" s="7">
        <v>2.0</v>
      </c>
      <c r="I283" s="7">
        <v>9.0</v>
      </c>
      <c r="J283" s="7">
        <v>4.5</v>
      </c>
      <c r="K283" s="7" t="s">
        <v>59</v>
      </c>
      <c r="L283" s="9" t="str">
        <f>VLOOKUP(K283, 'Alphabetical by species code'!A:B, 2, FALSE)</f>
        <v>Cryptantha micromeres</v>
      </c>
      <c r="M283" s="9" t="str">
        <f>VLOOKUP(L283, 'Alphabetical by species code'!B:C, 2, FALSE)</f>
        <v>Native</v>
      </c>
    </row>
    <row r="284">
      <c r="A284" s="7">
        <v>3.0</v>
      </c>
      <c r="B284" s="7">
        <v>2025.0</v>
      </c>
      <c r="C284" s="10">
        <v>45755.0</v>
      </c>
      <c r="D284" s="7" t="s">
        <v>54</v>
      </c>
      <c r="E284" s="7" t="s">
        <v>26</v>
      </c>
      <c r="F284" s="7">
        <v>3.0</v>
      </c>
      <c r="G284" s="7" t="s">
        <v>46</v>
      </c>
      <c r="H284" s="7">
        <v>2.0</v>
      </c>
      <c r="I284" s="7">
        <v>9.0</v>
      </c>
      <c r="J284" s="7">
        <v>4.5</v>
      </c>
      <c r="K284" s="7" t="s">
        <v>35</v>
      </c>
      <c r="L284" s="9" t="str">
        <f>VLOOKUP(K284, 'Alphabetical by species code'!A:B, 2, FALSE)</f>
        <v>Deinandra fasciculata</v>
      </c>
      <c r="M284" s="9" t="str">
        <f>VLOOKUP(L284, 'Alphabetical by species code'!B:C, 2, FALSE)</f>
        <v>Native</v>
      </c>
    </row>
    <row r="285">
      <c r="A285" s="7">
        <v>3.0</v>
      </c>
      <c r="B285" s="7">
        <v>2025.0</v>
      </c>
      <c r="C285" s="10">
        <v>45755.0</v>
      </c>
      <c r="D285" s="7" t="s">
        <v>54</v>
      </c>
      <c r="E285" s="7" t="s">
        <v>26</v>
      </c>
      <c r="F285" s="7">
        <v>3.0</v>
      </c>
      <c r="G285" s="7" t="s">
        <v>46</v>
      </c>
      <c r="H285" s="7">
        <v>2.0</v>
      </c>
      <c r="I285" s="7">
        <v>9.0</v>
      </c>
      <c r="J285" s="7">
        <v>4.5</v>
      </c>
      <c r="K285" s="7" t="s">
        <v>31</v>
      </c>
      <c r="L285" s="9" t="str">
        <f>VLOOKUP(K285, 'Alphabetical by species code'!A:B, 2, FALSE)</f>
        <v>Festuca myuros</v>
      </c>
      <c r="M285" s="9" t="str">
        <f>VLOOKUP(L285, 'Alphabetical by species code'!B:C, 2, FALSE)</f>
        <v>Non-Native</v>
      </c>
    </row>
    <row r="286">
      <c r="A286" s="7">
        <v>3.0</v>
      </c>
      <c r="B286" s="7">
        <v>2025.0</v>
      </c>
      <c r="C286" s="10">
        <v>45755.0</v>
      </c>
      <c r="D286" s="7" t="s">
        <v>54</v>
      </c>
      <c r="E286" s="7" t="s">
        <v>26</v>
      </c>
      <c r="F286" s="7">
        <v>3.0</v>
      </c>
      <c r="G286" s="7" t="s">
        <v>46</v>
      </c>
      <c r="H286" s="7">
        <v>2.0</v>
      </c>
      <c r="I286" s="7">
        <v>9.0</v>
      </c>
      <c r="J286" s="7">
        <v>4.5</v>
      </c>
      <c r="K286" s="7" t="s">
        <v>58</v>
      </c>
      <c r="L286" s="9" t="str">
        <f>VLOOKUP(K286, 'Alphabetical by species code'!A:B, 2, FALSE)</f>
        <v>Crassula connata</v>
      </c>
      <c r="M286" s="9" t="str">
        <f>VLOOKUP(L286, 'Alphabetical by species code'!B:C, 2, FALSE)</f>
        <v>Native</v>
      </c>
    </row>
    <row r="287">
      <c r="A287" s="7">
        <v>3.0</v>
      </c>
      <c r="B287" s="7">
        <v>2025.0</v>
      </c>
      <c r="C287" s="10">
        <v>45755.0</v>
      </c>
      <c r="D287" s="7" t="s">
        <v>54</v>
      </c>
      <c r="E287" s="7" t="s">
        <v>26</v>
      </c>
      <c r="F287" s="7">
        <v>3.0</v>
      </c>
      <c r="G287" s="7" t="s">
        <v>46</v>
      </c>
      <c r="H287" s="7">
        <v>2.0</v>
      </c>
      <c r="I287" s="7">
        <v>10.0</v>
      </c>
      <c r="J287" s="7">
        <v>5.0</v>
      </c>
      <c r="K287" s="7" t="s">
        <v>28</v>
      </c>
      <c r="L287" s="9" t="str">
        <f>VLOOKUP(K287, 'Alphabetical by species code'!A:B, 2, FALSE)</f>
        <v>Litter</v>
      </c>
      <c r="M287" s="9" t="str">
        <f>VLOOKUP(L287, 'Alphabetical by species code'!B:C, 2, FALSE)</f>
        <v>Ground Cover</v>
      </c>
    </row>
    <row r="288">
      <c r="A288" s="7">
        <v>3.0</v>
      </c>
      <c r="B288" s="7">
        <v>2025.0</v>
      </c>
      <c r="C288" s="10">
        <v>45755.0</v>
      </c>
      <c r="D288" s="7" t="s">
        <v>54</v>
      </c>
      <c r="E288" s="7" t="s">
        <v>26</v>
      </c>
      <c r="F288" s="7">
        <v>3.0</v>
      </c>
      <c r="G288" s="7" t="s">
        <v>46</v>
      </c>
      <c r="H288" s="7">
        <v>2.0</v>
      </c>
      <c r="I288" s="7">
        <v>10.0</v>
      </c>
      <c r="J288" s="7">
        <v>5.0</v>
      </c>
      <c r="K288" s="7" t="s">
        <v>58</v>
      </c>
      <c r="L288" s="9" t="str">
        <f>VLOOKUP(K288, 'Alphabetical by species code'!A:B, 2, FALSE)</f>
        <v>Crassula connata</v>
      </c>
      <c r="M288" s="9" t="str">
        <f>VLOOKUP(L288, 'Alphabetical by species code'!B:C, 2, FALSE)</f>
        <v>Native</v>
      </c>
    </row>
    <row r="289">
      <c r="A289" s="7">
        <v>3.0</v>
      </c>
      <c r="B289" s="7">
        <v>2025.0</v>
      </c>
      <c r="C289" s="10">
        <v>45755.0</v>
      </c>
      <c r="D289" s="7" t="s">
        <v>54</v>
      </c>
      <c r="E289" s="7" t="s">
        <v>26</v>
      </c>
      <c r="F289" s="7">
        <v>3.0</v>
      </c>
      <c r="G289" s="7" t="s">
        <v>46</v>
      </c>
      <c r="H289" s="7">
        <v>2.0</v>
      </c>
      <c r="I289" s="7">
        <v>10.0</v>
      </c>
      <c r="J289" s="7">
        <v>5.0</v>
      </c>
      <c r="K289" s="7" t="s">
        <v>34</v>
      </c>
      <c r="L289" s="9" t="str">
        <f>VLOOKUP(K289, 'Alphabetical by species code'!A:B, 2, FALSE)</f>
        <v>Erodium cicutarium</v>
      </c>
      <c r="M289" s="9" t="str">
        <f>VLOOKUP(L289, 'Alphabetical by species code'!B:C, 2, FALSE)</f>
        <v>Non-Native</v>
      </c>
    </row>
    <row r="290">
      <c r="A290" s="7">
        <v>3.0</v>
      </c>
      <c r="B290" s="7">
        <v>2025.0</v>
      </c>
      <c r="C290" s="10">
        <v>45755.0</v>
      </c>
      <c r="D290" s="7" t="s">
        <v>54</v>
      </c>
      <c r="E290" s="7" t="s">
        <v>26</v>
      </c>
      <c r="F290" s="7">
        <v>3.0</v>
      </c>
      <c r="G290" s="7" t="s">
        <v>46</v>
      </c>
      <c r="H290" s="7">
        <v>2.0</v>
      </c>
      <c r="I290" s="7">
        <v>10.0</v>
      </c>
      <c r="J290" s="7">
        <v>5.0</v>
      </c>
      <c r="K290" s="7" t="s">
        <v>55</v>
      </c>
      <c r="L290" s="9" t="str">
        <f>VLOOKUP(K290, 'Alphabetical by species code'!A:B, 2, FALSE)</f>
        <v>Daucus pusillus</v>
      </c>
      <c r="M290" s="9" t="str">
        <f>VLOOKUP(L290, 'Alphabetical by species code'!B:C, 2, FALSE)</f>
        <v>Native</v>
      </c>
    </row>
    <row r="291">
      <c r="A291" s="7">
        <v>3.0</v>
      </c>
      <c r="B291" s="7">
        <v>2025.0</v>
      </c>
      <c r="C291" s="10">
        <v>45755.0</v>
      </c>
      <c r="D291" s="7" t="s">
        <v>54</v>
      </c>
      <c r="E291" s="7" t="s">
        <v>26</v>
      </c>
      <c r="F291" s="7">
        <v>3.0</v>
      </c>
      <c r="G291" s="7" t="s">
        <v>46</v>
      </c>
      <c r="H291" s="7">
        <v>2.0</v>
      </c>
      <c r="I291" s="7">
        <v>10.0</v>
      </c>
      <c r="J291" s="7">
        <v>5.0</v>
      </c>
      <c r="K291" s="7" t="s">
        <v>35</v>
      </c>
      <c r="L291" s="9" t="str">
        <f>VLOOKUP(K291, 'Alphabetical by species code'!A:B, 2, FALSE)</f>
        <v>Deinandra fasciculata</v>
      </c>
      <c r="M291" s="9" t="str">
        <f>VLOOKUP(L291, 'Alphabetical by species code'!B:C, 2, FALSE)</f>
        <v>Native</v>
      </c>
    </row>
    <row r="292">
      <c r="A292" s="7">
        <v>3.0</v>
      </c>
      <c r="B292" s="7">
        <v>2025.0</v>
      </c>
      <c r="C292" s="10">
        <v>45755.0</v>
      </c>
      <c r="D292" s="7" t="s">
        <v>54</v>
      </c>
      <c r="E292" s="7" t="s">
        <v>26</v>
      </c>
      <c r="F292" s="7">
        <v>3.0</v>
      </c>
      <c r="G292" s="7" t="s">
        <v>46</v>
      </c>
      <c r="H292" s="7">
        <v>2.0</v>
      </c>
      <c r="I292" s="7">
        <v>11.0</v>
      </c>
      <c r="J292" s="7">
        <v>5.5</v>
      </c>
      <c r="K292" s="7" t="s">
        <v>41</v>
      </c>
      <c r="L292" s="9" t="str">
        <f>VLOOKUP(K292, 'Alphabetical by species code'!A:B, 2, FALSE)</f>
        <v>Stem</v>
      </c>
      <c r="M292" s="9" t="str">
        <f>VLOOKUP(L292, 'Alphabetical by species code'!B:C, 2, FALSE)</f>
        <v>Ground Cover</v>
      </c>
    </row>
    <row r="293">
      <c r="A293" s="7">
        <v>3.0</v>
      </c>
      <c r="B293" s="7">
        <v>2025.0</v>
      </c>
      <c r="C293" s="10">
        <v>45755.0</v>
      </c>
      <c r="D293" s="7" t="s">
        <v>54</v>
      </c>
      <c r="E293" s="7" t="s">
        <v>26</v>
      </c>
      <c r="F293" s="7">
        <v>3.0</v>
      </c>
      <c r="G293" s="7" t="s">
        <v>46</v>
      </c>
      <c r="H293" s="7">
        <v>2.0</v>
      </c>
      <c r="I293" s="7">
        <v>11.0</v>
      </c>
      <c r="J293" s="7">
        <v>5.5</v>
      </c>
      <c r="K293" s="7" t="s">
        <v>34</v>
      </c>
      <c r="L293" s="9" t="str">
        <f>VLOOKUP(K293, 'Alphabetical by species code'!A:B, 2, FALSE)</f>
        <v>Erodium cicutarium</v>
      </c>
      <c r="M293" s="9" t="str">
        <f>VLOOKUP(L293, 'Alphabetical by species code'!B:C, 2, FALSE)</f>
        <v>Non-Native</v>
      </c>
    </row>
    <row r="294">
      <c r="A294" s="7">
        <v>3.0</v>
      </c>
      <c r="B294" s="7">
        <v>2025.0</v>
      </c>
      <c r="C294" s="10">
        <v>45755.0</v>
      </c>
      <c r="D294" s="7" t="s">
        <v>54</v>
      </c>
      <c r="E294" s="7" t="s">
        <v>26</v>
      </c>
      <c r="F294" s="7">
        <v>3.0</v>
      </c>
      <c r="G294" s="7" t="s">
        <v>46</v>
      </c>
      <c r="H294" s="7">
        <v>2.0</v>
      </c>
      <c r="I294" s="7">
        <v>11.0</v>
      </c>
      <c r="J294" s="7">
        <v>5.5</v>
      </c>
      <c r="K294" s="7" t="s">
        <v>55</v>
      </c>
      <c r="L294" s="9" t="str">
        <f>VLOOKUP(K294, 'Alphabetical by species code'!A:B, 2, FALSE)</f>
        <v>Daucus pusillus</v>
      </c>
      <c r="M294" s="9" t="str">
        <f>VLOOKUP(L294, 'Alphabetical by species code'!B:C, 2, FALSE)</f>
        <v>Native</v>
      </c>
    </row>
    <row r="295">
      <c r="A295" s="7">
        <v>3.0</v>
      </c>
      <c r="B295" s="7">
        <v>2025.0</v>
      </c>
      <c r="C295" s="10">
        <v>45755.0</v>
      </c>
      <c r="D295" s="7" t="s">
        <v>54</v>
      </c>
      <c r="E295" s="7" t="s">
        <v>26</v>
      </c>
      <c r="F295" s="7">
        <v>3.0</v>
      </c>
      <c r="G295" s="7" t="s">
        <v>46</v>
      </c>
      <c r="H295" s="7">
        <v>2.0</v>
      </c>
      <c r="I295" s="7">
        <v>11.0</v>
      </c>
      <c r="J295" s="7">
        <v>5.5</v>
      </c>
      <c r="K295" s="7" t="s">
        <v>35</v>
      </c>
      <c r="L295" s="9" t="str">
        <f>VLOOKUP(K295, 'Alphabetical by species code'!A:B, 2, FALSE)</f>
        <v>Deinandra fasciculata</v>
      </c>
      <c r="M295" s="9" t="str">
        <f>VLOOKUP(L295, 'Alphabetical by species code'!B:C, 2, FALSE)</f>
        <v>Native</v>
      </c>
    </row>
    <row r="296">
      <c r="A296" s="7">
        <v>3.0</v>
      </c>
      <c r="B296" s="7">
        <v>2025.0</v>
      </c>
      <c r="C296" s="10">
        <v>45755.0</v>
      </c>
      <c r="D296" s="7" t="s">
        <v>54</v>
      </c>
      <c r="E296" s="7" t="s">
        <v>26</v>
      </c>
      <c r="F296" s="7">
        <v>3.0</v>
      </c>
      <c r="G296" s="7" t="s">
        <v>46</v>
      </c>
      <c r="H296" s="7">
        <v>2.0</v>
      </c>
      <c r="I296" s="7">
        <v>11.0</v>
      </c>
      <c r="J296" s="7">
        <v>5.5</v>
      </c>
      <c r="K296" s="7" t="s">
        <v>32</v>
      </c>
      <c r="L296" s="9" t="str">
        <f>VLOOKUP(K296, 'Alphabetical by species code'!A:B, 2, FALSE)</f>
        <v>Medicago polymorpha</v>
      </c>
      <c r="M296" s="9" t="str">
        <f>VLOOKUP(L296, 'Alphabetical by species code'!B:C, 2, FALSE)</f>
        <v>Non-Native</v>
      </c>
    </row>
    <row r="297">
      <c r="A297" s="7">
        <v>3.0</v>
      </c>
      <c r="B297" s="7">
        <v>2025.0</v>
      </c>
      <c r="C297" s="10">
        <v>45755.0</v>
      </c>
      <c r="D297" s="7" t="s">
        <v>54</v>
      </c>
      <c r="E297" s="7" t="s">
        <v>26</v>
      </c>
      <c r="F297" s="7">
        <v>3.0</v>
      </c>
      <c r="G297" s="7" t="s">
        <v>46</v>
      </c>
      <c r="H297" s="7">
        <v>2.0</v>
      </c>
      <c r="I297" s="7">
        <v>12.0</v>
      </c>
      <c r="J297" s="7">
        <v>6.0</v>
      </c>
      <c r="K297" s="7" t="s">
        <v>28</v>
      </c>
      <c r="L297" s="9" t="str">
        <f>VLOOKUP(K297, 'Alphabetical by species code'!A:B, 2, FALSE)</f>
        <v>Litter</v>
      </c>
      <c r="M297" s="9" t="str">
        <f>VLOOKUP(L297, 'Alphabetical by species code'!B:C, 2, FALSE)</f>
        <v>Ground Cover</v>
      </c>
    </row>
    <row r="298">
      <c r="A298" s="7">
        <v>3.0</v>
      </c>
      <c r="B298" s="7">
        <v>2025.0</v>
      </c>
      <c r="C298" s="10">
        <v>45755.0</v>
      </c>
      <c r="D298" s="7" t="s">
        <v>54</v>
      </c>
      <c r="E298" s="7" t="s">
        <v>26</v>
      </c>
      <c r="F298" s="7">
        <v>3.0</v>
      </c>
      <c r="G298" s="7" t="s">
        <v>46</v>
      </c>
      <c r="H298" s="7">
        <v>2.0</v>
      </c>
      <c r="I298" s="7">
        <v>12.0</v>
      </c>
      <c r="J298" s="7">
        <v>6.0</v>
      </c>
      <c r="K298" s="7" t="s">
        <v>58</v>
      </c>
      <c r="L298" s="9" t="str">
        <f>VLOOKUP(K298, 'Alphabetical by species code'!A:B, 2, FALSE)</f>
        <v>Crassula connata</v>
      </c>
      <c r="M298" s="9" t="str">
        <f>VLOOKUP(L298, 'Alphabetical by species code'!B:C, 2, FALSE)</f>
        <v>Native</v>
      </c>
    </row>
    <row r="299">
      <c r="A299" s="7">
        <v>3.0</v>
      </c>
      <c r="B299" s="7">
        <v>2025.0</v>
      </c>
      <c r="C299" s="10">
        <v>45755.0</v>
      </c>
      <c r="D299" s="7" t="s">
        <v>54</v>
      </c>
      <c r="E299" s="7" t="s">
        <v>26</v>
      </c>
      <c r="F299" s="7">
        <v>3.0</v>
      </c>
      <c r="G299" s="7" t="s">
        <v>46</v>
      </c>
      <c r="H299" s="7">
        <v>2.0</v>
      </c>
      <c r="I299" s="7">
        <v>12.0</v>
      </c>
      <c r="J299" s="7">
        <v>6.0</v>
      </c>
      <c r="K299" s="7" t="s">
        <v>35</v>
      </c>
      <c r="L299" s="9" t="str">
        <f>VLOOKUP(K299, 'Alphabetical by species code'!A:B, 2, FALSE)</f>
        <v>Deinandra fasciculata</v>
      </c>
      <c r="M299" s="9" t="str">
        <f>VLOOKUP(L299, 'Alphabetical by species code'!B:C, 2, FALSE)</f>
        <v>Native</v>
      </c>
    </row>
    <row r="300">
      <c r="A300" s="7">
        <v>3.0</v>
      </c>
      <c r="B300" s="7">
        <v>2025.0</v>
      </c>
      <c r="C300" s="10">
        <v>45755.0</v>
      </c>
      <c r="D300" s="7" t="s">
        <v>54</v>
      </c>
      <c r="E300" s="7" t="s">
        <v>26</v>
      </c>
      <c r="F300" s="7">
        <v>3.0</v>
      </c>
      <c r="G300" s="7" t="s">
        <v>46</v>
      </c>
      <c r="H300" s="7">
        <v>2.0</v>
      </c>
      <c r="I300" s="7">
        <v>12.0</v>
      </c>
      <c r="J300" s="7">
        <v>6.0</v>
      </c>
      <c r="K300" s="7" t="s">
        <v>31</v>
      </c>
      <c r="L300" s="9" t="str">
        <f>VLOOKUP(K300, 'Alphabetical by species code'!A:B, 2, FALSE)</f>
        <v>Festuca myuros</v>
      </c>
      <c r="M300" s="9" t="str">
        <f>VLOOKUP(L300, 'Alphabetical by species code'!B:C, 2, FALSE)</f>
        <v>Non-Native</v>
      </c>
    </row>
    <row r="301">
      <c r="A301" s="7">
        <v>3.0</v>
      </c>
      <c r="B301" s="7">
        <v>2025.0</v>
      </c>
      <c r="C301" s="10">
        <v>45755.0</v>
      </c>
      <c r="D301" s="7" t="s">
        <v>54</v>
      </c>
      <c r="E301" s="7" t="s">
        <v>26</v>
      </c>
      <c r="F301" s="7">
        <v>3.0</v>
      </c>
      <c r="G301" s="7" t="s">
        <v>46</v>
      </c>
      <c r="H301" s="7">
        <v>2.0</v>
      </c>
      <c r="I301" s="7">
        <v>13.0</v>
      </c>
      <c r="J301" s="7">
        <v>6.5</v>
      </c>
      <c r="K301" s="7" t="s">
        <v>51</v>
      </c>
      <c r="L301" s="9" t="str">
        <f>VLOOKUP(K301, 'Alphabetical by species code'!A:B, 2, FALSE)</f>
        <v>Bareground</v>
      </c>
      <c r="M301" s="9" t="str">
        <f>VLOOKUP(L301, 'Alphabetical by species code'!B:C, 2, FALSE)</f>
        <v>Ground Cover</v>
      </c>
    </row>
    <row r="302">
      <c r="A302" s="7">
        <v>3.0</v>
      </c>
      <c r="B302" s="7">
        <v>2025.0</v>
      </c>
      <c r="C302" s="10">
        <v>45755.0</v>
      </c>
      <c r="D302" s="7" t="s">
        <v>54</v>
      </c>
      <c r="E302" s="7" t="s">
        <v>26</v>
      </c>
      <c r="F302" s="7">
        <v>3.0</v>
      </c>
      <c r="G302" s="7" t="s">
        <v>46</v>
      </c>
      <c r="H302" s="7">
        <v>2.0</v>
      </c>
      <c r="I302" s="7">
        <v>13.0</v>
      </c>
      <c r="J302" s="7">
        <v>6.5</v>
      </c>
      <c r="K302" s="7" t="s">
        <v>31</v>
      </c>
      <c r="L302" s="9" t="str">
        <f>VLOOKUP(K302, 'Alphabetical by species code'!A:B, 2, FALSE)</f>
        <v>Festuca myuros</v>
      </c>
      <c r="M302" s="9" t="str">
        <f>VLOOKUP(L302, 'Alphabetical by species code'!B:C, 2, FALSE)</f>
        <v>Non-Native</v>
      </c>
    </row>
    <row r="303">
      <c r="A303" s="7">
        <v>3.0</v>
      </c>
      <c r="B303" s="7">
        <v>2025.0</v>
      </c>
      <c r="C303" s="10">
        <v>45755.0</v>
      </c>
      <c r="D303" s="7" t="s">
        <v>54</v>
      </c>
      <c r="E303" s="7" t="s">
        <v>26</v>
      </c>
      <c r="F303" s="7">
        <v>3.0</v>
      </c>
      <c r="G303" s="7" t="s">
        <v>46</v>
      </c>
      <c r="H303" s="7">
        <v>2.0</v>
      </c>
      <c r="I303" s="7">
        <v>14.0</v>
      </c>
      <c r="J303" s="7">
        <v>7.0</v>
      </c>
      <c r="K303" s="7" t="s">
        <v>41</v>
      </c>
      <c r="L303" s="9" t="str">
        <f>VLOOKUP(K303, 'Alphabetical by species code'!A:B, 2, FALSE)</f>
        <v>Stem</v>
      </c>
      <c r="M303" s="9" t="str">
        <f>VLOOKUP(L303, 'Alphabetical by species code'!B:C, 2, FALSE)</f>
        <v>Ground Cover</v>
      </c>
    </row>
    <row r="304">
      <c r="A304" s="7">
        <v>3.0</v>
      </c>
      <c r="B304" s="7">
        <v>2025.0</v>
      </c>
      <c r="C304" s="10">
        <v>45755.0</v>
      </c>
      <c r="D304" s="7" t="s">
        <v>54</v>
      </c>
      <c r="E304" s="7" t="s">
        <v>26</v>
      </c>
      <c r="F304" s="7">
        <v>3.0</v>
      </c>
      <c r="G304" s="7" t="s">
        <v>46</v>
      </c>
      <c r="H304" s="7">
        <v>2.0</v>
      </c>
      <c r="I304" s="7">
        <v>14.0</v>
      </c>
      <c r="J304" s="7">
        <v>7.0</v>
      </c>
      <c r="K304" s="7" t="s">
        <v>29</v>
      </c>
      <c r="L304" s="9" t="str">
        <f>VLOOKUP(K304, 'Alphabetical by species code'!A:B, 2, FALSE)</f>
        <v>Opuntia littoralis</v>
      </c>
      <c r="M304" s="9" t="str">
        <f>VLOOKUP(L304, 'Alphabetical by species code'!B:C, 2, FALSE)</f>
        <v>Native</v>
      </c>
    </row>
    <row r="305">
      <c r="A305" s="7">
        <v>3.0</v>
      </c>
      <c r="B305" s="7">
        <v>2025.0</v>
      </c>
      <c r="C305" s="10">
        <v>45755.0</v>
      </c>
      <c r="D305" s="7" t="s">
        <v>54</v>
      </c>
      <c r="E305" s="7" t="s">
        <v>26</v>
      </c>
      <c r="F305" s="7">
        <v>3.0</v>
      </c>
      <c r="G305" s="7" t="s">
        <v>46</v>
      </c>
      <c r="H305" s="7">
        <v>2.0</v>
      </c>
      <c r="I305" s="7">
        <v>15.0</v>
      </c>
      <c r="J305" s="7">
        <v>7.5</v>
      </c>
      <c r="K305" s="7" t="s">
        <v>60</v>
      </c>
      <c r="L305" s="9" t="str">
        <f>VLOOKUP(K305, 'Alphabetical by species code'!A:B, 2, FALSE)</f>
        <v>Moss</v>
      </c>
      <c r="M305" s="9" t="str">
        <f>VLOOKUP(L305, 'Alphabetical by species code'!B:C, 2, FALSE)</f>
        <v>Ground Cover</v>
      </c>
    </row>
    <row r="306">
      <c r="A306" s="7">
        <v>3.0</v>
      </c>
      <c r="B306" s="7">
        <v>2025.0</v>
      </c>
      <c r="C306" s="10">
        <v>45755.0</v>
      </c>
      <c r="D306" s="7" t="s">
        <v>54</v>
      </c>
      <c r="E306" s="7" t="s">
        <v>26</v>
      </c>
      <c r="F306" s="7">
        <v>3.0</v>
      </c>
      <c r="G306" s="7" t="s">
        <v>46</v>
      </c>
      <c r="H306" s="7">
        <v>2.0</v>
      </c>
      <c r="I306" s="7">
        <v>15.0</v>
      </c>
      <c r="J306" s="7">
        <v>7.5</v>
      </c>
      <c r="K306" s="7" t="s">
        <v>50</v>
      </c>
      <c r="L306" s="9" t="str">
        <f>VLOOKUP(K306, 'Alphabetical by species code'!A:B, 2, FALSE)</f>
        <v>Crypantha maritima</v>
      </c>
      <c r="M306" s="9" t="str">
        <f>VLOOKUP(L306, 'Alphabetical by species code'!B:C, 2, FALSE)</f>
        <v>Native</v>
      </c>
    </row>
    <row r="307">
      <c r="A307" s="7">
        <v>3.0</v>
      </c>
      <c r="B307" s="7">
        <v>2025.0</v>
      </c>
      <c r="C307" s="10">
        <v>45755.0</v>
      </c>
      <c r="D307" s="7" t="s">
        <v>54</v>
      </c>
      <c r="E307" s="7" t="s">
        <v>26</v>
      </c>
      <c r="F307" s="7">
        <v>3.0</v>
      </c>
      <c r="G307" s="7" t="s">
        <v>46</v>
      </c>
      <c r="H307" s="7">
        <v>2.0</v>
      </c>
      <c r="I307" s="7">
        <v>15.0</v>
      </c>
      <c r="J307" s="7">
        <v>7.5</v>
      </c>
      <c r="K307" s="7" t="s">
        <v>55</v>
      </c>
      <c r="L307" s="9" t="str">
        <f>VLOOKUP(K307, 'Alphabetical by species code'!A:B, 2, FALSE)</f>
        <v>Daucus pusillus</v>
      </c>
      <c r="M307" s="9" t="str">
        <f>VLOOKUP(L307, 'Alphabetical by species code'!B:C, 2, FALSE)</f>
        <v>Native</v>
      </c>
    </row>
    <row r="308">
      <c r="A308" s="7">
        <v>4.0</v>
      </c>
      <c r="B308" s="7">
        <v>2025.0</v>
      </c>
      <c r="C308" s="10">
        <v>45755.0</v>
      </c>
      <c r="D308" s="7" t="s">
        <v>54</v>
      </c>
      <c r="E308" s="7" t="s">
        <v>26</v>
      </c>
      <c r="F308" s="7">
        <v>3.0</v>
      </c>
      <c r="G308" s="7" t="s">
        <v>27</v>
      </c>
      <c r="H308" s="7">
        <v>1.0</v>
      </c>
      <c r="I308" s="7">
        <v>1.0</v>
      </c>
      <c r="J308" s="7">
        <v>0.0</v>
      </c>
      <c r="K308" s="7" t="s">
        <v>51</v>
      </c>
      <c r="L308" s="9" t="str">
        <f>VLOOKUP(K308, 'Alphabetical by species code'!A:B, 2, FALSE)</f>
        <v>Bareground</v>
      </c>
      <c r="M308" s="9" t="str">
        <f>VLOOKUP(L308, 'Alphabetical by species code'!B:C, 2, FALSE)</f>
        <v>Ground Cover</v>
      </c>
    </row>
    <row r="309">
      <c r="A309" s="7">
        <v>4.0</v>
      </c>
      <c r="B309" s="7">
        <v>2025.0</v>
      </c>
      <c r="C309" s="10">
        <v>45755.0</v>
      </c>
      <c r="D309" s="7" t="s">
        <v>54</v>
      </c>
      <c r="E309" s="7" t="s">
        <v>26</v>
      </c>
      <c r="F309" s="7">
        <v>3.0</v>
      </c>
      <c r="G309" s="7" t="s">
        <v>27</v>
      </c>
      <c r="H309" s="7">
        <v>1.0</v>
      </c>
      <c r="I309" s="7">
        <v>1.0</v>
      </c>
      <c r="J309" s="7">
        <v>0.0</v>
      </c>
      <c r="K309" s="7" t="s">
        <v>49</v>
      </c>
      <c r="L309" s="9" t="str">
        <f>VLOOKUP(K309, 'Alphabetical by species code'!A:B, 2, FALSE)</f>
        <v>Anagallis arvensis</v>
      </c>
      <c r="M309" s="9" t="str">
        <f>VLOOKUP(L309, 'Alphabetical by species code'!B:C, 2, FALSE)</f>
        <v>Non-Native</v>
      </c>
    </row>
    <row r="310">
      <c r="A310" s="7">
        <v>4.0</v>
      </c>
      <c r="B310" s="7">
        <v>2025.0</v>
      </c>
      <c r="C310" s="10">
        <v>45755.0</v>
      </c>
      <c r="D310" s="7" t="s">
        <v>54</v>
      </c>
      <c r="E310" s="7" t="s">
        <v>26</v>
      </c>
      <c r="F310" s="7">
        <v>3.0</v>
      </c>
      <c r="G310" s="7" t="s">
        <v>27</v>
      </c>
      <c r="H310" s="7">
        <v>1.0</v>
      </c>
      <c r="I310" s="7">
        <v>1.0</v>
      </c>
      <c r="J310" s="7">
        <v>0.0</v>
      </c>
      <c r="K310" s="7" t="s">
        <v>29</v>
      </c>
      <c r="L310" s="9" t="str">
        <f>VLOOKUP(K310, 'Alphabetical by species code'!A:B, 2, FALSE)</f>
        <v>Opuntia littoralis</v>
      </c>
      <c r="M310" s="9" t="str">
        <f>VLOOKUP(L310, 'Alphabetical by species code'!B:C, 2, FALSE)</f>
        <v>Native</v>
      </c>
    </row>
    <row r="311">
      <c r="A311" s="7">
        <v>4.0</v>
      </c>
      <c r="B311" s="7">
        <v>2025.0</v>
      </c>
      <c r="C311" s="10">
        <v>45755.0</v>
      </c>
      <c r="D311" s="7" t="s">
        <v>54</v>
      </c>
      <c r="E311" s="7" t="s">
        <v>26</v>
      </c>
      <c r="F311" s="7">
        <v>3.0</v>
      </c>
      <c r="G311" s="7" t="s">
        <v>27</v>
      </c>
      <c r="H311" s="7">
        <v>1.0</v>
      </c>
      <c r="I311" s="7">
        <v>1.0</v>
      </c>
      <c r="J311" s="7">
        <v>0.0</v>
      </c>
      <c r="K311" s="7" t="s">
        <v>37</v>
      </c>
      <c r="L311" s="9" t="str">
        <f>VLOOKUP(K311, 'Alphabetical by species code'!A:B, 2, FALSE)</f>
        <v>Sonchus oleraceus</v>
      </c>
      <c r="M311" s="9" t="str">
        <f>VLOOKUP(L311, 'Alphabetical by species code'!B:C, 2, FALSE)</f>
        <v>Non-Native</v>
      </c>
    </row>
    <row r="312">
      <c r="A312" s="7">
        <v>4.0</v>
      </c>
      <c r="B312" s="7">
        <v>2025.0</v>
      </c>
      <c r="C312" s="10">
        <v>45755.0</v>
      </c>
      <c r="D312" s="7" t="s">
        <v>54</v>
      </c>
      <c r="E312" s="7" t="s">
        <v>26</v>
      </c>
      <c r="F312" s="7">
        <v>3.0</v>
      </c>
      <c r="G312" s="7" t="s">
        <v>27</v>
      </c>
      <c r="H312" s="7">
        <v>1.0</v>
      </c>
      <c r="I312" s="7">
        <v>1.0</v>
      </c>
      <c r="J312" s="7">
        <v>0.0</v>
      </c>
      <c r="K312" s="7" t="s">
        <v>35</v>
      </c>
      <c r="L312" s="9" t="str">
        <f>VLOOKUP(K312, 'Alphabetical by species code'!A:B, 2, FALSE)</f>
        <v>Deinandra fasciculata</v>
      </c>
      <c r="M312" s="9" t="str">
        <f>VLOOKUP(L312, 'Alphabetical by species code'!B:C, 2, FALSE)</f>
        <v>Native</v>
      </c>
    </row>
    <row r="313">
      <c r="A313" s="7">
        <v>4.0</v>
      </c>
      <c r="B313" s="7">
        <v>2025.0</v>
      </c>
      <c r="C313" s="10">
        <v>45755.0</v>
      </c>
      <c r="D313" s="7" t="s">
        <v>54</v>
      </c>
      <c r="E313" s="7" t="s">
        <v>26</v>
      </c>
      <c r="F313" s="7">
        <v>3.0</v>
      </c>
      <c r="G313" s="7" t="s">
        <v>27</v>
      </c>
      <c r="H313" s="7">
        <v>1.0</v>
      </c>
      <c r="I313" s="7">
        <v>2.0</v>
      </c>
      <c r="J313" s="7">
        <v>0.5</v>
      </c>
      <c r="K313" s="7" t="s">
        <v>28</v>
      </c>
      <c r="L313" s="9" t="str">
        <f>VLOOKUP(K313, 'Alphabetical by species code'!A:B, 2, FALSE)</f>
        <v>Litter</v>
      </c>
      <c r="M313" s="9" t="str">
        <f>VLOOKUP(L313, 'Alphabetical by species code'!B:C, 2, FALSE)</f>
        <v>Ground Cover</v>
      </c>
    </row>
    <row r="314">
      <c r="A314" s="7">
        <v>4.0</v>
      </c>
      <c r="B314" s="7">
        <v>2025.0</v>
      </c>
      <c r="C314" s="10">
        <v>45755.0</v>
      </c>
      <c r="D314" s="7" t="s">
        <v>54</v>
      </c>
      <c r="E314" s="7" t="s">
        <v>26</v>
      </c>
      <c r="F314" s="7">
        <v>3.0</v>
      </c>
      <c r="G314" s="7" t="s">
        <v>27</v>
      </c>
      <c r="H314" s="7">
        <v>1.0</v>
      </c>
      <c r="I314" s="7">
        <v>2.0</v>
      </c>
      <c r="J314" s="7">
        <v>0.5</v>
      </c>
      <c r="K314" s="7" t="s">
        <v>31</v>
      </c>
      <c r="L314" s="9" t="str">
        <f>VLOOKUP(K314, 'Alphabetical by species code'!A:B, 2, FALSE)</f>
        <v>Festuca myuros</v>
      </c>
      <c r="M314" s="9" t="str">
        <f>VLOOKUP(L314, 'Alphabetical by species code'!B:C, 2, FALSE)</f>
        <v>Non-Native</v>
      </c>
    </row>
    <row r="315">
      <c r="A315" s="7">
        <v>4.0</v>
      </c>
      <c r="B315" s="7">
        <v>2025.0</v>
      </c>
      <c r="C315" s="10">
        <v>45755.0</v>
      </c>
      <c r="D315" s="7" t="s">
        <v>54</v>
      </c>
      <c r="E315" s="7" t="s">
        <v>26</v>
      </c>
      <c r="F315" s="7">
        <v>3.0</v>
      </c>
      <c r="G315" s="7" t="s">
        <v>27</v>
      </c>
      <c r="H315" s="7">
        <v>1.0</v>
      </c>
      <c r="I315" s="7">
        <v>3.0</v>
      </c>
      <c r="J315" s="7">
        <v>1.0</v>
      </c>
      <c r="K315" s="7" t="s">
        <v>28</v>
      </c>
      <c r="L315" s="9" t="str">
        <f>VLOOKUP(K315, 'Alphabetical by species code'!A:B, 2, FALSE)</f>
        <v>Litter</v>
      </c>
      <c r="M315" s="9" t="str">
        <f>VLOOKUP(L315, 'Alphabetical by species code'!B:C, 2, FALSE)</f>
        <v>Ground Cover</v>
      </c>
    </row>
    <row r="316">
      <c r="A316" s="7">
        <v>4.0</v>
      </c>
      <c r="B316" s="7">
        <v>2025.0</v>
      </c>
      <c r="C316" s="10">
        <v>45755.0</v>
      </c>
      <c r="D316" s="7" t="s">
        <v>54</v>
      </c>
      <c r="E316" s="7" t="s">
        <v>26</v>
      </c>
      <c r="F316" s="7">
        <v>3.0</v>
      </c>
      <c r="G316" s="7" t="s">
        <v>27</v>
      </c>
      <c r="H316" s="7">
        <v>1.0</v>
      </c>
      <c r="I316" s="7">
        <v>3.0</v>
      </c>
      <c r="J316" s="7">
        <v>1.0</v>
      </c>
      <c r="K316" s="7" t="s">
        <v>31</v>
      </c>
      <c r="L316" s="9" t="str">
        <f>VLOOKUP(K316, 'Alphabetical by species code'!A:B, 2, FALSE)</f>
        <v>Festuca myuros</v>
      </c>
      <c r="M316" s="9" t="str">
        <f>VLOOKUP(L316, 'Alphabetical by species code'!B:C, 2, FALSE)</f>
        <v>Non-Native</v>
      </c>
    </row>
    <row r="317">
      <c r="A317" s="7">
        <v>4.0</v>
      </c>
      <c r="B317" s="7">
        <v>2025.0</v>
      </c>
      <c r="C317" s="10">
        <v>45755.0</v>
      </c>
      <c r="D317" s="7" t="s">
        <v>54</v>
      </c>
      <c r="E317" s="7" t="s">
        <v>26</v>
      </c>
      <c r="F317" s="7">
        <v>3.0</v>
      </c>
      <c r="G317" s="7" t="s">
        <v>27</v>
      </c>
      <c r="H317" s="7">
        <v>1.0</v>
      </c>
      <c r="I317" s="7">
        <v>3.0</v>
      </c>
      <c r="J317" s="7">
        <v>1.0</v>
      </c>
      <c r="K317" s="7" t="s">
        <v>36</v>
      </c>
      <c r="L317" s="9" t="str">
        <f>VLOOKUP(K317, 'Alphabetical by species code'!A:B, 2, FALSE)</f>
        <v>Bromus madritensis</v>
      </c>
      <c r="M317" s="9" t="str">
        <f>VLOOKUP(L317, 'Alphabetical by species code'!B:C, 2, FALSE)</f>
        <v>Non-Native</v>
      </c>
    </row>
    <row r="318">
      <c r="A318" s="7">
        <v>4.0</v>
      </c>
      <c r="B318" s="7">
        <v>2025.0</v>
      </c>
      <c r="C318" s="10">
        <v>45755.0</v>
      </c>
      <c r="D318" s="7" t="s">
        <v>54</v>
      </c>
      <c r="E318" s="7" t="s">
        <v>26</v>
      </c>
      <c r="F318" s="7">
        <v>3.0</v>
      </c>
      <c r="G318" s="7" t="s">
        <v>27</v>
      </c>
      <c r="H318" s="7">
        <v>1.0</v>
      </c>
      <c r="I318" s="7">
        <v>3.0</v>
      </c>
      <c r="J318" s="7">
        <v>1.0</v>
      </c>
      <c r="K318" s="7" t="s">
        <v>34</v>
      </c>
      <c r="L318" s="9" t="str">
        <f>VLOOKUP(K318, 'Alphabetical by species code'!A:B, 2, FALSE)</f>
        <v>Erodium cicutarium</v>
      </c>
      <c r="M318" s="9" t="str">
        <f>VLOOKUP(L318, 'Alphabetical by species code'!B:C, 2, FALSE)</f>
        <v>Non-Native</v>
      </c>
    </row>
    <row r="319">
      <c r="A319" s="7">
        <v>4.0</v>
      </c>
      <c r="B319" s="7">
        <v>2025.0</v>
      </c>
      <c r="C319" s="10">
        <v>45755.0</v>
      </c>
      <c r="D319" s="7" t="s">
        <v>54</v>
      </c>
      <c r="E319" s="7" t="s">
        <v>26</v>
      </c>
      <c r="F319" s="7">
        <v>3.0</v>
      </c>
      <c r="G319" s="7" t="s">
        <v>27</v>
      </c>
      <c r="H319" s="7">
        <v>1.0</v>
      </c>
      <c r="I319" s="7">
        <v>4.0</v>
      </c>
      <c r="J319" s="7">
        <v>1.5</v>
      </c>
      <c r="K319" s="7" t="s">
        <v>51</v>
      </c>
      <c r="L319" s="9" t="str">
        <f>VLOOKUP(K319, 'Alphabetical by species code'!A:B, 2, FALSE)</f>
        <v>Bareground</v>
      </c>
      <c r="M319" s="9" t="str">
        <f>VLOOKUP(L319, 'Alphabetical by species code'!B:C, 2, FALSE)</f>
        <v>Ground Cover</v>
      </c>
    </row>
    <row r="320">
      <c r="A320" s="7">
        <v>4.0</v>
      </c>
      <c r="B320" s="7">
        <v>2025.0</v>
      </c>
      <c r="C320" s="10">
        <v>45755.0</v>
      </c>
      <c r="D320" s="7" t="s">
        <v>54</v>
      </c>
      <c r="E320" s="7" t="s">
        <v>26</v>
      </c>
      <c r="F320" s="7">
        <v>3.0</v>
      </c>
      <c r="G320" s="7" t="s">
        <v>27</v>
      </c>
      <c r="H320" s="7">
        <v>1.0</v>
      </c>
      <c r="I320" s="7">
        <v>4.0</v>
      </c>
      <c r="J320" s="7">
        <v>1.5</v>
      </c>
      <c r="K320" s="7" t="s">
        <v>37</v>
      </c>
      <c r="L320" s="9" t="str">
        <f>VLOOKUP(K320, 'Alphabetical by species code'!A:B, 2, FALSE)</f>
        <v>Sonchus oleraceus</v>
      </c>
      <c r="M320" s="9" t="str">
        <f>VLOOKUP(L320, 'Alphabetical by species code'!B:C, 2, FALSE)</f>
        <v>Non-Native</v>
      </c>
    </row>
    <row r="321">
      <c r="A321" s="7">
        <v>4.0</v>
      </c>
      <c r="B321" s="7">
        <v>2025.0</v>
      </c>
      <c r="C321" s="10">
        <v>45755.0</v>
      </c>
      <c r="D321" s="7" t="s">
        <v>54</v>
      </c>
      <c r="E321" s="7" t="s">
        <v>26</v>
      </c>
      <c r="F321" s="7">
        <v>3.0</v>
      </c>
      <c r="G321" s="7" t="s">
        <v>27</v>
      </c>
      <c r="H321" s="7">
        <v>1.0</v>
      </c>
      <c r="I321" s="7">
        <v>4.0</v>
      </c>
      <c r="J321" s="7">
        <v>1.5</v>
      </c>
      <c r="K321" s="7" t="s">
        <v>32</v>
      </c>
      <c r="L321" s="9" t="str">
        <f>VLOOKUP(K321, 'Alphabetical by species code'!A:B, 2, FALSE)</f>
        <v>Medicago polymorpha</v>
      </c>
      <c r="M321" s="9" t="str">
        <f>VLOOKUP(L321, 'Alphabetical by species code'!B:C, 2, FALSE)</f>
        <v>Non-Native</v>
      </c>
    </row>
    <row r="322">
      <c r="A322" s="7">
        <v>4.0</v>
      </c>
      <c r="B322" s="7">
        <v>2025.0</v>
      </c>
      <c r="C322" s="10">
        <v>45755.0</v>
      </c>
      <c r="D322" s="7" t="s">
        <v>54</v>
      </c>
      <c r="E322" s="7" t="s">
        <v>26</v>
      </c>
      <c r="F322" s="7">
        <v>3.0</v>
      </c>
      <c r="G322" s="7" t="s">
        <v>27</v>
      </c>
      <c r="H322" s="7">
        <v>1.0</v>
      </c>
      <c r="I322" s="7">
        <v>4.0</v>
      </c>
      <c r="J322" s="7">
        <v>1.5</v>
      </c>
      <c r="K322" s="7" t="s">
        <v>31</v>
      </c>
      <c r="L322" s="9" t="str">
        <f>VLOOKUP(K322, 'Alphabetical by species code'!A:B, 2, FALSE)</f>
        <v>Festuca myuros</v>
      </c>
      <c r="M322" s="9" t="str">
        <f>VLOOKUP(L322, 'Alphabetical by species code'!B:C, 2, FALSE)</f>
        <v>Non-Native</v>
      </c>
    </row>
    <row r="323">
      <c r="A323" s="7">
        <v>4.0</v>
      </c>
      <c r="B323" s="7">
        <v>2025.0</v>
      </c>
      <c r="C323" s="10">
        <v>45755.0</v>
      </c>
      <c r="D323" s="7" t="s">
        <v>54</v>
      </c>
      <c r="E323" s="7" t="s">
        <v>26</v>
      </c>
      <c r="F323" s="7">
        <v>3.0</v>
      </c>
      <c r="G323" s="7" t="s">
        <v>27</v>
      </c>
      <c r="H323" s="7">
        <v>1.0</v>
      </c>
      <c r="I323" s="7">
        <v>5.0</v>
      </c>
      <c r="J323" s="7">
        <v>2.0</v>
      </c>
      <c r="K323" s="7" t="s">
        <v>51</v>
      </c>
      <c r="L323" s="9" t="str">
        <f>VLOOKUP(K323, 'Alphabetical by species code'!A:B, 2, FALSE)</f>
        <v>Bareground</v>
      </c>
      <c r="M323" s="9" t="str">
        <f>VLOOKUP(L323, 'Alphabetical by species code'!B:C, 2, FALSE)</f>
        <v>Ground Cover</v>
      </c>
    </row>
    <row r="324">
      <c r="A324" s="7">
        <v>4.0</v>
      </c>
      <c r="B324" s="7">
        <v>2025.0</v>
      </c>
      <c r="C324" s="10">
        <v>45755.0</v>
      </c>
      <c r="D324" s="7" t="s">
        <v>54</v>
      </c>
      <c r="E324" s="7" t="s">
        <v>26</v>
      </c>
      <c r="F324" s="7">
        <v>3.0</v>
      </c>
      <c r="G324" s="7" t="s">
        <v>27</v>
      </c>
      <c r="H324" s="7">
        <v>1.0</v>
      </c>
      <c r="I324" s="7">
        <v>5.0</v>
      </c>
      <c r="J324" s="7">
        <v>2.0</v>
      </c>
      <c r="K324" s="7" t="s">
        <v>31</v>
      </c>
      <c r="L324" s="9" t="str">
        <f>VLOOKUP(K324, 'Alphabetical by species code'!A:B, 2, FALSE)</f>
        <v>Festuca myuros</v>
      </c>
      <c r="M324" s="9" t="str">
        <f>VLOOKUP(L324, 'Alphabetical by species code'!B:C, 2, FALSE)</f>
        <v>Non-Native</v>
      </c>
    </row>
    <row r="325">
      <c r="A325" s="7">
        <v>4.0</v>
      </c>
      <c r="B325" s="7">
        <v>2025.0</v>
      </c>
      <c r="C325" s="10">
        <v>45755.0</v>
      </c>
      <c r="D325" s="7" t="s">
        <v>54</v>
      </c>
      <c r="E325" s="7" t="s">
        <v>26</v>
      </c>
      <c r="F325" s="7">
        <v>3.0</v>
      </c>
      <c r="G325" s="7" t="s">
        <v>27</v>
      </c>
      <c r="H325" s="7">
        <v>1.0</v>
      </c>
      <c r="I325" s="7">
        <v>5.0</v>
      </c>
      <c r="J325" s="7">
        <v>2.0</v>
      </c>
      <c r="K325" s="7" t="s">
        <v>37</v>
      </c>
      <c r="L325" s="9" t="str">
        <f>VLOOKUP(K325, 'Alphabetical by species code'!A:B, 2, FALSE)</f>
        <v>Sonchus oleraceus</v>
      </c>
      <c r="M325" s="9" t="str">
        <f>VLOOKUP(L325, 'Alphabetical by species code'!B:C, 2, FALSE)</f>
        <v>Non-Native</v>
      </c>
    </row>
    <row r="326">
      <c r="A326" s="7">
        <v>4.0</v>
      </c>
      <c r="B326" s="7">
        <v>2025.0</v>
      </c>
      <c r="C326" s="10">
        <v>45755.0</v>
      </c>
      <c r="D326" s="7" t="s">
        <v>54</v>
      </c>
      <c r="E326" s="7" t="s">
        <v>26</v>
      </c>
      <c r="F326" s="7">
        <v>3.0</v>
      </c>
      <c r="G326" s="7" t="s">
        <v>27</v>
      </c>
      <c r="H326" s="7">
        <v>1.0</v>
      </c>
      <c r="I326" s="7">
        <v>6.0</v>
      </c>
      <c r="J326" s="7">
        <v>2.5</v>
      </c>
      <c r="K326" s="7" t="s">
        <v>41</v>
      </c>
      <c r="L326" s="9" t="str">
        <f>VLOOKUP(K326, 'Alphabetical by species code'!A:B, 2, FALSE)</f>
        <v>Stem</v>
      </c>
      <c r="M326" s="9" t="str">
        <f>VLOOKUP(L326, 'Alphabetical by species code'!B:C, 2, FALSE)</f>
        <v>Ground Cover</v>
      </c>
    </row>
    <row r="327">
      <c r="A327" s="7">
        <v>4.0</v>
      </c>
      <c r="B327" s="7">
        <v>2025.0</v>
      </c>
      <c r="C327" s="10">
        <v>45755.0</v>
      </c>
      <c r="D327" s="7" t="s">
        <v>54</v>
      </c>
      <c r="E327" s="7" t="s">
        <v>26</v>
      </c>
      <c r="F327" s="7">
        <v>3.0</v>
      </c>
      <c r="G327" s="7" t="s">
        <v>27</v>
      </c>
      <c r="H327" s="7">
        <v>1.0</v>
      </c>
      <c r="I327" s="7">
        <v>6.0</v>
      </c>
      <c r="J327" s="7">
        <v>2.5</v>
      </c>
      <c r="K327" s="7" t="s">
        <v>29</v>
      </c>
      <c r="L327" s="9" t="str">
        <f>VLOOKUP(K327, 'Alphabetical by species code'!A:B, 2, FALSE)</f>
        <v>Opuntia littoralis</v>
      </c>
      <c r="M327" s="9" t="str">
        <f>VLOOKUP(L327, 'Alphabetical by species code'!B:C, 2, FALSE)</f>
        <v>Native</v>
      </c>
    </row>
    <row r="328">
      <c r="A328" s="7">
        <v>4.0</v>
      </c>
      <c r="B328" s="7">
        <v>2025.0</v>
      </c>
      <c r="C328" s="10">
        <v>45755.0</v>
      </c>
      <c r="D328" s="7" t="s">
        <v>54</v>
      </c>
      <c r="E328" s="7" t="s">
        <v>26</v>
      </c>
      <c r="F328" s="7">
        <v>3.0</v>
      </c>
      <c r="G328" s="7" t="s">
        <v>27</v>
      </c>
      <c r="H328" s="7">
        <v>1.0</v>
      </c>
      <c r="I328" s="7">
        <v>7.0</v>
      </c>
      <c r="J328" s="7">
        <v>3.0</v>
      </c>
      <c r="K328" s="7" t="s">
        <v>51</v>
      </c>
      <c r="L328" s="9" t="str">
        <f>VLOOKUP(K328, 'Alphabetical by species code'!A:B, 2, FALSE)</f>
        <v>Bareground</v>
      </c>
      <c r="M328" s="9" t="str">
        <f>VLOOKUP(L328, 'Alphabetical by species code'!B:C, 2, FALSE)</f>
        <v>Ground Cover</v>
      </c>
    </row>
    <row r="329">
      <c r="A329" s="7">
        <v>4.0</v>
      </c>
      <c r="B329" s="7">
        <v>2025.0</v>
      </c>
      <c r="C329" s="10">
        <v>45755.0</v>
      </c>
      <c r="D329" s="7" t="s">
        <v>54</v>
      </c>
      <c r="E329" s="7" t="s">
        <v>26</v>
      </c>
      <c r="F329" s="7">
        <v>3.0</v>
      </c>
      <c r="G329" s="7" t="s">
        <v>27</v>
      </c>
      <c r="H329" s="7">
        <v>1.0</v>
      </c>
      <c r="I329" s="7">
        <v>7.0</v>
      </c>
      <c r="J329" s="7">
        <v>3.0</v>
      </c>
      <c r="K329" s="7" t="s">
        <v>31</v>
      </c>
      <c r="L329" s="9" t="str">
        <f>VLOOKUP(K329, 'Alphabetical by species code'!A:B, 2, FALSE)</f>
        <v>Festuca myuros</v>
      </c>
      <c r="M329" s="9" t="str">
        <f>VLOOKUP(L329, 'Alphabetical by species code'!B:C, 2, FALSE)</f>
        <v>Non-Native</v>
      </c>
    </row>
    <row r="330">
      <c r="A330" s="7">
        <v>4.0</v>
      </c>
      <c r="B330" s="7">
        <v>2025.0</v>
      </c>
      <c r="C330" s="10">
        <v>45755.0</v>
      </c>
      <c r="D330" s="7" t="s">
        <v>54</v>
      </c>
      <c r="E330" s="7" t="s">
        <v>26</v>
      </c>
      <c r="F330" s="7">
        <v>3.0</v>
      </c>
      <c r="G330" s="7" t="s">
        <v>27</v>
      </c>
      <c r="H330" s="7">
        <v>1.0</v>
      </c>
      <c r="I330" s="7">
        <v>7.0</v>
      </c>
      <c r="J330" s="7">
        <v>3.0</v>
      </c>
      <c r="K330" s="7" t="s">
        <v>37</v>
      </c>
      <c r="L330" s="9" t="str">
        <f>VLOOKUP(K330, 'Alphabetical by species code'!A:B, 2, FALSE)</f>
        <v>Sonchus oleraceus</v>
      </c>
      <c r="M330" s="9" t="str">
        <f>VLOOKUP(L330, 'Alphabetical by species code'!B:C, 2, FALSE)</f>
        <v>Non-Native</v>
      </c>
    </row>
    <row r="331">
      <c r="A331" s="7">
        <v>4.0</v>
      </c>
      <c r="B331" s="7">
        <v>2025.0</v>
      </c>
      <c r="C331" s="10">
        <v>45755.0</v>
      </c>
      <c r="D331" s="7" t="s">
        <v>54</v>
      </c>
      <c r="E331" s="7" t="s">
        <v>26</v>
      </c>
      <c r="F331" s="7">
        <v>3.0</v>
      </c>
      <c r="G331" s="7" t="s">
        <v>27</v>
      </c>
      <c r="H331" s="7">
        <v>1.0</v>
      </c>
      <c r="I331" s="7">
        <v>8.0</v>
      </c>
      <c r="J331" s="7">
        <v>3.5</v>
      </c>
      <c r="K331" s="7" t="s">
        <v>28</v>
      </c>
      <c r="L331" s="9" t="str">
        <f>VLOOKUP(K331, 'Alphabetical by species code'!A:B, 2, FALSE)</f>
        <v>Litter</v>
      </c>
      <c r="M331" s="9" t="str">
        <f>VLOOKUP(L331, 'Alphabetical by species code'!B:C, 2, FALSE)</f>
        <v>Ground Cover</v>
      </c>
    </row>
    <row r="332">
      <c r="A332" s="7">
        <v>4.0</v>
      </c>
      <c r="B332" s="7">
        <v>2025.0</v>
      </c>
      <c r="C332" s="10">
        <v>45755.0</v>
      </c>
      <c r="D332" s="7" t="s">
        <v>54</v>
      </c>
      <c r="E332" s="7" t="s">
        <v>26</v>
      </c>
      <c r="F332" s="7">
        <v>3.0</v>
      </c>
      <c r="G332" s="7" t="s">
        <v>27</v>
      </c>
      <c r="H332" s="7">
        <v>1.0</v>
      </c>
      <c r="I332" s="7">
        <v>8.0</v>
      </c>
      <c r="J332" s="7">
        <v>3.5</v>
      </c>
      <c r="K332" s="7" t="s">
        <v>31</v>
      </c>
      <c r="L332" s="9" t="str">
        <f>VLOOKUP(K332, 'Alphabetical by species code'!A:B, 2, FALSE)</f>
        <v>Festuca myuros</v>
      </c>
      <c r="M332" s="9" t="str">
        <f>VLOOKUP(L332, 'Alphabetical by species code'!B:C, 2, FALSE)</f>
        <v>Non-Native</v>
      </c>
    </row>
    <row r="333">
      <c r="A333" s="7">
        <v>4.0</v>
      </c>
      <c r="B333" s="7">
        <v>2025.0</v>
      </c>
      <c r="C333" s="10">
        <v>45755.0</v>
      </c>
      <c r="D333" s="7" t="s">
        <v>54</v>
      </c>
      <c r="E333" s="7" t="s">
        <v>26</v>
      </c>
      <c r="F333" s="7">
        <v>3.0</v>
      </c>
      <c r="G333" s="7" t="s">
        <v>27</v>
      </c>
      <c r="H333" s="7">
        <v>1.0</v>
      </c>
      <c r="I333" s="7">
        <v>8.0</v>
      </c>
      <c r="J333" s="7">
        <v>3.5</v>
      </c>
      <c r="K333" s="7" t="s">
        <v>35</v>
      </c>
      <c r="L333" s="9" t="str">
        <f>VLOOKUP(K333, 'Alphabetical by species code'!A:B, 2, FALSE)</f>
        <v>Deinandra fasciculata</v>
      </c>
      <c r="M333" s="9" t="str">
        <f>VLOOKUP(L333, 'Alphabetical by species code'!B:C, 2, FALSE)</f>
        <v>Native</v>
      </c>
    </row>
    <row r="334">
      <c r="A334" s="7">
        <v>4.0</v>
      </c>
      <c r="B334" s="7">
        <v>2025.0</v>
      </c>
      <c r="C334" s="10">
        <v>45755.0</v>
      </c>
      <c r="D334" s="7" t="s">
        <v>54</v>
      </c>
      <c r="E334" s="7" t="s">
        <v>26</v>
      </c>
      <c r="F334" s="7">
        <v>3.0</v>
      </c>
      <c r="G334" s="7" t="s">
        <v>27</v>
      </c>
      <c r="H334" s="7">
        <v>1.0</v>
      </c>
      <c r="I334" s="7">
        <v>8.0</v>
      </c>
      <c r="J334" s="7">
        <v>3.5</v>
      </c>
      <c r="K334" s="7" t="s">
        <v>32</v>
      </c>
      <c r="L334" s="9" t="str">
        <f>VLOOKUP(K334, 'Alphabetical by species code'!A:B, 2, FALSE)</f>
        <v>Medicago polymorpha</v>
      </c>
      <c r="M334" s="9" t="str">
        <f>VLOOKUP(L334, 'Alphabetical by species code'!B:C, 2, FALSE)</f>
        <v>Non-Native</v>
      </c>
    </row>
    <row r="335">
      <c r="A335" s="7">
        <v>4.0</v>
      </c>
      <c r="B335" s="7">
        <v>2025.0</v>
      </c>
      <c r="C335" s="10">
        <v>45755.0</v>
      </c>
      <c r="D335" s="7" t="s">
        <v>54</v>
      </c>
      <c r="E335" s="7" t="s">
        <v>26</v>
      </c>
      <c r="F335" s="7">
        <v>3.0</v>
      </c>
      <c r="G335" s="7" t="s">
        <v>27</v>
      </c>
      <c r="H335" s="7">
        <v>1.0</v>
      </c>
      <c r="I335" s="7">
        <v>9.0</v>
      </c>
      <c r="J335" s="7">
        <v>4.0</v>
      </c>
      <c r="K335" s="7" t="s">
        <v>28</v>
      </c>
      <c r="L335" s="9" t="str">
        <f>VLOOKUP(K335, 'Alphabetical by species code'!A:B, 2, FALSE)</f>
        <v>Litter</v>
      </c>
      <c r="M335" s="9" t="str">
        <f>VLOOKUP(L335, 'Alphabetical by species code'!B:C, 2, FALSE)</f>
        <v>Ground Cover</v>
      </c>
    </row>
    <row r="336">
      <c r="A336" s="7">
        <v>4.0</v>
      </c>
      <c r="B336" s="7">
        <v>2025.0</v>
      </c>
      <c r="C336" s="10">
        <v>45755.0</v>
      </c>
      <c r="D336" s="7" t="s">
        <v>54</v>
      </c>
      <c r="E336" s="7" t="s">
        <v>26</v>
      </c>
      <c r="F336" s="7">
        <v>3.0</v>
      </c>
      <c r="G336" s="7" t="s">
        <v>27</v>
      </c>
      <c r="H336" s="7">
        <v>1.0</v>
      </c>
      <c r="I336" s="7">
        <v>9.0</v>
      </c>
      <c r="J336" s="7">
        <v>4.0</v>
      </c>
      <c r="K336" s="7" t="s">
        <v>32</v>
      </c>
      <c r="L336" s="9" t="str">
        <f>VLOOKUP(K336, 'Alphabetical by species code'!A:B, 2, FALSE)</f>
        <v>Medicago polymorpha</v>
      </c>
      <c r="M336" s="9" t="str">
        <f>VLOOKUP(L336, 'Alphabetical by species code'!B:C, 2, FALSE)</f>
        <v>Non-Native</v>
      </c>
    </row>
    <row r="337">
      <c r="A337" s="7">
        <v>4.0</v>
      </c>
      <c r="B337" s="7">
        <v>2025.0</v>
      </c>
      <c r="C337" s="10">
        <v>45755.0</v>
      </c>
      <c r="D337" s="7" t="s">
        <v>54</v>
      </c>
      <c r="E337" s="7" t="s">
        <v>26</v>
      </c>
      <c r="F337" s="7">
        <v>3.0</v>
      </c>
      <c r="G337" s="7" t="s">
        <v>27</v>
      </c>
      <c r="H337" s="7">
        <v>1.0</v>
      </c>
      <c r="I337" s="7">
        <v>10.0</v>
      </c>
      <c r="J337" s="7">
        <v>4.5</v>
      </c>
      <c r="K337" s="7" t="s">
        <v>28</v>
      </c>
      <c r="L337" s="9" t="str">
        <f>VLOOKUP(K337, 'Alphabetical by species code'!A:B, 2, FALSE)</f>
        <v>Litter</v>
      </c>
      <c r="M337" s="9" t="str">
        <f>VLOOKUP(L337, 'Alphabetical by species code'!B:C, 2, FALSE)</f>
        <v>Ground Cover</v>
      </c>
    </row>
    <row r="338">
      <c r="A338" s="7">
        <v>4.0</v>
      </c>
      <c r="B338" s="7">
        <v>2025.0</v>
      </c>
      <c r="C338" s="10">
        <v>45755.0</v>
      </c>
      <c r="D338" s="7" t="s">
        <v>54</v>
      </c>
      <c r="E338" s="7" t="s">
        <v>26</v>
      </c>
      <c r="F338" s="7">
        <v>3.0</v>
      </c>
      <c r="G338" s="7" t="s">
        <v>27</v>
      </c>
      <c r="H338" s="7">
        <v>1.0</v>
      </c>
      <c r="I338" s="7">
        <v>10.0</v>
      </c>
      <c r="J338" s="7">
        <v>4.5</v>
      </c>
      <c r="K338" s="7" t="s">
        <v>55</v>
      </c>
      <c r="L338" s="9" t="str">
        <f>VLOOKUP(K338, 'Alphabetical by species code'!A:B, 2, FALSE)</f>
        <v>Daucus pusillus</v>
      </c>
      <c r="M338" s="9" t="str">
        <f>VLOOKUP(L338, 'Alphabetical by species code'!B:C, 2, FALSE)</f>
        <v>Native</v>
      </c>
    </row>
    <row r="339">
      <c r="A339" s="7">
        <v>4.0</v>
      </c>
      <c r="B339" s="7">
        <v>2025.0</v>
      </c>
      <c r="C339" s="10">
        <v>45755.0</v>
      </c>
      <c r="D339" s="7" t="s">
        <v>54</v>
      </c>
      <c r="E339" s="7" t="s">
        <v>26</v>
      </c>
      <c r="F339" s="7">
        <v>3.0</v>
      </c>
      <c r="G339" s="7" t="s">
        <v>27</v>
      </c>
      <c r="H339" s="7">
        <v>1.0</v>
      </c>
      <c r="I339" s="7">
        <v>10.0</v>
      </c>
      <c r="J339" s="7">
        <v>4.5</v>
      </c>
      <c r="K339" s="7" t="s">
        <v>35</v>
      </c>
      <c r="L339" s="9" t="str">
        <f>VLOOKUP(K339, 'Alphabetical by species code'!A:B, 2, FALSE)</f>
        <v>Deinandra fasciculata</v>
      </c>
      <c r="M339" s="9" t="str">
        <f>VLOOKUP(L339, 'Alphabetical by species code'!B:C, 2, FALSE)</f>
        <v>Native</v>
      </c>
    </row>
    <row r="340">
      <c r="A340" s="7">
        <v>4.0</v>
      </c>
      <c r="B340" s="7">
        <v>2025.0</v>
      </c>
      <c r="C340" s="10">
        <v>45755.0</v>
      </c>
      <c r="D340" s="7" t="s">
        <v>54</v>
      </c>
      <c r="E340" s="7" t="s">
        <v>26</v>
      </c>
      <c r="F340" s="7">
        <v>3.0</v>
      </c>
      <c r="G340" s="7" t="s">
        <v>27</v>
      </c>
      <c r="H340" s="7">
        <v>1.0</v>
      </c>
      <c r="I340" s="7">
        <v>10.0</v>
      </c>
      <c r="J340" s="7">
        <v>4.5</v>
      </c>
      <c r="K340" s="7" t="s">
        <v>31</v>
      </c>
      <c r="L340" s="9" t="str">
        <f>VLOOKUP(K340, 'Alphabetical by species code'!A:B, 2, FALSE)</f>
        <v>Festuca myuros</v>
      </c>
      <c r="M340" s="9" t="str">
        <f>VLOOKUP(L340, 'Alphabetical by species code'!B:C, 2, FALSE)</f>
        <v>Non-Native</v>
      </c>
    </row>
    <row r="341">
      <c r="A341" s="7">
        <v>4.0</v>
      </c>
      <c r="B341" s="7">
        <v>2025.0</v>
      </c>
      <c r="C341" s="10">
        <v>45755.0</v>
      </c>
      <c r="D341" s="7" t="s">
        <v>54</v>
      </c>
      <c r="E341" s="7" t="s">
        <v>26</v>
      </c>
      <c r="F341" s="7">
        <v>3.0</v>
      </c>
      <c r="G341" s="7" t="s">
        <v>27</v>
      </c>
      <c r="H341" s="7">
        <v>1.0</v>
      </c>
      <c r="I341" s="7">
        <v>11.0</v>
      </c>
      <c r="J341" s="7">
        <v>5.0</v>
      </c>
      <c r="K341" s="7" t="s">
        <v>28</v>
      </c>
      <c r="L341" s="9" t="str">
        <f>VLOOKUP(K341, 'Alphabetical by species code'!A:B, 2, FALSE)</f>
        <v>Litter</v>
      </c>
      <c r="M341" s="9" t="str">
        <f>VLOOKUP(L341, 'Alphabetical by species code'!B:C, 2, FALSE)</f>
        <v>Ground Cover</v>
      </c>
    </row>
    <row r="342">
      <c r="A342" s="7">
        <v>4.0</v>
      </c>
      <c r="B342" s="7">
        <v>2025.0</v>
      </c>
      <c r="C342" s="10">
        <v>45755.0</v>
      </c>
      <c r="D342" s="7" t="s">
        <v>54</v>
      </c>
      <c r="E342" s="7" t="s">
        <v>26</v>
      </c>
      <c r="F342" s="7">
        <v>3.0</v>
      </c>
      <c r="G342" s="7" t="s">
        <v>27</v>
      </c>
      <c r="H342" s="7">
        <v>1.0</v>
      </c>
      <c r="I342" s="7">
        <v>11.0</v>
      </c>
      <c r="J342" s="7">
        <v>5.0</v>
      </c>
      <c r="K342" s="7" t="s">
        <v>31</v>
      </c>
      <c r="L342" s="9" t="str">
        <f>VLOOKUP(K342, 'Alphabetical by species code'!A:B, 2, FALSE)</f>
        <v>Festuca myuros</v>
      </c>
      <c r="M342" s="9" t="str">
        <f>VLOOKUP(L342, 'Alphabetical by species code'!B:C, 2, FALSE)</f>
        <v>Non-Native</v>
      </c>
    </row>
    <row r="343">
      <c r="A343" s="7">
        <v>4.0</v>
      </c>
      <c r="B343" s="7">
        <v>2025.0</v>
      </c>
      <c r="C343" s="10">
        <v>45755.0</v>
      </c>
      <c r="D343" s="7" t="s">
        <v>54</v>
      </c>
      <c r="E343" s="7" t="s">
        <v>26</v>
      </c>
      <c r="F343" s="7">
        <v>3.0</v>
      </c>
      <c r="G343" s="7" t="s">
        <v>27</v>
      </c>
      <c r="H343" s="7">
        <v>1.0</v>
      </c>
      <c r="I343" s="7">
        <v>11.0</v>
      </c>
      <c r="J343" s="7">
        <v>5.0</v>
      </c>
      <c r="K343" s="7" t="s">
        <v>37</v>
      </c>
      <c r="L343" s="9" t="str">
        <f>VLOOKUP(K343, 'Alphabetical by species code'!A:B, 2, FALSE)</f>
        <v>Sonchus oleraceus</v>
      </c>
      <c r="M343" s="9" t="str">
        <f>VLOOKUP(L343, 'Alphabetical by species code'!B:C, 2, FALSE)</f>
        <v>Non-Native</v>
      </c>
    </row>
    <row r="344">
      <c r="A344" s="7">
        <v>4.0</v>
      </c>
      <c r="B344" s="7">
        <v>2025.0</v>
      </c>
      <c r="C344" s="10">
        <v>45755.0</v>
      </c>
      <c r="D344" s="7" t="s">
        <v>54</v>
      </c>
      <c r="E344" s="7" t="s">
        <v>26</v>
      </c>
      <c r="F344" s="7">
        <v>3.0</v>
      </c>
      <c r="G344" s="7" t="s">
        <v>27</v>
      </c>
      <c r="H344" s="7">
        <v>1.0</v>
      </c>
      <c r="I344" s="7">
        <v>11.0</v>
      </c>
      <c r="J344" s="7">
        <v>5.0</v>
      </c>
      <c r="K344" s="7" t="s">
        <v>39</v>
      </c>
      <c r="L344" s="9" t="str">
        <f>VLOOKUP(K344, 'Alphabetical by species code'!A:B, 2, FALSE)</f>
        <v>Stephanomeria diegensis</v>
      </c>
      <c r="M344" s="9" t="str">
        <f>VLOOKUP(L344, 'Alphabetical by species code'!B:C, 2, FALSE)</f>
        <v>Native</v>
      </c>
    </row>
    <row r="345">
      <c r="A345" s="7">
        <v>4.0</v>
      </c>
      <c r="B345" s="7">
        <v>2025.0</v>
      </c>
      <c r="C345" s="10">
        <v>45755.0</v>
      </c>
      <c r="D345" s="7" t="s">
        <v>54</v>
      </c>
      <c r="E345" s="7" t="s">
        <v>26</v>
      </c>
      <c r="F345" s="7">
        <v>3.0</v>
      </c>
      <c r="G345" s="7" t="s">
        <v>27</v>
      </c>
      <c r="H345" s="7">
        <v>1.0</v>
      </c>
      <c r="I345" s="7">
        <v>12.0</v>
      </c>
      <c r="J345" s="7">
        <v>5.5</v>
      </c>
      <c r="K345" s="7" t="s">
        <v>38</v>
      </c>
      <c r="L345" s="9" t="str">
        <f>VLOOKUP(K345, 'Alphabetical by species code'!A:B, 2, FALSE)</f>
        <v>Thatch</v>
      </c>
      <c r="M345" s="9" t="str">
        <f>VLOOKUP(L345, 'Alphabetical by species code'!B:C, 2, FALSE)</f>
        <v>Ground Cover</v>
      </c>
    </row>
    <row r="346">
      <c r="A346" s="7">
        <v>4.0</v>
      </c>
      <c r="B346" s="7">
        <v>2025.0</v>
      </c>
      <c r="C346" s="10">
        <v>45755.0</v>
      </c>
      <c r="D346" s="7" t="s">
        <v>54</v>
      </c>
      <c r="E346" s="7" t="s">
        <v>26</v>
      </c>
      <c r="F346" s="7">
        <v>3.0</v>
      </c>
      <c r="G346" s="7" t="s">
        <v>27</v>
      </c>
      <c r="H346" s="7">
        <v>1.0</v>
      </c>
      <c r="I346" s="7">
        <v>13.0</v>
      </c>
      <c r="J346" s="7">
        <v>6.5</v>
      </c>
      <c r="K346" s="7" t="s">
        <v>38</v>
      </c>
      <c r="L346" s="9" t="str">
        <f>VLOOKUP(K346, 'Alphabetical by species code'!A:B, 2, FALSE)</f>
        <v>Thatch</v>
      </c>
      <c r="M346" s="9" t="str">
        <f>VLOOKUP(L346, 'Alphabetical by species code'!B:C, 2, FALSE)</f>
        <v>Ground Cover</v>
      </c>
    </row>
    <row r="347">
      <c r="A347" s="7">
        <v>4.0</v>
      </c>
      <c r="B347" s="7">
        <v>2025.0</v>
      </c>
      <c r="C347" s="10">
        <v>45755.0</v>
      </c>
      <c r="D347" s="7" t="s">
        <v>54</v>
      </c>
      <c r="E347" s="7" t="s">
        <v>26</v>
      </c>
      <c r="F347" s="7">
        <v>3.0</v>
      </c>
      <c r="G347" s="7" t="s">
        <v>27</v>
      </c>
      <c r="H347" s="7">
        <v>1.0</v>
      </c>
      <c r="I347" s="7">
        <v>13.0</v>
      </c>
      <c r="J347" s="7">
        <v>6.5</v>
      </c>
      <c r="K347" s="7" t="s">
        <v>43</v>
      </c>
      <c r="L347" s="9" t="str">
        <f>VLOOKUP(K347, 'Alphabetical by species code'!A:B, 2, FALSE)</f>
        <v>Uropappus lindleyi</v>
      </c>
      <c r="M347" s="9" t="str">
        <f>VLOOKUP(L347, 'Alphabetical by species code'!B:C, 2, FALSE)</f>
        <v>Native</v>
      </c>
    </row>
    <row r="348">
      <c r="A348" s="7">
        <v>4.0</v>
      </c>
      <c r="B348" s="7">
        <v>2025.0</v>
      </c>
      <c r="C348" s="10">
        <v>45755.0</v>
      </c>
      <c r="D348" s="7" t="s">
        <v>54</v>
      </c>
      <c r="E348" s="7" t="s">
        <v>26</v>
      </c>
      <c r="F348" s="7">
        <v>3.0</v>
      </c>
      <c r="G348" s="7" t="s">
        <v>27</v>
      </c>
      <c r="H348" s="7">
        <v>1.0</v>
      </c>
      <c r="I348" s="7">
        <v>14.0</v>
      </c>
      <c r="J348" s="7">
        <v>7.0</v>
      </c>
      <c r="K348" s="7" t="s">
        <v>28</v>
      </c>
      <c r="L348" s="9" t="str">
        <f>VLOOKUP(K348, 'Alphabetical by species code'!A:B, 2, FALSE)</f>
        <v>Litter</v>
      </c>
      <c r="M348" s="9" t="str">
        <f>VLOOKUP(L348, 'Alphabetical by species code'!B:C, 2, FALSE)</f>
        <v>Ground Cover</v>
      </c>
    </row>
    <row r="349">
      <c r="A349" s="7">
        <v>4.0</v>
      </c>
      <c r="B349" s="7">
        <v>2025.0</v>
      </c>
      <c r="C349" s="10">
        <v>45755.0</v>
      </c>
      <c r="D349" s="7" t="s">
        <v>54</v>
      </c>
      <c r="E349" s="7" t="s">
        <v>26</v>
      </c>
      <c r="F349" s="7">
        <v>3.0</v>
      </c>
      <c r="G349" s="7" t="s">
        <v>27</v>
      </c>
      <c r="H349" s="7">
        <v>1.0</v>
      </c>
      <c r="I349" s="7">
        <v>14.0</v>
      </c>
      <c r="J349" s="7">
        <v>7.0</v>
      </c>
      <c r="K349" s="7" t="s">
        <v>32</v>
      </c>
      <c r="L349" s="9" t="str">
        <f>VLOOKUP(K349, 'Alphabetical by species code'!A:B, 2, FALSE)</f>
        <v>Medicago polymorpha</v>
      </c>
      <c r="M349" s="9" t="str">
        <f>VLOOKUP(L349, 'Alphabetical by species code'!B:C, 2, FALSE)</f>
        <v>Non-Native</v>
      </c>
    </row>
    <row r="350">
      <c r="A350" s="7">
        <v>4.0</v>
      </c>
      <c r="B350" s="7">
        <v>2025.0</v>
      </c>
      <c r="C350" s="10">
        <v>45755.0</v>
      </c>
      <c r="D350" s="7" t="s">
        <v>54</v>
      </c>
      <c r="E350" s="7" t="s">
        <v>26</v>
      </c>
      <c r="F350" s="7">
        <v>3.0</v>
      </c>
      <c r="G350" s="7" t="s">
        <v>27</v>
      </c>
      <c r="H350" s="7">
        <v>1.0</v>
      </c>
      <c r="I350" s="7">
        <v>14.0</v>
      </c>
      <c r="J350" s="7">
        <v>7.0</v>
      </c>
      <c r="K350" s="7" t="s">
        <v>42</v>
      </c>
      <c r="L350" s="9" t="str">
        <f>VLOOKUP(K350, 'Alphabetical by species code'!A:B, 2, FALSE)</f>
        <v>Centaurea melitensis</v>
      </c>
      <c r="M350" s="9" t="str">
        <f>VLOOKUP(L350, 'Alphabetical by species code'!B:C, 2, FALSE)</f>
        <v>Non-Native</v>
      </c>
    </row>
    <row r="351">
      <c r="A351" s="7">
        <v>4.0</v>
      </c>
      <c r="B351" s="7">
        <v>2025.0</v>
      </c>
      <c r="C351" s="10">
        <v>45755.0</v>
      </c>
      <c r="D351" s="7" t="s">
        <v>54</v>
      </c>
      <c r="E351" s="7" t="s">
        <v>26</v>
      </c>
      <c r="F351" s="7">
        <v>3.0</v>
      </c>
      <c r="G351" s="7" t="s">
        <v>27</v>
      </c>
      <c r="H351" s="7">
        <v>1.0</v>
      </c>
      <c r="I351" s="7">
        <v>14.0</v>
      </c>
      <c r="J351" s="7">
        <v>7.0</v>
      </c>
      <c r="K351" s="7" t="s">
        <v>31</v>
      </c>
      <c r="L351" s="9" t="str">
        <f>VLOOKUP(K351, 'Alphabetical by species code'!A:B, 2, FALSE)</f>
        <v>Festuca myuros</v>
      </c>
      <c r="M351" s="9" t="str">
        <f>VLOOKUP(L351, 'Alphabetical by species code'!B:C, 2, FALSE)</f>
        <v>Non-Native</v>
      </c>
    </row>
    <row r="352">
      <c r="A352" s="7">
        <v>4.0</v>
      </c>
      <c r="B352" s="7">
        <v>2025.0</v>
      </c>
      <c r="C352" s="10">
        <v>45755.0</v>
      </c>
      <c r="D352" s="7" t="s">
        <v>54</v>
      </c>
      <c r="E352" s="7" t="s">
        <v>26</v>
      </c>
      <c r="F352" s="7">
        <v>3.0</v>
      </c>
      <c r="G352" s="7" t="s">
        <v>27</v>
      </c>
      <c r="H352" s="7">
        <v>1.0</v>
      </c>
      <c r="I352" s="7">
        <v>15.0</v>
      </c>
      <c r="J352" s="7">
        <v>7.5</v>
      </c>
      <c r="K352" s="7" t="s">
        <v>41</v>
      </c>
      <c r="L352" s="9" t="str">
        <f>VLOOKUP(K352, 'Alphabetical by species code'!A:B, 2, FALSE)</f>
        <v>Stem</v>
      </c>
      <c r="M352" s="9" t="str">
        <f>VLOOKUP(L352, 'Alphabetical by species code'!B:C, 2, FALSE)</f>
        <v>Ground Cover</v>
      </c>
    </row>
    <row r="353">
      <c r="A353" s="7">
        <v>4.0</v>
      </c>
      <c r="B353" s="7">
        <v>2025.0</v>
      </c>
      <c r="C353" s="10">
        <v>45755.0</v>
      </c>
      <c r="D353" s="7" t="s">
        <v>54</v>
      </c>
      <c r="E353" s="7" t="s">
        <v>26</v>
      </c>
      <c r="F353" s="7">
        <v>3.0</v>
      </c>
      <c r="G353" s="7" t="s">
        <v>27</v>
      </c>
      <c r="H353" s="7">
        <v>1.0</v>
      </c>
      <c r="I353" s="7">
        <v>15.0</v>
      </c>
      <c r="J353" s="7">
        <v>7.5</v>
      </c>
      <c r="K353" s="7" t="s">
        <v>29</v>
      </c>
      <c r="L353" s="9" t="str">
        <f>VLOOKUP(K353, 'Alphabetical by species code'!A:B, 2, FALSE)</f>
        <v>Opuntia littoralis</v>
      </c>
      <c r="M353" s="9" t="str">
        <f>VLOOKUP(L353, 'Alphabetical by species code'!B:C, 2, FALSE)</f>
        <v>Native</v>
      </c>
    </row>
    <row r="354">
      <c r="A354" s="7">
        <v>4.0</v>
      </c>
      <c r="B354" s="7">
        <v>2025.0</v>
      </c>
      <c r="C354" s="10">
        <v>45755.0</v>
      </c>
      <c r="D354" s="7" t="s">
        <v>54</v>
      </c>
      <c r="E354" s="7" t="s">
        <v>26</v>
      </c>
      <c r="F354" s="7">
        <v>3.0</v>
      </c>
      <c r="G354" s="7" t="s">
        <v>27</v>
      </c>
      <c r="H354" s="7">
        <v>2.0</v>
      </c>
      <c r="I354" s="7">
        <v>1.0</v>
      </c>
      <c r="J354" s="7">
        <v>0.0</v>
      </c>
      <c r="K354" s="7" t="s">
        <v>28</v>
      </c>
      <c r="L354" s="9" t="str">
        <f>VLOOKUP(K354, 'Alphabetical by species code'!A:B, 2, FALSE)</f>
        <v>Litter</v>
      </c>
      <c r="M354" s="9" t="str">
        <f>VLOOKUP(L354, 'Alphabetical by species code'!B:C, 2, FALSE)</f>
        <v>Ground Cover</v>
      </c>
    </row>
    <row r="355">
      <c r="A355" s="7">
        <v>4.0</v>
      </c>
      <c r="B355" s="7">
        <v>2025.0</v>
      </c>
      <c r="C355" s="10">
        <v>45755.0</v>
      </c>
      <c r="D355" s="7" t="s">
        <v>54</v>
      </c>
      <c r="E355" s="7" t="s">
        <v>26</v>
      </c>
      <c r="F355" s="7">
        <v>3.0</v>
      </c>
      <c r="G355" s="7" t="s">
        <v>27</v>
      </c>
      <c r="H355" s="7">
        <v>2.0</v>
      </c>
      <c r="I355" s="7">
        <v>1.0</v>
      </c>
      <c r="J355" s="7">
        <v>0.0</v>
      </c>
      <c r="K355" s="7" t="s">
        <v>48</v>
      </c>
      <c r="L355" s="9" t="str">
        <f>VLOOKUP(K355, 'Alphabetical by species code'!A:B, 2, FALSE)</f>
        <v>Sonchus asper</v>
      </c>
      <c r="M355" s="9" t="str">
        <f>VLOOKUP(L355, 'Alphabetical by species code'!B:C, 2, FALSE)</f>
        <v>Non-Native</v>
      </c>
    </row>
    <row r="356">
      <c r="A356" s="7">
        <v>4.0</v>
      </c>
      <c r="B356" s="7">
        <v>2025.0</v>
      </c>
      <c r="C356" s="10">
        <v>45755.0</v>
      </c>
      <c r="D356" s="7" t="s">
        <v>54</v>
      </c>
      <c r="E356" s="7" t="s">
        <v>26</v>
      </c>
      <c r="F356" s="7">
        <v>3.0</v>
      </c>
      <c r="G356" s="7" t="s">
        <v>27</v>
      </c>
      <c r="H356" s="7">
        <v>2.0</v>
      </c>
      <c r="I356" s="7">
        <v>1.0</v>
      </c>
      <c r="J356" s="7">
        <v>0.0</v>
      </c>
      <c r="K356" s="7" t="s">
        <v>31</v>
      </c>
      <c r="L356" s="9" t="str">
        <f>VLOOKUP(K356, 'Alphabetical by species code'!A:B, 2, FALSE)</f>
        <v>Festuca myuros</v>
      </c>
      <c r="M356" s="9" t="str">
        <f>VLOOKUP(L356, 'Alphabetical by species code'!B:C, 2, FALSE)</f>
        <v>Non-Native</v>
      </c>
    </row>
    <row r="357">
      <c r="A357" s="7">
        <v>4.0</v>
      </c>
      <c r="B357" s="7">
        <v>2025.0</v>
      </c>
      <c r="C357" s="10">
        <v>45755.0</v>
      </c>
      <c r="D357" s="7" t="s">
        <v>54</v>
      </c>
      <c r="E357" s="7" t="s">
        <v>26</v>
      </c>
      <c r="F357" s="7">
        <v>3.0</v>
      </c>
      <c r="G357" s="7" t="s">
        <v>27</v>
      </c>
      <c r="H357" s="7">
        <v>2.0</v>
      </c>
      <c r="I357" s="7">
        <v>1.0</v>
      </c>
      <c r="J357" s="7">
        <v>0.0</v>
      </c>
      <c r="K357" s="7" t="s">
        <v>49</v>
      </c>
      <c r="L357" s="9" t="str">
        <f>VLOOKUP(K357, 'Alphabetical by species code'!A:B, 2, FALSE)</f>
        <v>Anagallis arvensis</v>
      </c>
      <c r="M357" s="9" t="str">
        <f>VLOOKUP(L357, 'Alphabetical by species code'!B:C, 2, FALSE)</f>
        <v>Non-Native</v>
      </c>
    </row>
    <row r="358">
      <c r="A358" s="7">
        <v>4.0</v>
      </c>
      <c r="B358" s="7">
        <v>2025.0</v>
      </c>
      <c r="C358" s="10">
        <v>45755.0</v>
      </c>
      <c r="D358" s="7" t="s">
        <v>54</v>
      </c>
      <c r="E358" s="7" t="s">
        <v>26</v>
      </c>
      <c r="F358" s="7">
        <v>3.0</v>
      </c>
      <c r="G358" s="7" t="s">
        <v>27</v>
      </c>
      <c r="H358" s="7">
        <v>2.0</v>
      </c>
      <c r="I358" s="7">
        <v>1.0</v>
      </c>
      <c r="J358" s="7">
        <v>0.0</v>
      </c>
      <c r="K358" s="7" t="s">
        <v>55</v>
      </c>
      <c r="L358" s="9" t="str">
        <f>VLOOKUP(K358, 'Alphabetical by species code'!A:B, 2, FALSE)</f>
        <v>Daucus pusillus</v>
      </c>
      <c r="M358" s="9" t="str">
        <f>VLOOKUP(L358, 'Alphabetical by species code'!B:C, 2, FALSE)</f>
        <v>Native</v>
      </c>
    </row>
    <row r="359">
      <c r="A359" s="7">
        <v>4.0</v>
      </c>
      <c r="B359" s="7">
        <v>2025.0</v>
      </c>
      <c r="C359" s="10">
        <v>45755.0</v>
      </c>
      <c r="D359" s="7" t="s">
        <v>54</v>
      </c>
      <c r="E359" s="7" t="s">
        <v>26</v>
      </c>
      <c r="F359" s="7">
        <v>3.0</v>
      </c>
      <c r="G359" s="7" t="s">
        <v>27</v>
      </c>
      <c r="H359" s="7">
        <v>2.0</v>
      </c>
      <c r="I359" s="7">
        <v>2.0</v>
      </c>
      <c r="J359" s="7">
        <v>0.5</v>
      </c>
      <c r="K359" s="7" t="s">
        <v>51</v>
      </c>
      <c r="L359" s="9" t="str">
        <f>VLOOKUP(K359, 'Alphabetical by species code'!A:B, 2, FALSE)</f>
        <v>Bareground</v>
      </c>
      <c r="M359" s="9" t="str">
        <f>VLOOKUP(L359, 'Alphabetical by species code'!B:C, 2, FALSE)</f>
        <v>Ground Cover</v>
      </c>
    </row>
    <row r="360">
      <c r="A360" s="7">
        <v>4.0</v>
      </c>
      <c r="B360" s="7">
        <v>2025.0</v>
      </c>
      <c r="C360" s="10">
        <v>45755.0</v>
      </c>
      <c r="D360" s="7" t="s">
        <v>54</v>
      </c>
      <c r="E360" s="7" t="s">
        <v>26</v>
      </c>
      <c r="F360" s="7">
        <v>3.0</v>
      </c>
      <c r="G360" s="7" t="s">
        <v>27</v>
      </c>
      <c r="H360" s="7">
        <v>2.0</v>
      </c>
      <c r="I360" s="7">
        <v>2.0</v>
      </c>
      <c r="J360" s="7">
        <v>0.5</v>
      </c>
      <c r="K360" s="7" t="s">
        <v>31</v>
      </c>
      <c r="L360" s="9" t="str">
        <f>VLOOKUP(K360, 'Alphabetical by species code'!A:B, 2, FALSE)</f>
        <v>Festuca myuros</v>
      </c>
      <c r="M360" s="9" t="str">
        <f>VLOOKUP(L360, 'Alphabetical by species code'!B:C, 2, FALSE)</f>
        <v>Non-Native</v>
      </c>
    </row>
    <row r="361">
      <c r="A361" s="7">
        <v>4.0</v>
      </c>
      <c r="B361" s="7">
        <v>2025.0</v>
      </c>
      <c r="C361" s="10">
        <v>45755.0</v>
      </c>
      <c r="D361" s="7" t="s">
        <v>54</v>
      </c>
      <c r="E361" s="7" t="s">
        <v>26</v>
      </c>
      <c r="F361" s="7">
        <v>3.0</v>
      </c>
      <c r="G361" s="7" t="s">
        <v>27</v>
      </c>
      <c r="H361" s="7">
        <v>2.0</v>
      </c>
      <c r="I361" s="7">
        <v>3.0</v>
      </c>
      <c r="J361" s="7">
        <v>1.0</v>
      </c>
      <c r="K361" s="7" t="s">
        <v>41</v>
      </c>
      <c r="L361" s="9" t="str">
        <f>VLOOKUP(K361, 'Alphabetical by species code'!A:B, 2, FALSE)</f>
        <v>Stem</v>
      </c>
      <c r="M361" s="9" t="str">
        <f>VLOOKUP(L361, 'Alphabetical by species code'!B:C, 2, FALSE)</f>
        <v>Ground Cover</v>
      </c>
    </row>
    <row r="362">
      <c r="A362" s="7">
        <v>4.0</v>
      </c>
      <c r="B362" s="7">
        <v>2025.0</v>
      </c>
      <c r="C362" s="10">
        <v>45755.0</v>
      </c>
      <c r="D362" s="7" t="s">
        <v>54</v>
      </c>
      <c r="E362" s="7" t="s">
        <v>26</v>
      </c>
      <c r="F362" s="7">
        <v>3.0</v>
      </c>
      <c r="G362" s="7" t="s">
        <v>27</v>
      </c>
      <c r="H362" s="7">
        <v>2.0</v>
      </c>
      <c r="I362" s="7">
        <v>3.0</v>
      </c>
      <c r="J362" s="7">
        <v>1.0</v>
      </c>
      <c r="K362" s="7" t="s">
        <v>29</v>
      </c>
      <c r="L362" s="9" t="str">
        <f>VLOOKUP(K362, 'Alphabetical by species code'!A:B, 2, FALSE)</f>
        <v>Opuntia littoralis</v>
      </c>
      <c r="M362" s="9" t="str">
        <f>VLOOKUP(L362, 'Alphabetical by species code'!B:C, 2, FALSE)</f>
        <v>Native</v>
      </c>
    </row>
    <row r="363">
      <c r="A363" s="7">
        <v>4.0</v>
      </c>
      <c r="B363" s="7">
        <v>2025.0</v>
      </c>
      <c r="C363" s="10">
        <v>45755.0</v>
      </c>
      <c r="D363" s="7" t="s">
        <v>54</v>
      </c>
      <c r="E363" s="7" t="s">
        <v>26</v>
      </c>
      <c r="F363" s="7">
        <v>3.0</v>
      </c>
      <c r="G363" s="7" t="s">
        <v>27</v>
      </c>
      <c r="H363" s="7">
        <v>2.0</v>
      </c>
      <c r="I363" s="7">
        <v>4.0</v>
      </c>
      <c r="J363" s="7">
        <v>1.5</v>
      </c>
      <c r="K363" s="7" t="s">
        <v>41</v>
      </c>
      <c r="L363" s="9" t="str">
        <f>VLOOKUP(K363, 'Alphabetical by species code'!A:B, 2, FALSE)</f>
        <v>Stem</v>
      </c>
      <c r="M363" s="9" t="str">
        <f>VLOOKUP(L363, 'Alphabetical by species code'!B:C, 2, FALSE)</f>
        <v>Ground Cover</v>
      </c>
    </row>
    <row r="364">
      <c r="A364" s="7">
        <v>4.0</v>
      </c>
      <c r="B364" s="7">
        <v>2025.0</v>
      </c>
      <c r="C364" s="10">
        <v>45755.0</v>
      </c>
      <c r="D364" s="7" t="s">
        <v>54</v>
      </c>
      <c r="E364" s="7" t="s">
        <v>26</v>
      </c>
      <c r="F364" s="7">
        <v>3.0</v>
      </c>
      <c r="G364" s="7" t="s">
        <v>27</v>
      </c>
      <c r="H364" s="7">
        <v>2.0</v>
      </c>
      <c r="I364" s="7">
        <v>4.0</v>
      </c>
      <c r="J364" s="7">
        <v>1.5</v>
      </c>
      <c r="K364" s="7" t="s">
        <v>29</v>
      </c>
      <c r="L364" s="9" t="str">
        <f>VLOOKUP(K364, 'Alphabetical by species code'!A:B, 2, FALSE)</f>
        <v>Opuntia littoralis</v>
      </c>
      <c r="M364" s="9" t="str">
        <f>VLOOKUP(L364, 'Alphabetical by species code'!B:C, 2, FALSE)</f>
        <v>Native</v>
      </c>
    </row>
    <row r="365">
      <c r="A365" s="7">
        <v>4.0</v>
      </c>
      <c r="B365" s="7">
        <v>2025.0</v>
      </c>
      <c r="C365" s="10">
        <v>45755.0</v>
      </c>
      <c r="D365" s="7" t="s">
        <v>54</v>
      </c>
      <c r="E365" s="7" t="s">
        <v>26</v>
      </c>
      <c r="F365" s="7">
        <v>3.0</v>
      </c>
      <c r="G365" s="7" t="s">
        <v>27</v>
      </c>
      <c r="H365" s="7">
        <v>2.0</v>
      </c>
      <c r="I365" s="7">
        <v>4.0</v>
      </c>
      <c r="J365" s="7">
        <v>1.5</v>
      </c>
      <c r="K365" s="7" t="s">
        <v>31</v>
      </c>
      <c r="L365" s="9" t="str">
        <f>VLOOKUP(K365, 'Alphabetical by species code'!A:B, 2, FALSE)</f>
        <v>Festuca myuros</v>
      </c>
      <c r="M365" s="9" t="str">
        <f>VLOOKUP(L365, 'Alphabetical by species code'!B:C, 2, FALSE)</f>
        <v>Non-Native</v>
      </c>
    </row>
    <row r="366">
      <c r="A366" s="7">
        <v>4.0</v>
      </c>
      <c r="B366" s="7">
        <v>2025.0</v>
      </c>
      <c r="C366" s="10">
        <v>45755.0</v>
      </c>
      <c r="D366" s="7" t="s">
        <v>54</v>
      </c>
      <c r="E366" s="7" t="s">
        <v>26</v>
      </c>
      <c r="F366" s="7">
        <v>3.0</v>
      </c>
      <c r="G366" s="7" t="s">
        <v>27</v>
      </c>
      <c r="H366" s="7">
        <v>2.0</v>
      </c>
      <c r="I366" s="7">
        <v>5.0</v>
      </c>
      <c r="J366" s="7">
        <v>2.5</v>
      </c>
      <c r="K366" s="7" t="s">
        <v>51</v>
      </c>
      <c r="L366" s="9" t="str">
        <f>VLOOKUP(K366, 'Alphabetical by species code'!A:B, 2, FALSE)</f>
        <v>Bareground</v>
      </c>
      <c r="M366" s="9" t="str">
        <f>VLOOKUP(L366, 'Alphabetical by species code'!B:C, 2, FALSE)</f>
        <v>Ground Cover</v>
      </c>
    </row>
    <row r="367">
      <c r="A367" s="7">
        <v>4.0</v>
      </c>
      <c r="B367" s="7">
        <v>2025.0</v>
      </c>
      <c r="C367" s="10">
        <v>45755.0</v>
      </c>
      <c r="D367" s="7" t="s">
        <v>54</v>
      </c>
      <c r="E367" s="7" t="s">
        <v>26</v>
      </c>
      <c r="F367" s="7">
        <v>3.0</v>
      </c>
      <c r="G367" s="7" t="s">
        <v>27</v>
      </c>
      <c r="H367" s="7">
        <v>2.0</v>
      </c>
      <c r="I367" s="7">
        <v>5.0</v>
      </c>
      <c r="J367" s="7">
        <v>2.5</v>
      </c>
      <c r="K367" s="7" t="s">
        <v>31</v>
      </c>
      <c r="L367" s="9" t="str">
        <f>VLOOKUP(K367, 'Alphabetical by species code'!A:B, 2, FALSE)</f>
        <v>Festuca myuros</v>
      </c>
      <c r="M367" s="9" t="str">
        <f>VLOOKUP(L367, 'Alphabetical by species code'!B:C, 2, FALSE)</f>
        <v>Non-Native</v>
      </c>
    </row>
    <row r="368">
      <c r="A368" s="7">
        <v>4.0</v>
      </c>
      <c r="B368" s="7">
        <v>2025.0</v>
      </c>
      <c r="C368" s="10">
        <v>45755.0</v>
      </c>
      <c r="D368" s="7" t="s">
        <v>54</v>
      </c>
      <c r="E368" s="7" t="s">
        <v>26</v>
      </c>
      <c r="F368" s="7">
        <v>3.0</v>
      </c>
      <c r="G368" s="7" t="s">
        <v>27</v>
      </c>
      <c r="H368" s="7">
        <v>2.0</v>
      </c>
      <c r="I368" s="7">
        <v>5.0</v>
      </c>
      <c r="J368" s="7">
        <v>2.5</v>
      </c>
      <c r="K368" s="7" t="s">
        <v>32</v>
      </c>
      <c r="L368" s="9" t="str">
        <f>VLOOKUP(K368, 'Alphabetical by species code'!A:B, 2, FALSE)</f>
        <v>Medicago polymorpha</v>
      </c>
      <c r="M368" s="9" t="str">
        <f>VLOOKUP(L368, 'Alphabetical by species code'!B:C, 2, FALSE)</f>
        <v>Non-Native</v>
      </c>
    </row>
    <row r="369">
      <c r="A369" s="7">
        <v>4.0</v>
      </c>
      <c r="B369" s="7">
        <v>2025.0</v>
      </c>
      <c r="C369" s="10">
        <v>45755.0</v>
      </c>
      <c r="D369" s="7" t="s">
        <v>54</v>
      </c>
      <c r="E369" s="7" t="s">
        <v>26</v>
      </c>
      <c r="F369" s="7">
        <v>3.0</v>
      </c>
      <c r="G369" s="7" t="s">
        <v>27</v>
      </c>
      <c r="H369" s="7">
        <v>2.0</v>
      </c>
      <c r="I369" s="7">
        <v>6.0</v>
      </c>
      <c r="J369" s="7">
        <v>3.0</v>
      </c>
      <c r="K369" s="7" t="s">
        <v>52</v>
      </c>
      <c r="L369" s="9" t="str">
        <f>VLOOKUP(K369, 'Alphabetical by species code'!A:B, 2, FALSE)</f>
        <v>Rock</v>
      </c>
      <c r="M369" s="9" t="str">
        <f>VLOOKUP(L369, 'Alphabetical by species code'!B:C, 2, FALSE)</f>
        <v>Ground Cover</v>
      </c>
    </row>
    <row r="370">
      <c r="A370" s="7">
        <v>4.0</v>
      </c>
      <c r="B370" s="7">
        <v>2025.0</v>
      </c>
      <c r="C370" s="10">
        <v>45755.0</v>
      </c>
      <c r="D370" s="7" t="s">
        <v>54</v>
      </c>
      <c r="E370" s="7" t="s">
        <v>26</v>
      </c>
      <c r="F370" s="7">
        <v>3.0</v>
      </c>
      <c r="G370" s="7" t="s">
        <v>27</v>
      </c>
      <c r="H370" s="7">
        <v>2.0</v>
      </c>
      <c r="I370" s="7">
        <v>6.0</v>
      </c>
      <c r="J370" s="7">
        <v>3.0</v>
      </c>
      <c r="K370" s="7" t="s">
        <v>31</v>
      </c>
      <c r="L370" s="9" t="str">
        <f>VLOOKUP(K370, 'Alphabetical by species code'!A:B, 2, FALSE)</f>
        <v>Festuca myuros</v>
      </c>
      <c r="M370" s="9" t="str">
        <f>VLOOKUP(L370, 'Alphabetical by species code'!B:C, 2, FALSE)</f>
        <v>Non-Native</v>
      </c>
    </row>
    <row r="371">
      <c r="A371" s="7">
        <v>4.0</v>
      </c>
      <c r="B371" s="7">
        <v>2025.0</v>
      </c>
      <c r="C371" s="10">
        <v>45755.0</v>
      </c>
      <c r="D371" s="7" t="s">
        <v>54</v>
      </c>
      <c r="E371" s="7" t="s">
        <v>26</v>
      </c>
      <c r="F371" s="7">
        <v>3.0</v>
      </c>
      <c r="G371" s="7" t="s">
        <v>27</v>
      </c>
      <c r="H371" s="7">
        <v>2.0</v>
      </c>
      <c r="I371" s="7">
        <v>7.0</v>
      </c>
      <c r="J371" s="7">
        <v>3.5</v>
      </c>
      <c r="K371" s="7" t="s">
        <v>28</v>
      </c>
      <c r="L371" s="9" t="str">
        <f>VLOOKUP(K371, 'Alphabetical by species code'!A:B, 2, FALSE)</f>
        <v>Litter</v>
      </c>
      <c r="M371" s="9" t="str">
        <f>VLOOKUP(L371, 'Alphabetical by species code'!B:C, 2, FALSE)</f>
        <v>Ground Cover</v>
      </c>
    </row>
    <row r="372">
      <c r="A372" s="7">
        <v>4.0</v>
      </c>
      <c r="B372" s="7">
        <v>2025.0</v>
      </c>
      <c r="C372" s="10">
        <v>45755.0</v>
      </c>
      <c r="D372" s="7" t="s">
        <v>54</v>
      </c>
      <c r="E372" s="7" t="s">
        <v>26</v>
      </c>
      <c r="F372" s="7">
        <v>3.0</v>
      </c>
      <c r="G372" s="7" t="s">
        <v>27</v>
      </c>
      <c r="H372" s="7">
        <v>2.0</v>
      </c>
      <c r="I372" s="7">
        <v>7.0</v>
      </c>
      <c r="J372" s="7">
        <v>3.5</v>
      </c>
      <c r="K372" s="7" t="s">
        <v>32</v>
      </c>
      <c r="L372" s="9" t="str">
        <f>VLOOKUP(K372, 'Alphabetical by species code'!A:B, 2, FALSE)</f>
        <v>Medicago polymorpha</v>
      </c>
      <c r="M372" s="9" t="str">
        <f>VLOOKUP(L372, 'Alphabetical by species code'!B:C, 2, FALSE)</f>
        <v>Non-Native</v>
      </c>
    </row>
    <row r="373">
      <c r="A373" s="7">
        <v>4.0</v>
      </c>
      <c r="B373" s="7">
        <v>2025.0</v>
      </c>
      <c r="C373" s="10">
        <v>45755.0</v>
      </c>
      <c r="D373" s="7" t="s">
        <v>54</v>
      </c>
      <c r="E373" s="7" t="s">
        <v>26</v>
      </c>
      <c r="F373" s="7">
        <v>3.0</v>
      </c>
      <c r="G373" s="7" t="s">
        <v>27</v>
      </c>
      <c r="H373" s="7">
        <v>2.0</v>
      </c>
      <c r="I373" s="7">
        <v>7.0</v>
      </c>
      <c r="J373" s="7">
        <v>3.5</v>
      </c>
      <c r="K373" s="7" t="s">
        <v>31</v>
      </c>
      <c r="L373" s="9" t="str">
        <f>VLOOKUP(K373, 'Alphabetical by species code'!A:B, 2, FALSE)</f>
        <v>Festuca myuros</v>
      </c>
      <c r="M373" s="9" t="str">
        <f>VLOOKUP(L373, 'Alphabetical by species code'!B:C, 2, FALSE)</f>
        <v>Non-Native</v>
      </c>
    </row>
    <row r="374">
      <c r="A374" s="7">
        <v>4.0</v>
      </c>
      <c r="B374" s="7">
        <v>2025.0</v>
      </c>
      <c r="C374" s="10">
        <v>45755.0</v>
      </c>
      <c r="D374" s="7" t="s">
        <v>54</v>
      </c>
      <c r="E374" s="7" t="s">
        <v>26</v>
      </c>
      <c r="F374" s="7">
        <v>3.0</v>
      </c>
      <c r="G374" s="7" t="s">
        <v>27</v>
      </c>
      <c r="H374" s="7">
        <v>2.0</v>
      </c>
      <c r="I374" s="7">
        <v>7.0</v>
      </c>
      <c r="J374" s="7">
        <v>3.5</v>
      </c>
      <c r="K374" s="7" t="s">
        <v>48</v>
      </c>
      <c r="L374" s="9" t="str">
        <f>VLOOKUP(K374, 'Alphabetical by species code'!A:B, 2, FALSE)</f>
        <v>Sonchus asper</v>
      </c>
      <c r="M374" s="9" t="str">
        <f>VLOOKUP(L374, 'Alphabetical by species code'!B:C, 2, FALSE)</f>
        <v>Non-Native</v>
      </c>
    </row>
    <row r="375">
      <c r="A375" s="7">
        <v>4.0</v>
      </c>
      <c r="B375" s="7">
        <v>2025.0</v>
      </c>
      <c r="C375" s="10">
        <v>45755.0</v>
      </c>
      <c r="D375" s="7" t="s">
        <v>54</v>
      </c>
      <c r="E375" s="7" t="s">
        <v>26</v>
      </c>
      <c r="F375" s="7">
        <v>3.0</v>
      </c>
      <c r="G375" s="7" t="s">
        <v>27</v>
      </c>
      <c r="H375" s="7">
        <v>2.0</v>
      </c>
      <c r="I375" s="7">
        <v>8.0</v>
      </c>
      <c r="J375" s="7">
        <v>4.0</v>
      </c>
      <c r="K375" s="7" t="s">
        <v>28</v>
      </c>
      <c r="L375" s="9" t="str">
        <f>VLOOKUP(K375, 'Alphabetical by species code'!A:B, 2, FALSE)</f>
        <v>Litter</v>
      </c>
      <c r="M375" s="9" t="str">
        <f>VLOOKUP(L375, 'Alphabetical by species code'!B:C, 2, FALSE)</f>
        <v>Ground Cover</v>
      </c>
    </row>
    <row r="376">
      <c r="A376" s="7">
        <v>4.0</v>
      </c>
      <c r="B376" s="7">
        <v>2025.0</v>
      </c>
      <c r="C376" s="10">
        <v>45755.0</v>
      </c>
      <c r="D376" s="7" t="s">
        <v>54</v>
      </c>
      <c r="E376" s="7" t="s">
        <v>26</v>
      </c>
      <c r="F376" s="7">
        <v>3.0</v>
      </c>
      <c r="G376" s="7" t="s">
        <v>27</v>
      </c>
      <c r="H376" s="7">
        <v>2.0</v>
      </c>
      <c r="I376" s="7">
        <v>8.0</v>
      </c>
      <c r="J376" s="7">
        <v>4.0</v>
      </c>
      <c r="K376" s="7" t="s">
        <v>55</v>
      </c>
      <c r="L376" s="9" t="str">
        <f>VLOOKUP(K376, 'Alphabetical by species code'!A:B, 2, FALSE)</f>
        <v>Daucus pusillus</v>
      </c>
      <c r="M376" s="9" t="str">
        <f>VLOOKUP(L376, 'Alphabetical by species code'!B:C, 2, FALSE)</f>
        <v>Native</v>
      </c>
    </row>
    <row r="377">
      <c r="A377" s="7">
        <v>4.0</v>
      </c>
      <c r="B377" s="7">
        <v>2025.0</v>
      </c>
      <c r="C377" s="10">
        <v>45755.0</v>
      </c>
      <c r="D377" s="7" t="s">
        <v>54</v>
      </c>
      <c r="E377" s="7" t="s">
        <v>26</v>
      </c>
      <c r="F377" s="7">
        <v>3.0</v>
      </c>
      <c r="G377" s="7" t="s">
        <v>27</v>
      </c>
      <c r="H377" s="7">
        <v>2.0</v>
      </c>
      <c r="I377" s="7">
        <v>8.0</v>
      </c>
      <c r="J377" s="7">
        <v>4.0</v>
      </c>
      <c r="K377" s="7" t="s">
        <v>35</v>
      </c>
      <c r="L377" s="9" t="str">
        <f>VLOOKUP(K377, 'Alphabetical by species code'!A:B, 2, FALSE)</f>
        <v>Deinandra fasciculata</v>
      </c>
      <c r="M377" s="9" t="str">
        <f>VLOOKUP(L377, 'Alphabetical by species code'!B:C, 2, FALSE)</f>
        <v>Native</v>
      </c>
    </row>
    <row r="378">
      <c r="A378" s="7">
        <v>4.0</v>
      </c>
      <c r="B378" s="7">
        <v>2025.0</v>
      </c>
      <c r="C378" s="10">
        <v>45755.0</v>
      </c>
      <c r="D378" s="7" t="s">
        <v>54</v>
      </c>
      <c r="E378" s="7" t="s">
        <v>26</v>
      </c>
      <c r="F378" s="7">
        <v>3.0</v>
      </c>
      <c r="G378" s="7" t="s">
        <v>27</v>
      </c>
      <c r="H378" s="7">
        <v>2.0</v>
      </c>
      <c r="I378" s="7">
        <v>8.0</v>
      </c>
      <c r="J378" s="7">
        <v>4.0</v>
      </c>
      <c r="K378" s="7" t="s">
        <v>31</v>
      </c>
      <c r="L378" s="9" t="str">
        <f>VLOOKUP(K378, 'Alphabetical by species code'!A:B, 2, FALSE)</f>
        <v>Festuca myuros</v>
      </c>
      <c r="M378" s="9" t="str">
        <f>VLOOKUP(L378, 'Alphabetical by species code'!B:C, 2, FALSE)</f>
        <v>Non-Native</v>
      </c>
    </row>
    <row r="379">
      <c r="A379" s="7">
        <v>4.0</v>
      </c>
      <c r="B379" s="7">
        <v>2025.0</v>
      </c>
      <c r="C379" s="10">
        <v>45755.0</v>
      </c>
      <c r="D379" s="7" t="s">
        <v>54</v>
      </c>
      <c r="E379" s="7" t="s">
        <v>26</v>
      </c>
      <c r="F379" s="7">
        <v>3.0</v>
      </c>
      <c r="G379" s="7" t="s">
        <v>27</v>
      </c>
      <c r="H379" s="7">
        <v>2.0</v>
      </c>
      <c r="I379" s="7">
        <v>8.0</v>
      </c>
      <c r="J379" s="7">
        <v>4.0</v>
      </c>
      <c r="K379" s="7" t="s">
        <v>42</v>
      </c>
      <c r="L379" s="9" t="str">
        <f>VLOOKUP(K379, 'Alphabetical by species code'!A:B, 2, FALSE)</f>
        <v>Centaurea melitensis</v>
      </c>
      <c r="M379" s="9" t="str">
        <f>VLOOKUP(L379, 'Alphabetical by species code'!B:C, 2, FALSE)</f>
        <v>Non-Native</v>
      </c>
    </row>
    <row r="380">
      <c r="A380" s="7">
        <v>4.0</v>
      </c>
      <c r="B380" s="7">
        <v>2025.0</v>
      </c>
      <c r="C380" s="10">
        <v>45755.0</v>
      </c>
      <c r="D380" s="7" t="s">
        <v>54</v>
      </c>
      <c r="E380" s="7" t="s">
        <v>26</v>
      </c>
      <c r="F380" s="7">
        <v>3.0</v>
      </c>
      <c r="G380" s="7" t="s">
        <v>27</v>
      </c>
      <c r="H380" s="7">
        <v>2.0</v>
      </c>
      <c r="I380" s="7">
        <v>9.0</v>
      </c>
      <c r="J380" s="7">
        <v>4.5</v>
      </c>
      <c r="K380" s="7" t="s">
        <v>51</v>
      </c>
      <c r="L380" s="9" t="str">
        <f>VLOOKUP(K380, 'Alphabetical by species code'!A:B, 2, FALSE)</f>
        <v>Bareground</v>
      </c>
      <c r="M380" s="9" t="str">
        <f>VLOOKUP(L380, 'Alphabetical by species code'!B:C, 2, FALSE)</f>
        <v>Ground Cover</v>
      </c>
    </row>
    <row r="381">
      <c r="A381" s="7">
        <v>4.0</v>
      </c>
      <c r="B381" s="7">
        <v>2025.0</v>
      </c>
      <c r="C381" s="10">
        <v>45755.0</v>
      </c>
      <c r="D381" s="7" t="s">
        <v>54</v>
      </c>
      <c r="E381" s="7" t="s">
        <v>26</v>
      </c>
      <c r="F381" s="7">
        <v>3.0</v>
      </c>
      <c r="G381" s="7" t="s">
        <v>27</v>
      </c>
      <c r="H381" s="7">
        <v>2.0</v>
      </c>
      <c r="I381" s="7">
        <v>9.0</v>
      </c>
      <c r="J381" s="7">
        <v>4.5</v>
      </c>
      <c r="K381" s="7" t="s">
        <v>32</v>
      </c>
      <c r="L381" s="9" t="str">
        <f>VLOOKUP(K381, 'Alphabetical by species code'!A:B, 2, FALSE)</f>
        <v>Medicago polymorpha</v>
      </c>
      <c r="M381" s="9" t="str">
        <f>VLOOKUP(L381, 'Alphabetical by species code'!B:C, 2, FALSE)</f>
        <v>Non-Native</v>
      </c>
    </row>
    <row r="382">
      <c r="A382" s="7">
        <v>4.0</v>
      </c>
      <c r="B382" s="7">
        <v>2025.0</v>
      </c>
      <c r="C382" s="10">
        <v>45755.0</v>
      </c>
      <c r="D382" s="7" t="s">
        <v>54</v>
      </c>
      <c r="E382" s="7" t="s">
        <v>26</v>
      </c>
      <c r="F382" s="7">
        <v>3.0</v>
      </c>
      <c r="G382" s="7" t="s">
        <v>27</v>
      </c>
      <c r="H382" s="7">
        <v>2.0</v>
      </c>
      <c r="I382" s="7">
        <v>9.0</v>
      </c>
      <c r="J382" s="7">
        <v>4.5</v>
      </c>
      <c r="K382" s="7" t="s">
        <v>31</v>
      </c>
      <c r="L382" s="9" t="str">
        <f>VLOOKUP(K382, 'Alphabetical by species code'!A:B, 2, FALSE)</f>
        <v>Festuca myuros</v>
      </c>
      <c r="M382" s="9" t="str">
        <f>VLOOKUP(L382, 'Alphabetical by species code'!B:C, 2, FALSE)</f>
        <v>Non-Native</v>
      </c>
    </row>
    <row r="383">
      <c r="A383" s="7">
        <v>4.0</v>
      </c>
      <c r="B383" s="7">
        <v>2025.0</v>
      </c>
      <c r="C383" s="10">
        <v>45755.0</v>
      </c>
      <c r="D383" s="7" t="s">
        <v>54</v>
      </c>
      <c r="E383" s="7" t="s">
        <v>26</v>
      </c>
      <c r="F383" s="7">
        <v>3.0</v>
      </c>
      <c r="G383" s="7" t="s">
        <v>27</v>
      </c>
      <c r="H383" s="7">
        <v>2.0</v>
      </c>
      <c r="I383" s="7">
        <v>9.0</v>
      </c>
      <c r="J383" s="7">
        <v>4.5</v>
      </c>
      <c r="K383" s="7" t="s">
        <v>57</v>
      </c>
      <c r="L383" s="9" t="str">
        <f>VLOOKUP(K383, 'Alphabetical by species code'!A:B, 2, FALSE)</f>
        <v>Stipa pulchra</v>
      </c>
      <c r="M383" s="9" t="str">
        <f>VLOOKUP(L383, 'Alphabetical by species code'!B:C, 2, FALSE)</f>
        <v>Native</v>
      </c>
    </row>
    <row r="384">
      <c r="A384" s="7">
        <v>4.0</v>
      </c>
      <c r="B384" s="7">
        <v>2025.0</v>
      </c>
      <c r="C384" s="10">
        <v>45755.0</v>
      </c>
      <c r="D384" s="7" t="s">
        <v>54</v>
      </c>
      <c r="E384" s="7" t="s">
        <v>26</v>
      </c>
      <c r="F384" s="7">
        <v>3.0</v>
      </c>
      <c r="G384" s="7" t="s">
        <v>27</v>
      </c>
      <c r="H384" s="7">
        <v>2.0</v>
      </c>
      <c r="I384" s="7">
        <v>10.0</v>
      </c>
      <c r="J384" s="7">
        <v>5.0</v>
      </c>
      <c r="K384" s="7" t="s">
        <v>28</v>
      </c>
      <c r="L384" s="9" t="str">
        <f>VLOOKUP(K384, 'Alphabetical by species code'!A:B, 2, FALSE)</f>
        <v>Litter</v>
      </c>
      <c r="M384" s="9" t="str">
        <f>VLOOKUP(L384, 'Alphabetical by species code'!B:C, 2, FALSE)</f>
        <v>Ground Cover</v>
      </c>
    </row>
    <row r="385">
      <c r="A385" s="7">
        <v>4.0</v>
      </c>
      <c r="B385" s="7">
        <v>2025.0</v>
      </c>
      <c r="C385" s="10">
        <v>45755.0</v>
      </c>
      <c r="D385" s="7" t="s">
        <v>54</v>
      </c>
      <c r="E385" s="7" t="s">
        <v>26</v>
      </c>
      <c r="F385" s="7">
        <v>3.0</v>
      </c>
      <c r="G385" s="7" t="s">
        <v>27</v>
      </c>
      <c r="H385" s="7">
        <v>2.0</v>
      </c>
      <c r="I385" s="7">
        <v>10.0</v>
      </c>
      <c r="J385" s="7">
        <v>5.0</v>
      </c>
      <c r="K385" s="7" t="s">
        <v>49</v>
      </c>
      <c r="L385" s="9" t="str">
        <f>VLOOKUP(K385, 'Alphabetical by species code'!A:B, 2, FALSE)</f>
        <v>Anagallis arvensis</v>
      </c>
      <c r="M385" s="9" t="str">
        <f>VLOOKUP(L385, 'Alphabetical by species code'!B:C, 2, FALSE)</f>
        <v>Non-Native</v>
      </c>
    </row>
    <row r="386">
      <c r="A386" s="7">
        <v>4.0</v>
      </c>
      <c r="B386" s="7">
        <v>2025.0</v>
      </c>
      <c r="C386" s="10">
        <v>45755.0</v>
      </c>
      <c r="D386" s="7" t="s">
        <v>54</v>
      </c>
      <c r="E386" s="7" t="s">
        <v>26</v>
      </c>
      <c r="F386" s="7">
        <v>3.0</v>
      </c>
      <c r="G386" s="7" t="s">
        <v>27</v>
      </c>
      <c r="H386" s="7">
        <v>2.0</v>
      </c>
      <c r="I386" s="7">
        <v>10.0</v>
      </c>
      <c r="J386" s="7">
        <v>5.0</v>
      </c>
      <c r="K386" s="7" t="s">
        <v>31</v>
      </c>
      <c r="L386" s="9" t="str">
        <f>VLOOKUP(K386, 'Alphabetical by species code'!A:B, 2, FALSE)</f>
        <v>Festuca myuros</v>
      </c>
      <c r="M386" s="9" t="str">
        <f>VLOOKUP(L386, 'Alphabetical by species code'!B:C, 2, FALSE)</f>
        <v>Non-Native</v>
      </c>
    </row>
    <row r="387">
      <c r="A387" s="7">
        <v>4.0</v>
      </c>
      <c r="B387" s="7">
        <v>2025.0</v>
      </c>
      <c r="C387" s="10">
        <v>45755.0</v>
      </c>
      <c r="D387" s="7" t="s">
        <v>54</v>
      </c>
      <c r="E387" s="7" t="s">
        <v>26</v>
      </c>
      <c r="F387" s="7">
        <v>3.0</v>
      </c>
      <c r="G387" s="7" t="s">
        <v>27</v>
      </c>
      <c r="H387" s="7">
        <v>2.0</v>
      </c>
      <c r="I387" s="7">
        <v>11.0</v>
      </c>
      <c r="J387" s="7">
        <v>5.5</v>
      </c>
      <c r="K387" s="7" t="s">
        <v>38</v>
      </c>
      <c r="L387" s="9" t="str">
        <f>VLOOKUP(K387, 'Alphabetical by species code'!A:B, 2, FALSE)</f>
        <v>Thatch</v>
      </c>
      <c r="M387" s="9" t="str">
        <f>VLOOKUP(L387, 'Alphabetical by species code'!B:C, 2, FALSE)</f>
        <v>Ground Cover</v>
      </c>
    </row>
    <row r="388">
      <c r="A388" s="7">
        <v>4.0</v>
      </c>
      <c r="B388" s="7">
        <v>2025.0</v>
      </c>
      <c r="C388" s="10">
        <v>45755.0</v>
      </c>
      <c r="D388" s="7" t="s">
        <v>54</v>
      </c>
      <c r="E388" s="7" t="s">
        <v>26</v>
      </c>
      <c r="F388" s="7">
        <v>3.0</v>
      </c>
      <c r="G388" s="7" t="s">
        <v>27</v>
      </c>
      <c r="H388" s="7">
        <v>2.0</v>
      </c>
      <c r="I388" s="7">
        <v>11.0</v>
      </c>
      <c r="J388" s="7">
        <v>5.5</v>
      </c>
      <c r="K388" s="7" t="s">
        <v>35</v>
      </c>
      <c r="L388" s="9" t="str">
        <f>VLOOKUP(K388, 'Alphabetical by species code'!A:B, 2, FALSE)</f>
        <v>Deinandra fasciculata</v>
      </c>
      <c r="M388" s="9" t="str">
        <f>VLOOKUP(L388, 'Alphabetical by species code'!B:C, 2, FALSE)</f>
        <v>Native</v>
      </c>
    </row>
    <row r="389">
      <c r="A389" s="7">
        <v>4.0</v>
      </c>
      <c r="B389" s="7">
        <v>2025.0</v>
      </c>
      <c r="C389" s="10">
        <v>45755.0</v>
      </c>
      <c r="D389" s="7" t="s">
        <v>54</v>
      </c>
      <c r="E389" s="7" t="s">
        <v>26</v>
      </c>
      <c r="F389" s="7">
        <v>3.0</v>
      </c>
      <c r="G389" s="7" t="s">
        <v>27</v>
      </c>
      <c r="H389" s="7">
        <v>2.0</v>
      </c>
      <c r="I389" s="7">
        <v>11.0</v>
      </c>
      <c r="J389" s="7">
        <v>5.5</v>
      </c>
      <c r="K389" s="7" t="s">
        <v>42</v>
      </c>
      <c r="L389" s="9" t="str">
        <f>VLOOKUP(K389, 'Alphabetical by species code'!A:B, 2, FALSE)</f>
        <v>Centaurea melitensis</v>
      </c>
      <c r="M389" s="9" t="str">
        <f>VLOOKUP(L389, 'Alphabetical by species code'!B:C, 2, FALSE)</f>
        <v>Non-Native</v>
      </c>
    </row>
    <row r="390">
      <c r="A390" s="7">
        <v>4.0</v>
      </c>
      <c r="B390" s="7">
        <v>2025.0</v>
      </c>
      <c r="C390" s="10">
        <v>45755.0</v>
      </c>
      <c r="D390" s="7" t="s">
        <v>54</v>
      </c>
      <c r="E390" s="7" t="s">
        <v>26</v>
      </c>
      <c r="F390" s="7">
        <v>3.0</v>
      </c>
      <c r="G390" s="7" t="s">
        <v>27</v>
      </c>
      <c r="H390" s="7">
        <v>2.0</v>
      </c>
      <c r="I390" s="7">
        <v>11.0</v>
      </c>
      <c r="J390" s="7">
        <v>5.5</v>
      </c>
      <c r="K390" s="7" t="s">
        <v>31</v>
      </c>
      <c r="L390" s="9" t="str">
        <f>VLOOKUP(K390, 'Alphabetical by species code'!A:B, 2, FALSE)</f>
        <v>Festuca myuros</v>
      </c>
      <c r="M390" s="9" t="str">
        <f>VLOOKUP(L390, 'Alphabetical by species code'!B:C, 2, FALSE)</f>
        <v>Non-Native</v>
      </c>
    </row>
    <row r="391">
      <c r="A391" s="7">
        <v>4.0</v>
      </c>
      <c r="B391" s="7">
        <v>2025.0</v>
      </c>
      <c r="C391" s="10">
        <v>45755.0</v>
      </c>
      <c r="D391" s="7" t="s">
        <v>54</v>
      </c>
      <c r="E391" s="7" t="s">
        <v>26</v>
      </c>
      <c r="F391" s="7">
        <v>3.0</v>
      </c>
      <c r="G391" s="7" t="s">
        <v>27</v>
      </c>
      <c r="H391" s="7">
        <v>2.0</v>
      </c>
      <c r="I391" s="7">
        <v>12.0</v>
      </c>
      <c r="J391" s="7">
        <v>6.0</v>
      </c>
      <c r="K391" s="7" t="s">
        <v>28</v>
      </c>
      <c r="L391" s="9" t="str">
        <f>VLOOKUP(K391, 'Alphabetical by species code'!A:B, 2, FALSE)</f>
        <v>Litter</v>
      </c>
      <c r="M391" s="9" t="str">
        <f>VLOOKUP(L391, 'Alphabetical by species code'!B:C, 2, FALSE)</f>
        <v>Ground Cover</v>
      </c>
    </row>
    <row r="392">
      <c r="A392" s="7">
        <v>4.0</v>
      </c>
      <c r="B392" s="7">
        <v>2025.0</v>
      </c>
      <c r="C392" s="10">
        <v>45755.0</v>
      </c>
      <c r="D392" s="7" t="s">
        <v>54</v>
      </c>
      <c r="E392" s="7" t="s">
        <v>26</v>
      </c>
      <c r="F392" s="7">
        <v>3.0</v>
      </c>
      <c r="G392" s="7" t="s">
        <v>27</v>
      </c>
      <c r="H392" s="7">
        <v>2.0</v>
      </c>
      <c r="I392" s="7">
        <v>12.0</v>
      </c>
      <c r="J392" s="7">
        <v>6.0</v>
      </c>
      <c r="K392" s="7" t="s">
        <v>43</v>
      </c>
      <c r="L392" s="9" t="str">
        <f>VLOOKUP(K392, 'Alphabetical by species code'!A:B, 2, FALSE)</f>
        <v>Uropappus lindleyi</v>
      </c>
      <c r="M392" s="9" t="str">
        <f>VLOOKUP(L392, 'Alphabetical by species code'!B:C, 2, FALSE)</f>
        <v>Native</v>
      </c>
    </row>
    <row r="393">
      <c r="A393" s="7">
        <v>4.0</v>
      </c>
      <c r="B393" s="7">
        <v>2025.0</v>
      </c>
      <c r="C393" s="10">
        <v>45755.0</v>
      </c>
      <c r="D393" s="7" t="s">
        <v>54</v>
      </c>
      <c r="E393" s="7" t="s">
        <v>26</v>
      </c>
      <c r="F393" s="7">
        <v>3.0</v>
      </c>
      <c r="G393" s="7" t="s">
        <v>27</v>
      </c>
      <c r="H393" s="7">
        <v>2.0</v>
      </c>
      <c r="I393" s="7">
        <v>12.0</v>
      </c>
      <c r="J393" s="7">
        <v>6.0</v>
      </c>
      <c r="K393" s="7" t="s">
        <v>31</v>
      </c>
      <c r="L393" s="9" t="str">
        <f>VLOOKUP(K393, 'Alphabetical by species code'!A:B, 2, FALSE)</f>
        <v>Festuca myuros</v>
      </c>
      <c r="M393" s="9" t="str">
        <f>VLOOKUP(L393, 'Alphabetical by species code'!B:C, 2, FALSE)</f>
        <v>Non-Native</v>
      </c>
    </row>
    <row r="394">
      <c r="A394" s="7">
        <v>4.0</v>
      </c>
      <c r="B394" s="7">
        <v>2025.0</v>
      </c>
      <c r="C394" s="10">
        <v>45755.0</v>
      </c>
      <c r="D394" s="7" t="s">
        <v>54</v>
      </c>
      <c r="E394" s="7" t="s">
        <v>26</v>
      </c>
      <c r="F394" s="7">
        <v>3.0</v>
      </c>
      <c r="G394" s="7" t="s">
        <v>27</v>
      </c>
      <c r="H394" s="7">
        <v>2.0</v>
      </c>
      <c r="I394" s="7">
        <v>13.0</v>
      </c>
      <c r="J394" s="7">
        <v>6.5</v>
      </c>
      <c r="K394" s="7" t="s">
        <v>28</v>
      </c>
      <c r="L394" s="9" t="str">
        <f>VLOOKUP(K394, 'Alphabetical by species code'!A:B, 2, FALSE)</f>
        <v>Litter</v>
      </c>
      <c r="M394" s="9" t="str">
        <f>VLOOKUP(L394, 'Alphabetical by species code'!B:C, 2, FALSE)</f>
        <v>Ground Cover</v>
      </c>
    </row>
    <row r="395">
      <c r="A395" s="7">
        <v>4.0</v>
      </c>
      <c r="B395" s="7">
        <v>2025.0</v>
      </c>
      <c r="C395" s="10">
        <v>45755.0</v>
      </c>
      <c r="D395" s="7" t="s">
        <v>54</v>
      </c>
      <c r="E395" s="7" t="s">
        <v>26</v>
      </c>
      <c r="F395" s="7">
        <v>3.0</v>
      </c>
      <c r="G395" s="7" t="s">
        <v>27</v>
      </c>
      <c r="H395" s="7">
        <v>2.0</v>
      </c>
      <c r="I395" s="7">
        <v>13.0</v>
      </c>
      <c r="J395" s="7">
        <v>6.5</v>
      </c>
      <c r="K395" s="7" t="s">
        <v>35</v>
      </c>
      <c r="L395" s="9" t="str">
        <f>VLOOKUP(K395, 'Alphabetical by species code'!A:B, 2, FALSE)</f>
        <v>Deinandra fasciculata</v>
      </c>
      <c r="M395" s="9" t="str">
        <f>VLOOKUP(L395, 'Alphabetical by species code'!B:C, 2, FALSE)</f>
        <v>Native</v>
      </c>
    </row>
    <row r="396">
      <c r="A396" s="7">
        <v>4.0</v>
      </c>
      <c r="B396" s="7">
        <v>2025.0</v>
      </c>
      <c r="C396" s="10">
        <v>45755.0</v>
      </c>
      <c r="D396" s="7" t="s">
        <v>54</v>
      </c>
      <c r="E396" s="7" t="s">
        <v>26</v>
      </c>
      <c r="F396" s="7">
        <v>3.0</v>
      </c>
      <c r="G396" s="7" t="s">
        <v>27</v>
      </c>
      <c r="H396" s="7">
        <v>2.0</v>
      </c>
      <c r="I396" s="7">
        <v>14.0</v>
      </c>
      <c r="J396" s="7">
        <v>7.0</v>
      </c>
      <c r="K396" s="7" t="s">
        <v>28</v>
      </c>
      <c r="L396" s="9" t="str">
        <f>VLOOKUP(K396, 'Alphabetical by species code'!A:B, 2, FALSE)</f>
        <v>Litter</v>
      </c>
      <c r="M396" s="9" t="str">
        <f>VLOOKUP(L396, 'Alphabetical by species code'!B:C, 2, FALSE)</f>
        <v>Ground Cover</v>
      </c>
    </row>
    <row r="397">
      <c r="A397" s="7">
        <v>4.0</v>
      </c>
      <c r="B397" s="7">
        <v>2025.0</v>
      </c>
      <c r="C397" s="10">
        <v>45755.0</v>
      </c>
      <c r="D397" s="7" t="s">
        <v>54</v>
      </c>
      <c r="E397" s="7" t="s">
        <v>26</v>
      </c>
      <c r="F397" s="7">
        <v>3.0</v>
      </c>
      <c r="G397" s="7" t="s">
        <v>27</v>
      </c>
      <c r="H397" s="7">
        <v>2.0</v>
      </c>
      <c r="I397" s="7">
        <v>14.0</v>
      </c>
      <c r="J397" s="7">
        <v>7.0</v>
      </c>
      <c r="K397" s="7" t="s">
        <v>42</v>
      </c>
      <c r="L397" s="9" t="str">
        <f>VLOOKUP(K397, 'Alphabetical by species code'!A:B, 2, FALSE)</f>
        <v>Centaurea melitensis</v>
      </c>
      <c r="M397" s="9" t="str">
        <f>VLOOKUP(L397, 'Alphabetical by species code'!B:C, 2, FALSE)</f>
        <v>Non-Native</v>
      </c>
    </row>
    <row r="398">
      <c r="A398" s="7">
        <v>4.0</v>
      </c>
      <c r="B398" s="7">
        <v>2025.0</v>
      </c>
      <c r="C398" s="10">
        <v>45755.0</v>
      </c>
      <c r="D398" s="7" t="s">
        <v>54</v>
      </c>
      <c r="E398" s="7" t="s">
        <v>26</v>
      </c>
      <c r="F398" s="7">
        <v>3.0</v>
      </c>
      <c r="G398" s="7" t="s">
        <v>27</v>
      </c>
      <c r="H398" s="7">
        <v>2.0</v>
      </c>
      <c r="I398" s="7">
        <v>14.0</v>
      </c>
      <c r="J398" s="7">
        <v>7.0</v>
      </c>
      <c r="K398" s="7" t="s">
        <v>29</v>
      </c>
      <c r="L398" s="9" t="str">
        <f>VLOOKUP(K398, 'Alphabetical by species code'!A:B, 2, FALSE)</f>
        <v>Opuntia littoralis</v>
      </c>
      <c r="M398" s="9" t="str">
        <f>VLOOKUP(L398, 'Alphabetical by species code'!B:C, 2, FALSE)</f>
        <v>Native</v>
      </c>
    </row>
    <row r="399">
      <c r="A399" s="7">
        <v>4.0</v>
      </c>
      <c r="B399" s="7">
        <v>2025.0</v>
      </c>
      <c r="C399" s="10">
        <v>45755.0</v>
      </c>
      <c r="D399" s="7" t="s">
        <v>54</v>
      </c>
      <c r="E399" s="7" t="s">
        <v>26</v>
      </c>
      <c r="F399" s="7">
        <v>3.0</v>
      </c>
      <c r="G399" s="7" t="s">
        <v>27</v>
      </c>
      <c r="H399" s="7">
        <v>2.0</v>
      </c>
      <c r="I399" s="7">
        <v>14.0</v>
      </c>
      <c r="J399" s="7">
        <v>7.0</v>
      </c>
      <c r="K399" s="7" t="s">
        <v>61</v>
      </c>
      <c r="L399" s="9" t="str">
        <f>VLOOKUP(K399, 'Alphabetical by species code'!A:B, 2, FALSE)</f>
        <v>Phacelia cicutaria</v>
      </c>
      <c r="M399" s="9" t="str">
        <f>VLOOKUP(L399, 'Alphabetical by species code'!B:C, 2, FALSE)</f>
        <v>Native</v>
      </c>
    </row>
    <row r="400">
      <c r="A400" s="7">
        <v>4.0</v>
      </c>
      <c r="B400" s="7">
        <v>2025.0</v>
      </c>
      <c r="C400" s="10">
        <v>45755.0</v>
      </c>
      <c r="D400" s="7" t="s">
        <v>54</v>
      </c>
      <c r="E400" s="7" t="s">
        <v>26</v>
      </c>
      <c r="F400" s="7">
        <v>3.0</v>
      </c>
      <c r="G400" s="7" t="s">
        <v>27</v>
      </c>
      <c r="H400" s="7">
        <v>2.0</v>
      </c>
      <c r="I400" s="7">
        <v>15.0</v>
      </c>
      <c r="J400" s="7">
        <v>7.5</v>
      </c>
      <c r="K400" s="7" t="s">
        <v>28</v>
      </c>
      <c r="L400" s="9" t="str">
        <f>VLOOKUP(K400, 'Alphabetical by species code'!A:B, 2, FALSE)</f>
        <v>Litter</v>
      </c>
      <c r="M400" s="9" t="str">
        <f>VLOOKUP(L400, 'Alphabetical by species code'!B:C, 2, FALSE)</f>
        <v>Ground Cover</v>
      </c>
    </row>
    <row r="401">
      <c r="A401" s="7">
        <v>4.0</v>
      </c>
      <c r="B401" s="7">
        <v>2025.0</v>
      </c>
      <c r="C401" s="10">
        <v>45755.0</v>
      </c>
      <c r="D401" s="7" t="s">
        <v>54</v>
      </c>
      <c r="E401" s="7" t="s">
        <v>26</v>
      </c>
      <c r="F401" s="7">
        <v>3.0</v>
      </c>
      <c r="G401" s="7" t="s">
        <v>27</v>
      </c>
      <c r="H401" s="7">
        <v>2.0</v>
      </c>
      <c r="I401" s="7">
        <v>15.0</v>
      </c>
      <c r="J401" s="7">
        <v>7.5</v>
      </c>
      <c r="K401" s="7" t="s">
        <v>35</v>
      </c>
      <c r="L401" s="9" t="str">
        <f>VLOOKUP(K401, 'Alphabetical by species code'!A:B, 2, FALSE)</f>
        <v>Deinandra fasciculata</v>
      </c>
      <c r="M401" s="9" t="str">
        <f>VLOOKUP(L401, 'Alphabetical by species code'!B:C, 2, FALSE)</f>
        <v>Native</v>
      </c>
    </row>
    <row r="402">
      <c r="A402" s="7">
        <v>4.0</v>
      </c>
      <c r="B402" s="7">
        <v>2025.0</v>
      </c>
      <c r="C402" s="10">
        <v>45755.0</v>
      </c>
      <c r="D402" s="7" t="s">
        <v>54</v>
      </c>
      <c r="E402" s="7" t="s">
        <v>26</v>
      </c>
      <c r="F402" s="7">
        <v>3.0</v>
      </c>
      <c r="G402" s="7" t="s">
        <v>27</v>
      </c>
      <c r="H402" s="7">
        <v>2.0</v>
      </c>
      <c r="I402" s="7">
        <v>15.0</v>
      </c>
      <c r="J402" s="7">
        <v>7.5</v>
      </c>
      <c r="K402" s="7" t="s">
        <v>42</v>
      </c>
      <c r="L402" s="9" t="str">
        <f>VLOOKUP(K402, 'Alphabetical by species code'!A:B, 2, FALSE)</f>
        <v>Centaurea melitensis</v>
      </c>
      <c r="M402" s="9" t="str">
        <f>VLOOKUP(L402, 'Alphabetical by species code'!B:C, 2, FALSE)</f>
        <v>Non-Native</v>
      </c>
    </row>
    <row r="403">
      <c r="A403" s="7">
        <v>5.0</v>
      </c>
      <c r="B403" s="7">
        <v>2025.0</v>
      </c>
      <c r="C403" s="10">
        <v>45755.0</v>
      </c>
      <c r="D403" s="7" t="s">
        <v>62</v>
      </c>
      <c r="E403" s="7" t="s">
        <v>26</v>
      </c>
      <c r="F403" s="7">
        <v>3.0</v>
      </c>
      <c r="G403" s="7" t="s">
        <v>63</v>
      </c>
      <c r="H403" s="7">
        <v>1.0</v>
      </c>
      <c r="I403" s="7">
        <v>1.0</v>
      </c>
      <c r="J403" s="7">
        <v>0.0</v>
      </c>
      <c r="K403" s="7" t="s">
        <v>28</v>
      </c>
      <c r="L403" s="9" t="str">
        <f>VLOOKUP(K403, 'Alphabetical by species code'!A:B, 2, FALSE)</f>
        <v>Litter</v>
      </c>
      <c r="M403" s="9" t="str">
        <f>VLOOKUP(L403, 'Alphabetical by species code'!B:C, 2, FALSE)</f>
        <v>Ground Cover</v>
      </c>
    </row>
    <row r="404">
      <c r="A404" s="7">
        <v>5.0</v>
      </c>
      <c r="B404" s="7">
        <v>2025.0</v>
      </c>
      <c r="C404" s="10">
        <v>45755.0</v>
      </c>
      <c r="D404" s="7" t="s">
        <v>62</v>
      </c>
      <c r="E404" s="7" t="s">
        <v>26</v>
      </c>
      <c r="F404" s="7">
        <v>3.0</v>
      </c>
      <c r="G404" s="7" t="s">
        <v>63</v>
      </c>
      <c r="H404" s="7">
        <v>1.0</v>
      </c>
      <c r="I404" s="7">
        <v>1.0</v>
      </c>
      <c r="J404" s="7">
        <v>0.0</v>
      </c>
      <c r="K404" s="7" t="s">
        <v>31</v>
      </c>
      <c r="L404" s="9" t="str">
        <f>VLOOKUP(K404, 'Alphabetical by species code'!A:B, 2, FALSE)</f>
        <v>Festuca myuros</v>
      </c>
      <c r="M404" s="9" t="str">
        <f>VLOOKUP(L404, 'Alphabetical by species code'!B:C, 2, FALSE)</f>
        <v>Non-Native</v>
      </c>
    </row>
    <row r="405">
      <c r="A405" s="7">
        <v>5.0</v>
      </c>
      <c r="B405" s="7">
        <v>2025.0</v>
      </c>
      <c r="C405" s="10">
        <v>45755.0</v>
      </c>
      <c r="D405" s="7" t="s">
        <v>62</v>
      </c>
      <c r="E405" s="7" t="s">
        <v>26</v>
      </c>
      <c r="F405" s="7">
        <v>3.0</v>
      </c>
      <c r="G405" s="7" t="s">
        <v>63</v>
      </c>
      <c r="H405" s="7">
        <v>1.0</v>
      </c>
      <c r="I405" s="7">
        <v>1.0</v>
      </c>
      <c r="J405" s="7">
        <v>0.0</v>
      </c>
      <c r="K405" s="7" t="s">
        <v>32</v>
      </c>
      <c r="L405" s="9" t="str">
        <f>VLOOKUP(K405, 'Alphabetical by species code'!A:B, 2, FALSE)</f>
        <v>Medicago polymorpha</v>
      </c>
      <c r="M405" s="9" t="str">
        <f>VLOOKUP(L405, 'Alphabetical by species code'!B:C, 2, FALSE)</f>
        <v>Non-Native</v>
      </c>
    </row>
    <row r="406">
      <c r="A406" s="7">
        <v>5.0</v>
      </c>
      <c r="B406" s="7">
        <v>2025.0</v>
      </c>
      <c r="C406" s="10">
        <v>45755.0</v>
      </c>
      <c r="D406" s="7" t="s">
        <v>62</v>
      </c>
      <c r="E406" s="7" t="s">
        <v>26</v>
      </c>
      <c r="F406" s="7">
        <v>3.0</v>
      </c>
      <c r="G406" s="7" t="s">
        <v>63</v>
      </c>
      <c r="H406" s="7">
        <v>1.0</v>
      </c>
      <c r="I406" s="7">
        <v>1.0</v>
      </c>
      <c r="J406" s="7">
        <v>0.0</v>
      </c>
      <c r="K406" s="7" t="s">
        <v>42</v>
      </c>
      <c r="L406" s="9" t="str">
        <f>VLOOKUP(K406, 'Alphabetical by species code'!A:B, 2, FALSE)</f>
        <v>Centaurea melitensis</v>
      </c>
      <c r="M406" s="9" t="str">
        <f>VLOOKUP(L406, 'Alphabetical by species code'!B:C, 2, FALSE)</f>
        <v>Non-Native</v>
      </c>
    </row>
    <row r="407">
      <c r="A407" s="7">
        <v>5.0</v>
      </c>
      <c r="B407" s="7">
        <v>2025.0</v>
      </c>
      <c r="C407" s="10">
        <v>45755.0</v>
      </c>
      <c r="D407" s="7" t="s">
        <v>62</v>
      </c>
      <c r="E407" s="7" t="s">
        <v>26</v>
      </c>
      <c r="F407" s="7">
        <v>3.0</v>
      </c>
      <c r="G407" s="7" t="s">
        <v>63</v>
      </c>
      <c r="H407" s="7">
        <v>1.0</v>
      </c>
      <c r="I407" s="7">
        <v>2.0</v>
      </c>
      <c r="J407" s="7">
        <v>1.0</v>
      </c>
      <c r="K407" s="7" t="s">
        <v>28</v>
      </c>
      <c r="L407" s="9" t="str">
        <f>VLOOKUP(K407, 'Alphabetical by species code'!A:B, 2, FALSE)</f>
        <v>Litter</v>
      </c>
      <c r="M407" s="9" t="str">
        <f>VLOOKUP(L407, 'Alphabetical by species code'!B:C, 2, FALSE)</f>
        <v>Ground Cover</v>
      </c>
    </row>
    <row r="408">
      <c r="A408" s="7">
        <v>5.0</v>
      </c>
      <c r="B408" s="7">
        <v>2025.0</v>
      </c>
      <c r="C408" s="10">
        <v>45755.0</v>
      </c>
      <c r="D408" s="7" t="s">
        <v>62</v>
      </c>
      <c r="E408" s="7" t="s">
        <v>26</v>
      </c>
      <c r="F408" s="7">
        <v>3.0</v>
      </c>
      <c r="G408" s="7" t="s">
        <v>63</v>
      </c>
      <c r="H408" s="7">
        <v>1.0</v>
      </c>
      <c r="I408" s="7">
        <v>2.0</v>
      </c>
      <c r="J408" s="7">
        <v>1.0</v>
      </c>
      <c r="K408" s="7" t="s">
        <v>31</v>
      </c>
      <c r="L408" s="9" t="str">
        <f>VLOOKUP(K408, 'Alphabetical by species code'!A:B, 2, FALSE)</f>
        <v>Festuca myuros</v>
      </c>
      <c r="M408" s="9" t="str">
        <f>VLOOKUP(L408, 'Alphabetical by species code'!B:C, 2, FALSE)</f>
        <v>Non-Native</v>
      </c>
    </row>
    <row r="409">
      <c r="A409" s="7">
        <v>5.0</v>
      </c>
      <c r="B409" s="7">
        <v>2025.0</v>
      </c>
      <c r="C409" s="10">
        <v>45755.0</v>
      </c>
      <c r="D409" s="7" t="s">
        <v>62</v>
      </c>
      <c r="E409" s="7" t="s">
        <v>26</v>
      </c>
      <c r="F409" s="7">
        <v>3.0</v>
      </c>
      <c r="G409" s="7" t="s">
        <v>63</v>
      </c>
      <c r="H409" s="7">
        <v>1.0</v>
      </c>
      <c r="I409" s="7">
        <v>2.0</v>
      </c>
      <c r="J409" s="7">
        <v>1.0</v>
      </c>
      <c r="K409" s="7" t="s">
        <v>39</v>
      </c>
      <c r="L409" s="9" t="str">
        <f>VLOOKUP(K409, 'Alphabetical by species code'!A:B, 2, FALSE)</f>
        <v>Stephanomeria diegensis</v>
      </c>
      <c r="M409" s="9" t="str">
        <f>VLOOKUP(L409, 'Alphabetical by species code'!B:C, 2, FALSE)</f>
        <v>Native</v>
      </c>
    </row>
    <row r="410">
      <c r="A410" s="7">
        <v>5.0</v>
      </c>
      <c r="B410" s="7">
        <v>2025.0</v>
      </c>
      <c r="C410" s="10">
        <v>45755.0</v>
      </c>
      <c r="D410" s="7" t="s">
        <v>62</v>
      </c>
      <c r="E410" s="7" t="s">
        <v>26</v>
      </c>
      <c r="F410" s="7">
        <v>3.0</v>
      </c>
      <c r="G410" s="7" t="s">
        <v>63</v>
      </c>
      <c r="H410" s="7">
        <v>1.0</v>
      </c>
      <c r="I410" s="7">
        <v>3.0</v>
      </c>
      <c r="J410" s="7">
        <v>1.5</v>
      </c>
      <c r="K410" s="7" t="s">
        <v>28</v>
      </c>
      <c r="L410" s="9" t="str">
        <f>VLOOKUP(K410, 'Alphabetical by species code'!A:B, 2, FALSE)</f>
        <v>Litter</v>
      </c>
      <c r="M410" s="9" t="str">
        <f>VLOOKUP(L410, 'Alphabetical by species code'!B:C, 2, FALSE)</f>
        <v>Ground Cover</v>
      </c>
    </row>
    <row r="411">
      <c r="A411" s="7">
        <v>5.0</v>
      </c>
      <c r="B411" s="7">
        <v>2025.0</v>
      </c>
      <c r="C411" s="10">
        <v>45755.0</v>
      </c>
      <c r="D411" s="7" t="s">
        <v>62</v>
      </c>
      <c r="E411" s="7" t="s">
        <v>26</v>
      </c>
      <c r="F411" s="7">
        <v>3.0</v>
      </c>
      <c r="G411" s="7" t="s">
        <v>63</v>
      </c>
      <c r="H411" s="7">
        <v>1.0</v>
      </c>
      <c r="I411" s="7">
        <v>3.0</v>
      </c>
      <c r="J411" s="7">
        <v>1.5</v>
      </c>
      <c r="K411" s="7" t="s">
        <v>55</v>
      </c>
      <c r="L411" s="9" t="str">
        <f>VLOOKUP(K411, 'Alphabetical by species code'!A:B, 2, FALSE)</f>
        <v>Daucus pusillus</v>
      </c>
      <c r="M411" s="9" t="str">
        <f>VLOOKUP(L411, 'Alphabetical by species code'!B:C, 2, FALSE)</f>
        <v>Native</v>
      </c>
    </row>
    <row r="412">
      <c r="A412" s="7">
        <v>5.0</v>
      </c>
      <c r="B412" s="7">
        <v>2025.0</v>
      </c>
      <c r="C412" s="10">
        <v>45755.0</v>
      </c>
      <c r="D412" s="7" t="s">
        <v>62</v>
      </c>
      <c r="E412" s="7" t="s">
        <v>26</v>
      </c>
      <c r="F412" s="7">
        <v>3.0</v>
      </c>
      <c r="G412" s="7" t="s">
        <v>63</v>
      </c>
      <c r="H412" s="7">
        <v>1.0</v>
      </c>
      <c r="I412" s="7">
        <v>3.0</v>
      </c>
      <c r="J412" s="7">
        <v>1.5</v>
      </c>
      <c r="K412" s="7" t="s">
        <v>49</v>
      </c>
      <c r="L412" s="9" t="str">
        <f>VLOOKUP(K412, 'Alphabetical by species code'!A:B, 2, FALSE)</f>
        <v>Anagallis arvensis</v>
      </c>
      <c r="M412" s="9" t="str">
        <f>VLOOKUP(L412, 'Alphabetical by species code'!B:C, 2, FALSE)</f>
        <v>Non-Native</v>
      </c>
    </row>
    <row r="413">
      <c r="A413" s="7">
        <v>5.0</v>
      </c>
      <c r="B413" s="7">
        <v>2025.0</v>
      </c>
      <c r="C413" s="10">
        <v>45755.0</v>
      </c>
      <c r="D413" s="7" t="s">
        <v>62</v>
      </c>
      <c r="E413" s="7" t="s">
        <v>26</v>
      </c>
      <c r="F413" s="7">
        <v>3.0</v>
      </c>
      <c r="G413" s="7" t="s">
        <v>63</v>
      </c>
      <c r="H413" s="7">
        <v>1.0</v>
      </c>
      <c r="I413" s="7">
        <v>3.0</v>
      </c>
      <c r="J413" s="7">
        <v>1.5</v>
      </c>
      <c r="K413" s="7" t="s">
        <v>31</v>
      </c>
      <c r="L413" s="9" t="str">
        <f>VLOOKUP(K413, 'Alphabetical by species code'!A:B, 2, FALSE)</f>
        <v>Festuca myuros</v>
      </c>
      <c r="M413" s="9" t="str">
        <f>VLOOKUP(L413, 'Alphabetical by species code'!B:C, 2, FALSE)</f>
        <v>Non-Native</v>
      </c>
    </row>
    <row r="414">
      <c r="A414" s="7">
        <v>5.0</v>
      </c>
      <c r="B414" s="7">
        <v>2025.0</v>
      </c>
      <c r="C414" s="10">
        <v>45755.0</v>
      </c>
      <c r="D414" s="7" t="s">
        <v>62</v>
      </c>
      <c r="E414" s="7" t="s">
        <v>26</v>
      </c>
      <c r="F414" s="7">
        <v>3.0</v>
      </c>
      <c r="G414" s="7" t="s">
        <v>63</v>
      </c>
      <c r="H414" s="7">
        <v>1.0</v>
      </c>
      <c r="I414" s="7">
        <v>4.0</v>
      </c>
      <c r="J414" s="7">
        <v>2.0</v>
      </c>
      <c r="K414" s="7" t="s">
        <v>28</v>
      </c>
      <c r="L414" s="9" t="str">
        <f>VLOOKUP(K414, 'Alphabetical by species code'!A:B, 2, FALSE)</f>
        <v>Litter</v>
      </c>
      <c r="M414" s="9" t="str">
        <f>VLOOKUP(L414, 'Alphabetical by species code'!B:C, 2, FALSE)</f>
        <v>Ground Cover</v>
      </c>
    </row>
    <row r="415">
      <c r="A415" s="7">
        <v>5.0</v>
      </c>
      <c r="B415" s="7">
        <v>2025.0</v>
      </c>
      <c r="C415" s="10">
        <v>45755.0</v>
      </c>
      <c r="D415" s="7" t="s">
        <v>62</v>
      </c>
      <c r="E415" s="7" t="s">
        <v>26</v>
      </c>
      <c r="F415" s="7">
        <v>3.0</v>
      </c>
      <c r="G415" s="7" t="s">
        <v>63</v>
      </c>
      <c r="H415" s="7">
        <v>1.0</v>
      </c>
      <c r="I415" s="7">
        <v>4.0</v>
      </c>
      <c r="J415" s="7">
        <v>2.0</v>
      </c>
      <c r="K415" s="7" t="s">
        <v>32</v>
      </c>
      <c r="L415" s="9" t="str">
        <f>VLOOKUP(K415, 'Alphabetical by species code'!A:B, 2, FALSE)</f>
        <v>Medicago polymorpha</v>
      </c>
      <c r="M415" s="9" t="str">
        <f>VLOOKUP(L415, 'Alphabetical by species code'!B:C, 2, FALSE)</f>
        <v>Non-Native</v>
      </c>
    </row>
    <row r="416">
      <c r="A416" s="7">
        <v>5.0</v>
      </c>
      <c r="B416" s="7">
        <v>2025.0</v>
      </c>
      <c r="C416" s="10">
        <v>45755.0</v>
      </c>
      <c r="D416" s="7" t="s">
        <v>62</v>
      </c>
      <c r="E416" s="7" t="s">
        <v>26</v>
      </c>
      <c r="F416" s="7">
        <v>3.0</v>
      </c>
      <c r="G416" s="7" t="s">
        <v>63</v>
      </c>
      <c r="H416" s="7">
        <v>1.0</v>
      </c>
      <c r="I416" s="7">
        <v>4.0</v>
      </c>
      <c r="J416" s="7">
        <v>2.0</v>
      </c>
      <c r="K416" s="7" t="s">
        <v>31</v>
      </c>
      <c r="L416" s="9" t="str">
        <f>VLOOKUP(K416, 'Alphabetical by species code'!A:B, 2, FALSE)</f>
        <v>Festuca myuros</v>
      </c>
      <c r="M416" s="9" t="str">
        <f>VLOOKUP(L416, 'Alphabetical by species code'!B:C, 2, FALSE)</f>
        <v>Non-Native</v>
      </c>
    </row>
    <row r="417">
      <c r="A417" s="7">
        <v>5.0</v>
      </c>
      <c r="B417" s="7">
        <v>2025.0</v>
      </c>
      <c r="C417" s="10">
        <v>45755.0</v>
      </c>
      <c r="D417" s="7" t="s">
        <v>62</v>
      </c>
      <c r="E417" s="7" t="s">
        <v>26</v>
      </c>
      <c r="F417" s="7">
        <v>3.0</v>
      </c>
      <c r="G417" s="7" t="s">
        <v>63</v>
      </c>
      <c r="H417" s="7">
        <v>1.0</v>
      </c>
      <c r="I417" s="7">
        <v>4.0</v>
      </c>
      <c r="J417" s="7">
        <v>2.0</v>
      </c>
      <c r="K417" s="7" t="s">
        <v>64</v>
      </c>
      <c r="L417" s="9" t="str">
        <f>VLOOKUP(K417, 'Alphabetical by species code'!A:B, 2, FALSE)</f>
        <v>Brassica nigra</v>
      </c>
      <c r="M417" s="9" t="str">
        <f>VLOOKUP(L417, 'Alphabetical by species code'!B:C, 2, FALSE)</f>
        <v>Non-Native</v>
      </c>
    </row>
    <row r="418">
      <c r="A418" s="7">
        <v>5.0</v>
      </c>
      <c r="B418" s="7">
        <v>2025.0</v>
      </c>
      <c r="C418" s="10">
        <v>45755.0</v>
      </c>
      <c r="D418" s="7" t="s">
        <v>62</v>
      </c>
      <c r="E418" s="7" t="s">
        <v>26</v>
      </c>
      <c r="F418" s="7">
        <v>3.0</v>
      </c>
      <c r="G418" s="7" t="s">
        <v>63</v>
      </c>
      <c r="H418" s="7">
        <v>1.0</v>
      </c>
      <c r="I418" s="7">
        <v>5.0</v>
      </c>
      <c r="J418" s="7">
        <v>3.0</v>
      </c>
      <c r="K418" s="7" t="s">
        <v>28</v>
      </c>
      <c r="L418" s="9" t="str">
        <f>VLOOKUP(K418, 'Alphabetical by species code'!A:B, 2, FALSE)</f>
        <v>Litter</v>
      </c>
      <c r="M418" s="9" t="str">
        <f>VLOOKUP(L418, 'Alphabetical by species code'!B:C, 2, FALSE)</f>
        <v>Ground Cover</v>
      </c>
    </row>
    <row r="419">
      <c r="A419" s="7">
        <v>5.0</v>
      </c>
      <c r="B419" s="7">
        <v>2025.0</v>
      </c>
      <c r="C419" s="10">
        <v>45755.0</v>
      </c>
      <c r="D419" s="7" t="s">
        <v>62</v>
      </c>
      <c r="E419" s="7" t="s">
        <v>26</v>
      </c>
      <c r="F419" s="7">
        <v>3.0</v>
      </c>
      <c r="G419" s="7" t="s">
        <v>63</v>
      </c>
      <c r="H419" s="7">
        <v>1.0</v>
      </c>
      <c r="I419" s="7">
        <v>5.0</v>
      </c>
      <c r="J419" s="7">
        <v>3.0</v>
      </c>
      <c r="K419" s="7" t="s">
        <v>49</v>
      </c>
      <c r="L419" s="9" t="str">
        <f>VLOOKUP(K419, 'Alphabetical by species code'!A:B, 2, FALSE)</f>
        <v>Anagallis arvensis</v>
      </c>
      <c r="M419" s="9" t="str">
        <f>VLOOKUP(L419, 'Alphabetical by species code'!B:C, 2, FALSE)</f>
        <v>Non-Native</v>
      </c>
    </row>
    <row r="420">
      <c r="A420" s="7">
        <v>5.0</v>
      </c>
      <c r="B420" s="7">
        <v>2025.0</v>
      </c>
      <c r="C420" s="10">
        <v>45755.0</v>
      </c>
      <c r="D420" s="7" t="s">
        <v>62</v>
      </c>
      <c r="E420" s="7" t="s">
        <v>26</v>
      </c>
      <c r="F420" s="7">
        <v>3.0</v>
      </c>
      <c r="G420" s="7" t="s">
        <v>63</v>
      </c>
      <c r="H420" s="7">
        <v>1.0</v>
      </c>
      <c r="I420" s="7">
        <v>5.0</v>
      </c>
      <c r="J420" s="7">
        <v>3.0</v>
      </c>
      <c r="K420" s="7" t="s">
        <v>32</v>
      </c>
      <c r="L420" s="9" t="str">
        <f>VLOOKUP(K420, 'Alphabetical by species code'!A:B, 2, FALSE)</f>
        <v>Medicago polymorpha</v>
      </c>
      <c r="M420" s="9" t="str">
        <f>VLOOKUP(L420, 'Alphabetical by species code'!B:C, 2, FALSE)</f>
        <v>Non-Native</v>
      </c>
    </row>
    <row r="421">
      <c r="A421" s="7">
        <v>5.0</v>
      </c>
      <c r="B421" s="7">
        <v>2025.0</v>
      </c>
      <c r="C421" s="10">
        <v>45755.0</v>
      </c>
      <c r="D421" s="7" t="s">
        <v>62</v>
      </c>
      <c r="E421" s="7" t="s">
        <v>26</v>
      </c>
      <c r="F421" s="7">
        <v>3.0</v>
      </c>
      <c r="G421" s="7" t="s">
        <v>63</v>
      </c>
      <c r="H421" s="7">
        <v>1.0</v>
      </c>
      <c r="I421" s="7">
        <v>5.0</v>
      </c>
      <c r="J421" s="7">
        <v>3.0</v>
      </c>
      <c r="K421" s="7" t="s">
        <v>42</v>
      </c>
      <c r="L421" s="9" t="str">
        <f>VLOOKUP(K421, 'Alphabetical by species code'!A:B, 2, FALSE)</f>
        <v>Centaurea melitensis</v>
      </c>
      <c r="M421" s="9" t="str">
        <f>VLOOKUP(L421, 'Alphabetical by species code'!B:C, 2, FALSE)</f>
        <v>Non-Native</v>
      </c>
    </row>
    <row r="422">
      <c r="A422" s="7">
        <v>5.0</v>
      </c>
      <c r="B422" s="7">
        <v>2025.0</v>
      </c>
      <c r="C422" s="10">
        <v>45755.0</v>
      </c>
      <c r="D422" s="7" t="s">
        <v>62</v>
      </c>
      <c r="E422" s="7" t="s">
        <v>26</v>
      </c>
      <c r="F422" s="7">
        <v>3.0</v>
      </c>
      <c r="G422" s="7" t="s">
        <v>63</v>
      </c>
      <c r="H422" s="7">
        <v>1.0</v>
      </c>
      <c r="I422" s="7">
        <v>6.0</v>
      </c>
      <c r="J422" s="7">
        <v>3.5</v>
      </c>
      <c r="K422" s="7" t="s">
        <v>28</v>
      </c>
      <c r="L422" s="9" t="str">
        <f>VLOOKUP(K422, 'Alphabetical by species code'!A:B, 2, FALSE)</f>
        <v>Litter</v>
      </c>
      <c r="M422" s="9" t="str">
        <f>VLOOKUP(L422, 'Alphabetical by species code'!B:C, 2, FALSE)</f>
        <v>Ground Cover</v>
      </c>
    </row>
    <row r="423">
      <c r="A423" s="7">
        <v>5.0</v>
      </c>
      <c r="B423" s="7">
        <v>2025.0</v>
      </c>
      <c r="C423" s="10">
        <v>45755.0</v>
      </c>
      <c r="D423" s="7" t="s">
        <v>62</v>
      </c>
      <c r="E423" s="7" t="s">
        <v>26</v>
      </c>
      <c r="F423" s="7">
        <v>3.0</v>
      </c>
      <c r="G423" s="7" t="s">
        <v>63</v>
      </c>
      <c r="H423" s="7">
        <v>1.0</v>
      </c>
      <c r="I423" s="7">
        <v>6.0</v>
      </c>
      <c r="J423" s="7">
        <v>3.5</v>
      </c>
      <c r="K423" s="7" t="s">
        <v>32</v>
      </c>
      <c r="L423" s="9" t="str">
        <f>VLOOKUP(K423, 'Alphabetical by species code'!A:B, 2, FALSE)</f>
        <v>Medicago polymorpha</v>
      </c>
      <c r="M423" s="9" t="str">
        <f>VLOOKUP(L423, 'Alphabetical by species code'!B:C, 2, FALSE)</f>
        <v>Non-Native</v>
      </c>
    </row>
    <row r="424">
      <c r="A424" s="7">
        <v>5.0</v>
      </c>
      <c r="B424" s="7">
        <v>2025.0</v>
      </c>
      <c r="C424" s="10">
        <v>45755.0</v>
      </c>
      <c r="D424" s="7" t="s">
        <v>62</v>
      </c>
      <c r="E424" s="7" t="s">
        <v>26</v>
      </c>
      <c r="F424" s="7">
        <v>3.0</v>
      </c>
      <c r="G424" s="7" t="s">
        <v>63</v>
      </c>
      <c r="H424" s="7">
        <v>1.0</v>
      </c>
      <c r="I424" s="7">
        <v>6.0</v>
      </c>
      <c r="J424" s="7">
        <v>3.5</v>
      </c>
      <c r="K424" s="7" t="s">
        <v>31</v>
      </c>
      <c r="L424" s="9" t="str">
        <f>VLOOKUP(K424, 'Alphabetical by species code'!A:B, 2, FALSE)</f>
        <v>Festuca myuros</v>
      </c>
      <c r="M424" s="9" t="str">
        <f>VLOOKUP(L424, 'Alphabetical by species code'!B:C, 2, FALSE)</f>
        <v>Non-Native</v>
      </c>
    </row>
    <row r="425">
      <c r="A425" s="7">
        <v>5.0</v>
      </c>
      <c r="B425" s="7">
        <v>2025.0</v>
      </c>
      <c r="C425" s="10">
        <v>45755.0</v>
      </c>
      <c r="D425" s="7" t="s">
        <v>62</v>
      </c>
      <c r="E425" s="7" t="s">
        <v>26</v>
      </c>
      <c r="F425" s="7">
        <v>3.0</v>
      </c>
      <c r="G425" s="7" t="s">
        <v>63</v>
      </c>
      <c r="H425" s="7">
        <v>1.0</v>
      </c>
      <c r="I425" s="7">
        <v>6.0</v>
      </c>
      <c r="J425" s="7">
        <v>3.5</v>
      </c>
      <c r="K425" s="7" t="s">
        <v>42</v>
      </c>
      <c r="L425" s="9" t="str">
        <f>VLOOKUP(K425, 'Alphabetical by species code'!A:B, 2, FALSE)</f>
        <v>Centaurea melitensis</v>
      </c>
      <c r="M425" s="9" t="str">
        <f>VLOOKUP(L425, 'Alphabetical by species code'!B:C, 2, FALSE)</f>
        <v>Non-Native</v>
      </c>
    </row>
    <row r="426">
      <c r="A426" s="7">
        <v>5.0</v>
      </c>
      <c r="B426" s="7">
        <v>2025.0</v>
      </c>
      <c r="C426" s="10">
        <v>45755.0</v>
      </c>
      <c r="D426" s="7" t="s">
        <v>62</v>
      </c>
      <c r="E426" s="7" t="s">
        <v>26</v>
      </c>
      <c r="F426" s="7">
        <v>3.0</v>
      </c>
      <c r="G426" s="7" t="s">
        <v>63</v>
      </c>
      <c r="H426" s="7">
        <v>1.0</v>
      </c>
      <c r="I426" s="7">
        <v>6.0</v>
      </c>
      <c r="J426" s="7">
        <v>3.5</v>
      </c>
      <c r="K426" s="7" t="s">
        <v>48</v>
      </c>
      <c r="L426" s="9" t="str">
        <f>VLOOKUP(K426, 'Alphabetical by species code'!A:B, 2, FALSE)</f>
        <v>Sonchus asper</v>
      </c>
      <c r="M426" s="9" t="str">
        <f>VLOOKUP(L426, 'Alphabetical by species code'!B:C, 2, FALSE)</f>
        <v>Non-Native</v>
      </c>
    </row>
    <row r="427">
      <c r="A427" s="7">
        <v>5.0</v>
      </c>
      <c r="B427" s="7">
        <v>2025.0</v>
      </c>
      <c r="C427" s="10">
        <v>45755.0</v>
      </c>
      <c r="D427" s="7" t="s">
        <v>62</v>
      </c>
      <c r="E427" s="7" t="s">
        <v>26</v>
      </c>
      <c r="F427" s="7">
        <v>3.0</v>
      </c>
      <c r="G427" s="7" t="s">
        <v>63</v>
      </c>
      <c r="H427" s="7">
        <v>1.0</v>
      </c>
      <c r="I427" s="7">
        <v>7.0</v>
      </c>
      <c r="J427" s="7">
        <v>4.0</v>
      </c>
      <c r="K427" s="7" t="s">
        <v>28</v>
      </c>
      <c r="L427" s="9" t="str">
        <f>VLOOKUP(K427, 'Alphabetical by species code'!A:B, 2, FALSE)</f>
        <v>Litter</v>
      </c>
      <c r="M427" s="9" t="str">
        <f>VLOOKUP(L427, 'Alphabetical by species code'!B:C, 2, FALSE)</f>
        <v>Ground Cover</v>
      </c>
    </row>
    <row r="428">
      <c r="A428" s="7">
        <v>5.0</v>
      </c>
      <c r="B428" s="7">
        <v>2025.0</v>
      </c>
      <c r="C428" s="10">
        <v>45755.0</v>
      </c>
      <c r="D428" s="7" t="s">
        <v>62</v>
      </c>
      <c r="E428" s="7" t="s">
        <v>26</v>
      </c>
      <c r="F428" s="7">
        <v>3.0</v>
      </c>
      <c r="G428" s="7" t="s">
        <v>63</v>
      </c>
      <c r="H428" s="7">
        <v>1.0</v>
      </c>
      <c r="I428" s="7">
        <v>7.0</v>
      </c>
      <c r="J428" s="7">
        <v>4.0</v>
      </c>
      <c r="K428" s="7" t="s">
        <v>32</v>
      </c>
      <c r="L428" s="9" t="str">
        <f>VLOOKUP(K428, 'Alphabetical by species code'!A:B, 2, FALSE)</f>
        <v>Medicago polymorpha</v>
      </c>
      <c r="M428" s="9" t="str">
        <f>VLOOKUP(L428, 'Alphabetical by species code'!B:C, 2, FALSE)</f>
        <v>Non-Native</v>
      </c>
    </row>
    <row r="429">
      <c r="A429" s="7">
        <v>5.0</v>
      </c>
      <c r="B429" s="7">
        <v>2025.0</v>
      </c>
      <c r="C429" s="10">
        <v>45755.0</v>
      </c>
      <c r="D429" s="7" t="s">
        <v>62</v>
      </c>
      <c r="E429" s="7" t="s">
        <v>26</v>
      </c>
      <c r="F429" s="7">
        <v>3.0</v>
      </c>
      <c r="G429" s="7" t="s">
        <v>63</v>
      </c>
      <c r="H429" s="7">
        <v>1.0</v>
      </c>
      <c r="I429" s="7">
        <v>7.0</v>
      </c>
      <c r="J429" s="7">
        <v>4.0</v>
      </c>
      <c r="K429" s="7" t="s">
        <v>42</v>
      </c>
      <c r="L429" s="9" t="str">
        <f>VLOOKUP(K429, 'Alphabetical by species code'!A:B, 2, FALSE)</f>
        <v>Centaurea melitensis</v>
      </c>
      <c r="M429" s="9" t="str">
        <f>VLOOKUP(L429, 'Alphabetical by species code'!B:C, 2, FALSE)</f>
        <v>Non-Native</v>
      </c>
    </row>
    <row r="430">
      <c r="A430" s="7">
        <v>5.0</v>
      </c>
      <c r="B430" s="7">
        <v>2025.0</v>
      </c>
      <c r="C430" s="10">
        <v>45755.0</v>
      </c>
      <c r="D430" s="7" t="s">
        <v>62</v>
      </c>
      <c r="E430" s="7" t="s">
        <v>26</v>
      </c>
      <c r="F430" s="7">
        <v>3.0</v>
      </c>
      <c r="G430" s="7" t="s">
        <v>63</v>
      </c>
      <c r="H430" s="7">
        <v>1.0</v>
      </c>
      <c r="I430" s="7">
        <v>7.0</v>
      </c>
      <c r="J430" s="7">
        <v>4.0</v>
      </c>
      <c r="K430" s="7" t="s">
        <v>31</v>
      </c>
      <c r="L430" s="9" t="str">
        <f>VLOOKUP(K430, 'Alphabetical by species code'!A:B, 2, FALSE)</f>
        <v>Festuca myuros</v>
      </c>
      <c r="M430" s="9" t="str">
        <f>VLOOKUP(L430, 'Alphabetical by species code'!B:C, 2, FALSE)</f>
        <v>Non-Native</v>
      </c>
    </row>
    <row r="431">
      <c r="A431" s="7">
        <v>5.0</v>
      </c>
      <c r="B431" s="7">
        <v>2025.0</v>
      </c>
      <c r="C431" s="10">
        <v>45755.0</v>
      </c>
      <c r="D431" s="7" t="s">
        <v>62</v>
      </c>
      <c r="E431" s="7" t="s">
        <v>26</v>
      </c>
      <c r="F431" s="7">
        <v>3.0</v>
      </c>
      <c r="G431" s="7" t="s">
        <v>63</v>
      </c>
      <c r="H431" s="7">
        <v>1.0</v>
      </c>
      <c r="I431" s="7">
        <v>8.0</v>
      </c>
      <c r="J431" s="7">
        <v>5.0</v>
      </c>
      <c r="K431" s="7" t="s">
        <v>28</v>
      </c>
      <c r="L431" s="9" t="str">
        <f>VLOOKUP(K431, 'Alphabetical by species code'!A:B, 2, FALSE)</f>
        <v>Litter</v>
      </c>
      <c r="M431" s="9" t="str">
        <f>VLOOKUP(L431, 'Alphabetical by species code'!B:C, 2, FALSE)</f>
        <v>Ground Cover</v>
      </c>
    </row>
    <row r="432">
      <c r="A432" s="7">
        <v>5.0</v>
      </c>
      <c r="B432" s="7">
        <v>2025.0</v>
      </c>
      <c r="C432" s="10">
        <v>45755.0</v>
      </c>
      <c r="D432" s="7" t="s">
        <v>62</v>
      </c>
      <c r="E432" s="7" t="s">
        <v>26</v>
      </c>
      <c r="F432" s="7">
        <v>3.0</v>
      </c>
      <c r="G432" s="7" t="s">
        <v>63</v>
      </c>
      <c r="H432" s="7">
        <v>1.0</v>
      </c>
      <c r="I432" s="7">
        <v>8.0</v>
      </c>
      <c r="J432" s="7">
        <v>5.0</v>
      </c>
      <c r="K432" s="7" t="s">
        <v>35</v>
      </c>
      <c r="L432" s="9" t="str">
        <f>VLOOKUP(K432, 'Alphabetical by species code'!A:B, 2, FALSE)</f>
        <v>Deinandra fasciculata</v>
      </c>
      <c r="M432" s="9" t="str">
        <f>VLOOKUP(L432, 'Alphabetical by species code'!B:C, 2, FALSE)</f>
        <v>Native</v>
      </c>
    </row>
    <row r="433">
      <c r="A433" s="7">
        <v>5.0</v>
      </c>
      <c r="B433" s="7">
        <v>2025.0</v>
      </c>
      <c r="C433" s="10">
        <v>45755.0</v>
      </c>
      <c r="D433" s="7" t="s">
        <v>62</v>
      </c>
      <c r="E433" s="7" t="s">
        <v>26</v>
      </c>
      <c r="F433" s="7">
        <v>3.0</v>
      </c>
      <c r="G433" s="7" t="s">
        <v>63</v>
      </c>
      <c r="H433" s="7">
        <v>1.0</v>
      </c>
      <c r="I433" s="7">
        <v>8.0</v>
      </c>
      <c r="J433" s="7">
        <v>5.0</v>
      </c>
      <c r="K433" s="7" t="s">
        <v>31</v>
      </c>
      <c r="L433" s="9" t="str">
        <f>VLOOKUP(K433, 'Alphabetical by species code'!A:B, 2, FALSE)</f>
        <v>Festuca myuros</v>
      </c>
      <c r="M433" s="9" t="str">
        <f>VLOOKUP(L433, 'Alphabetical by species code'!B:C, 2, FALSE)</f>
        <v>Non-Native</v>
      </c>
    </row>
    <row r="434">
      <c r="A434" s="7">
        <v>5.0</v>
      </c>
      <c r="B434" s="7">
        <v>2025.0</v>
      </c>
      <c r="C434" s="10">
        <v>45755.0</v>
      </c>
      <c r="D434" s="7" t="s">
        <v>62</v>
      </c>
      <c r="E434" s="7" t="s">
        <v>26</v>
      </c>
      <c r="F434" s="7">
        <v>3.0</v>
      </c>
      <c r="G434" s="7" t="s">
        <v>63</v>
      </c>
      <c r="H434" s="7">
        <v>1.0</v>
      </c>
      <c r="I434" s="7">
        <v>8.0</v>
      </c>
      <c r="J434" s="7">
        <v>5.0</v>
      </c>
      <c r="K434" s="7" t="s">
        <v>48</v>
      </c>
      <c r="L434" s="9" t="str">
        <f>VLOOKUP(K434, 'Alphabetical by species code'!A:B, 2, FALSE)</f>
        <v>Sonchus asper</v>
      </c>
      <c r="M434" s="9" t="str">
        <f>VLOOKUP(L434, 'Alphabetical by species code'!B:C, 2, FALSE)</f>
        <v>Non-Native</v>
      </c>
    </row>
    <row r="435">
      <c r="A435" s="7">
        <v>5.0</v>
      </c>
      <c r="B435" s="7">
        <v>2025.0</v>
      </c>
      <c r="C435" s="10">
        <v>45755.0</v>
      </c>
      <c r="D435" s="7" t="s">
        <v>62</v>
      </c>
      <c r="E435" s="7" t="s">
        <v>26</v>
      </c>
      <c r="F435" s="7">
        <v>3.0</v>
      </c>
      <c r="G435" s="7" t="s">
        <v>63</v>
      </c>
      <c r="H435" s="7">
        <v>1.0</v>
      </c>
      <c r="I435" s="7">
        <v>8.0</v>
      </c>
      <c r="J435" s="7">
        <v>5.0</v>
      </c>
      <c r="K435" s="7" t="s">
        <v>39</v>
      </c>
      <c r="L435" s="9" t="str">
        <f>VLOOKUP(K435, 'Alphabetical by species code'!A:B, 2, FALSE)</f>
        <v>Stephanomeria diegensis</v>
      </c>
      <c r="M435" s="9" t="str">
        <f>VLOOKUP(L435, 'Alphabetical by species code'!B:C, 2, FALSE)</f>
        <v>Native</v>
      </c>
    </row>
    <row r="436">
      <c r="A436" s="7">
        <v>5.0</v>
      </c>
      <c r="B436" s="7">
        <v>2025.0</v>
      </c>
      <c r="C436" s="10">
        <v>45755.0</v>
      </c>
      <c r="D436" s="7" t="s">
        <v>62</v>
      </c>
      <c r="E436" s="7" t="s">
        <v>26</v>
      </c>
      <c r="F436" s="7">
        <v>3.0</v>
      </c>
      <c r="G436" s="7" t="s">
        <v>63</v>
      </c>
      <c r="H436" s="7">
        <v>1.0</v>
      </c>
      <c r="I436" s="7">
        <v>9.0</v>
      </c>
      <c r="J436" s="7">
        <v>7.0</v>
      </c>
      <c r="K436" s="7" t="s">
        <v>28</v>
      </c>
      <c r="L436" s="9" t="str">
        <f>VLOOKUP(K436, 'Alphabetical by species code'!A:B, 2, FALSE)</f>
        <v>Litter</v>
      </c>
      <c r="M436" s="9" t="str">
        <f>VLOOKUP(L436, 'Alphabetical by species code'!B:C, 2, FALSE)</f>
        <v>Ground Cover</v>
      </c>
    </row>
    <row r="437">
      <c r="A437" s="7">
        <v>5.0</v>
      </c>
      <c r="B437" s="7">
        <v>2025.0</v>
      </c>
      <c r="C437" s="10">
        <v>45755.0</v>
      </c>
      <c r="D437" s="7" t="s">
        <v>62</v>
      </c>
      <c r="E437" s="7" t="s">
        <v>26</v>
      </c>
      <c r="F437" s="7">
        <v>3.0</v>
      </c>
      <c r="G437" s="7" t="s">
        <v>63</v>
      </c>
      <c r="H437" s="7">
        <v>1.0</v>
      </c>
      <c r="I437" s="7">
        <v>9.0</v>
      </c>
      <c r="J437" s="7">
        <v>7.0</v>
      </c>
      <c r="K437" s="7" t="s">
        <v>49</v>
      </c>
      <c r="L437" s="9" t="str">
        <f>VLOOKUP(K437, 'Alphabetical by species code'!A:B, 2, FALSE)</f>
        <v>Anagallis arvensis</v>
      </c>
      <c r="M437" s="9" t="str">
        <f>VLOOKUP(L437, 'Alphabetical by species code'!B:C, 2, FALSE)</f>
        <v>Non-Native</v>
      </c>
    </row>
    <row r="438">
      <c r="A438" s="7">
        <v>5.0</v>
      </c>
      <c r="B438" s="7">
        <v>2025.0</v>
      </c>
      <c r="C438" s="10">
        <v>45755.0</v>
      </c>
      <c r="D438" s="7" t="s">
        <v>62</v>
      </c>
      <c r="E438" s="7" t="s">
        <v>26</v>
      </c>
      <c r="F438" s="7">
        <v>3.0</v>
      </c>
      <c r="G438" s="7" t="s">
        <v>63</v>
      </c>
      <c r="H438" s="7">
        <v>1.0</v>
      </c>
      <c r="I438" s="7">
        <v>9.0</v>
      </c>
      <c r="J438" s="7">
        <v>7.0</v>
      </c>
      <c r="K438" s="7" t="s">
        <v>34</v>
      </c>
      <c r="L438" s="9" t="str">
        <f>VLOOKUP(K438, 'Alphabetical by species code'!A:B, 2, FALSE)</f>
        <v>Erodium cicutarium</v>
      </c>
      <c r="M438" s="9" t="str">
        <f>VLOOKUP(L438, 'Alphabetical by species code'!B:C, 2, FALSE)</f>
        <v>Non-Native</v>
      </c>
    </row>
    <row r="439">
      <c r="A439" s="7">
        <v>5.0</v>
      </c>
      <c r="B439" s="7">
        <v>2025.0</v>
      </c>
      <c r="C439" s="10">
        <v>45755.0</v>
      </c>
      <c r="D439" s="7" t="s">
        <v>62</v>
      </c>
      <c r="E439" s="7" t="s">
        <v>26</v>
      </c>
      <c r="F439" s="7">
        <v>3.0</v>
      </c>
      <c r="G439" s="7" t="s">
        <v>63</v>
      </c>
      <c r="H439" s="7">
        <v>1.0</v>
      </c>
      <c r="I439" s="7">
        <v>10.0</v>
      </c>
      <c r="J439" s="7">
        <v>8.0</v>
      </c>
      <c r="K439" s="7" t="s">
        <v>28</v>
      </c>
      <c r="L439" s="9" t="str">
        <f>VLOOKUP(K439, 'Alphabetical by species code'!A:B, 2, FALSE)</f>
        <v>Litter</v>
      </c>
      <c r="M439" s="9" t="str">
        <f>VLOOKUP(L439, 'Alphabetical by species code'!B:C, 2, FALSE)</f>
        <v>Ground Cover</v>
      </c>
    </row>
    <row r="440">
      <c r="A440" s="7">
        <v>5.0</v>
      </c>
      <c r="B440" s="7">
        <v>2025.0</v>
      </c>
      <c r="C440" s="10">
        <v>45755.0</v>
      </c>
      <c r="D440" s="7" t="s">
        <v>62</v>
      </c>
      <c r="E440" s="7" t="s">
        <v>26</v>
      </c>
      <c r="F440" s="7">
        <v>3.0</v>
      </c>
      <c r="G440" s="7" t="s">
        <v>63</v>
      </c>
      <c r="H440" s="7">
        <v>1.0</v>
      </c>
      <c r="I440" s="7">
        <v>10.0</v>
      </c>
      <c r="J440" s="7">
        <v>8.0</v>
      </c>
      <c r="K440" s="7" t="s">
        <v>31</v>
      </c>
      <c r="L440" s="9" t="str">
        <f>VLOOKUP(K440, 'Alphabetical by species code'!A:B, 2, FALSE)</f>
        <v>Festuca myuros</v>
      </c>
      <c r="M440" s="9" t="str">
        <f>VLOOKUP(L440, 'Alphabetical by species code'!B:C, 2, FALSE)</f>
        <v>Non-Native</v>
      </c>
    </row>
    <row r="441">
      <c r="A441" s="7">
        <v>5.0</v>
      </c>
      <c r="B441" s="7">
        <v>2025.0</v>
      </c>
      <c r="C441" s="10">
        <v>45755.0</v>
      </c>
      <c r="D441" s="7" t="s">
        <v>62</v>
      </c>
      <c r="E441" s="7" t="s">
        <v>26</v>
      </c>
      <c r="F441" s="7">
        <v>3.0</v>
      </c>
      <c r="G441" s="7" t="s">
        <v>63</v>
      </c>
      <c r="H441" s="7">
        <v>1.0</v>
      </c>
      <c r="I441" s="7">
        <v>10.0</v>
      </c>
      <c r="J441" s="7">
        <v>8.0</v>
      </c>
      <c r="K441" s="7" t="s">
        <v>35</v>
      </c>
      <c r="L441" s="9" t="str">
        <f>VLOOKUP(K441, 'Alphabetical by species code'!A:B, 2, FALSE)</f>
        <v>Deinandra fasciculata</v>
      </c>
      <c r="M441" s="9" t="str">
        <f>VLOOKUP(L441, 'Alphabetical by species code'!B:C, 2, FALSE)</f>
        <v>Native</v>
      </c>
    </row>
    <row r="442">
      <c r="A442" s="7">
        <v>5.0</v>
      </c>
      <c r="B442" s="7">
        <v>2025.0</v>
      </c>
      <c r="C442" s="10">
        <v>45755.0</v>
      </c>
      <c r="D442" s="7" t="s">
        <v>62</v>
      </c>
      <c r="E442" s="7" t="s">
        <v>26</v>
      </c>
      <c r="F442" s="7">
        <v>3.0</v>
      </c>
      <c r="G442" s="7" t="s">
        <v>63</v>
      </c>
      <c r="H442" s="7">
        <v>1.0</v>
      </c>
      <c r="I442" s="7">
        <v>10.0</v>
      </c>
      <c r="J442" s="7">
        <v>8.0</v>
      </c>
      <c r="K442" s="7" t="s">
        <v>34</v>
      </c>
      <c r="L442" s="9" t="str">
        <f>VLOOKUP(K442, 'Alphabetical by species code'!A:B, 2, FALSE)</f>
        <v>Erodium cicutarium</v>
      </c>
      <c r="M442" s="9" t="str">
        <f>VLOOKUP(L442, 'Alphabetical by species code'!B:C, 2, FALSE)</f>
        <v>Non-Native</v>
      </c>
    </row>
    <row r="443">
      <c r="A443" s="7">
        <v>5.0</v>
      </c>
      <c r="B443" s="7">
        <v>2025.0</v>
      </c>
      <c r="C443" s="10">
        <v>45755.0</v>
      </c>
      <c r="D443" s="7" t="s">
        <v>62</v>
      </c>
      <c r="E443" s="7" t="s">
        <v>26</v>
      </c>
      <c r="F443" s="7">
        <v>3.0</v>
      </c>
      <c r="G443" s="7" t="s">
        <v>63</v>
      </c>
      <c r="H443" s="7">
        <v>1.0</v>
      </c>
      <c r="I443" s="7">
        <v>11.0</v>
      </c>
      <c r="J443" s="7">
        <v>8.5</v>
      </c>
      <c r="K443" s="7" t="s">
        <v>51</v>
      </c>
      <c r="L443" s="9" t="str">
        <f>VLOOKUP(K443, 'Alphabetical by species code'!A:B, 2, FALSE)</f>
        <v>Bareground</v>
      </c>
      <c r="M443" s="9" t="str">
        <f>VLOOKUP(L443, 'Alphabetical by species code'!B:C, 2, FALSE)</f>
        <v>Ground Cover</v>
      </c>
    </row>
    <row r="444">
      <c r="A444" s="7">
        <v>5.0</v>
      </c>
      <c r="B444" s="7">
        <v>2025.0</v>
      </c>
      <c r="C444" s="10">
        <v>45755.0</v>
      </c>
      <c r="D444" s="7" t="s">
        <v>62</v>
      </c>
      <c r="E444" s="7" t="s">
        <v>26</v>
      </c>
      <c r="F444" s="7">
        <v>3.0</v>
      </c>
      <c r="G444" s="7" t="s">
        <v>63</v>
      </c>
      <c r="H444" s="7">
        <v>1.0</v>
      </c>
      <c r="I444" s="7">
        <v>11.0</v>
      </c>
      <c r="J444" s="7">
        <v>8.5</v>
      </c>
      <c r="K444" s="7" t="s">
        <v>64</v>
      </c>
      <c r="L444" s="9" t="str">
        <f>VLOOKUP(K444, 'Alphabetical by species code'!A:B, 2, FALSE)</f>
        <v>Brassica nigra</v>
      </c>
      <c r="M444" s="9" t="str">
        <f>VLOOKUP(L444, 'Alphabetical by species code'!B:C, 2, FALSE)</f>
        <v>Non-Native</v>
      </c>
    </row>
    <row r="445">
      <c r="A445" s="7">
        <v>5.0</v>
      </c>
      <c r="B445" s="7">
        <v>2025.0</v>
      </c>
      <c r="C445" s="10">
        <v>45755.0</v>
      </c>
      <c r="D445" s="7" t="s">
        <v>62</v>
      </c>
      <c r="E445" s="7" t="s">
        <v>26</v>
      </c>
      <c r="F445" s="7">
        <v>3.0</v>
      </c>
      <c r="G445" s="7" t="s">
        <v>63</v>
      </c>
      <c r="H445" s="7">
        <v>1.0</v>
      </c>
      <c r="I445" s="7">
        <v>12.0</v>
      </c>
      <c r="J445" s="7">
        <v>9.0</v>
      </c>
      <c r="K445" s="7" t="s">
        <v>28</v>
      </c>
      <c r="L445" s="9" t="str">
        <f>VLOOKUP(K445, 'Alphabetical by species code'!A:B, 2, FALSE)</f>
        <v>Litter</v>
      </c>
      <c r="M445" s="9" t="str">
        <f>VLOOKUP(L445, 'Alphabetical by species code'!B:C, 2, FALSE)</f>
        <v>Ground Cover</v>
      </c>
    </row>
    <row r="446">
      <c r="A446" s="7">
        <v>5.0</v>
      </c>
      <c r="B446" s="7">
        <v>2025.0</v>
      </c>
      <c r="C446" s="10">
        <v>45755.0</v>
      </c>
      <c r="D446" s="7" t="s">
        <v>62</v>
      </c>
      <c r="E446" s="7" t="s">
        <v>26</v>
      </c>
      <c r="F446" s="7">
        <v>3.0</v>
      </c>
      <c r="G446" s="7" t="s">
        <v>63</v>
      </c>
      <c r="H446" s="7">
        <v>1.0</v>
      </c>
      <c r="I446" s="7">
        <v>12.0</v>
      </c>
      <c r="J446" s="7">
        <v>9.0</v>
      </c>
      <c r="K446" s="7" t="s">
        <v>48</v>
      </c>
      <c r="L446" s="9" t="str">
        <f>VLOOKUP(K446, 'Alphabetical by species code'!A:B, 2, FALSE)</f>
        <v>Sonchus asper</v>
      </c>
      <c r="M446" s="9" t="str">
        <f>VLOOKUP(L446, 'Alphabetical by species code'!B:C, 2, FALSE)</f>
        <v>Non-Native</v>
      </c>
    </row>
    <row r="447">
      <c r="A447" s="7">
        <v>5.0</v>
      </c>
      <c r="B447" s="7">
        <v>2025.0</v>
      </c>
      <c r="C447" s="10">
        <v>45755.0</v>
      </c>
      <c r="D447" s="7" t="s">
        <v>62</v>
      </c>
      <c r="E447" s="7" t="s">
        <v>26</v>
      </c>
      <c r="F447" s="7">
        <v>3.0</v>
      </c>
      <c r="G447" s="7" t="s">
        <v>63</v>
      </c>
      <c r="H447" s="7">
        <v>1.0</v>
      </c>
      <c r="I447" s="7">
        <v>13.0</v>
      </c>
      <c r="J447" s="7">
        <v>10.0</v>
      </c>
      <c r="K447" s="7" t="s">
        <v>28</v>
      </c>
      <c r="L447" s="9" t="str">
        <f>VLOOKUP(K447, 'Alphabetical by species code'!A:B, 2, FALSE)</f>
        <v>Litter</v>
      </c>
      <c r="M447" s="9" t="str">
        <f>VLOOKUP(L447, 'Alphabetical by species code'!B:C, 2, FALSE)</f>
        <v>Ground Cover</v>
      </c>
    </row>
    <row r="448">
      <c r="A448" s="7">
        <v>5.0</v>
      </c>
      <c r="B448" s="7">
        <v>2025.0</v>
      </c>
      <c r="C448" s="10">
        <v>45755.0</v>
      </c>
      <c r="D448" s="7" t="s">
        <v>62</v>
      </c>
      <c r="E448" s="7" t="s">
        <v>26</v>
      </c>
      <c r="F448" s="7">
        <v>3.0</v>
      </c>
      <c r="G448" s="7" t="s">
        <v>63</v>
      </c>
      <c r="H448" s="7">
        <v>1.0</v>
      </c>
      <c r="I448" s="7">
        <v>13.0</v>
      </c>
      <c r="J448" s="7">
        <v>10.0</v>
      </c>
      <c r="K448" s="7" t="s">
        <v>48</v>
      </c>
      <c r="L448" s="9" t="str">
        <f>VLOOKUP(K448, 'Alphabetical by species code'!A:B, 2, FALSE)</f>
        <v>Sonchus asper</v>
      </c>
      <c r="M448" s="9" t="str">
        <f>VLOOKUP(L448, 'Alphabetical by species code'!B:C, 2, FALSE)</f>
        <v>Non-Native</v>
      </c>
    </row>
    <row r="449">
      <c r="A449" s="7">
        <v>5.0</v>
      </c>
      <c r="B449" s="7">
        <v>2025.0</v>
      </c>
      <c r="C449" s="10">
        <v>45755.0</v>
      </c>
      <c r="D449" s="7" t="s">
        <v>62</v>
      </c>
      <c r="E449" s="7" t="s">
        <v>26</v>
      </c>
      <c r="F449" s="7">
        <v>3.0</v>
      </c>
      <c r="G449" s="7" t="s">
        <v>63</v>
      </c>
      <c r="H449" s="7">
        <v>1.0</v>
      </c>
      <c r="I449" s="7">
        <v>14.0</v>
      </c>
      <c r="J449" s="7">
        <v>11.0</v>
      </c>
      <c r="K449" s="7" t="s">
        <v>51</v>
      </c>
      <c r="L449" s="9" t="str">
        <f>VLOOKUP(K449, 'Alphabetical by species code'!A:B, 2, FALSE)</f>
        <v>Bareground</v>
      </c>
      <c r="M449" s="9" t="str">
        <f>VLOOKUP(L449, 'Alphabetical by species code'!B:C, 2, FALSE)</f>
        <v>Ground Cover</v>
      </c>
    </row>
    <row r="450">
      <c r="A450" s="7">
        <v>5.0</v>
      </c>
      <c r="B450" s="7">
        <v>2025.0</v>
      </c>
      <c r="C450" s="10">
        <v>45755.0</v>
      </c>
      <c r="D450" s="7" t="s">
        <v>62</v>
      </c>
      <c r="E450" s="7" t="s">
        <v>26</v>
      </c>
      <c r="F450" s="7">
        <v>3.0</v>
      </c>
      <c r="G450" s="7" t="s">
        <v>63</v>
      </c>
      <c r="H450" s="7">
        <v>1.0</v>
      </c>
      <c r="I450" s="7">
        <v>15.0</v>
      </c>
      <c r="J450" s="7">
        <v>12.0</v>
      </c>
      <c r="K450" s="7" t="s">
        <v>51</v>
      </c>
      <c r="L450" s="9" t="str">
        <f>VLOOKUP(K450, 'Alphabetical by species code'!A:B, 2, FALSE)</f>
        <v>Bareground</v>
      </c>
      <c r="M450" s="9" t="str">
        <f>VLOOKUP(L450, 'Alphabetical by species code'!B:C, 2, FALSE)</f>
        <v>Ground Cover</v>
      </c>
    </row>
    <row r="451">
      <c r="A451" s="7">
        <v>5.0</v>
      </c>
      <c r="B451" s="7">
        <v>2025.0</v>
      </c>
      <c r="C451" s="10">
        <v>45755.0</v>
      </c>
      <c r="D451" s="7" t="s">
        <v>62</v>
      </c>
      <c r="E451" s="7" t="s">
        <v>26</v>
      </c>
      <c r="F451" s="7">
        <v>3.0</v>
      </c>
      <c r="G451" s="7" t="s">
        <v>63</v>
      </c>
      <c r="H451" s="7">
        <v>2.0</v>
      </c>
      <c r="I451" s="7">
        <v>1.0</v>
      </c>
      <c r="J451" s="7">
        <v>0.0</v>
      </c>
      <c r="K451" s="7" t="s">
        <v>28</v>
      </c>
      <c r="L451" s="9" t="str">
        <f>VLOOKUP(K451, 'Alphabetical by species code'!A:B, 2, FALSE)</f>
        <v>Litter</v>
      </c>
      <c r="M451" s="9" t="str">
        <f>VLOOKUP(L451, 'Alphabetical by species code'!B:C, 2, FALSE)</f>
        <v>Ground Cover</v>
      </c>
    </row>
    <row r="452">
      <c r="A452" s="7">
        <v>5.0</v>
      </c>
      <c r="B452" s="7">
        <v>2025.0</v>
      </c>
      <c r="C452" s="10">
        <v>45755.0</v>
      </c>
      <c r="D452" s="7" t="s">
        <v>62</v>
      </c>
      <c r="E452" s="7" t="s">
        <v>26</v>
      </c>
      <c r="F452" s="7">
        <v>3.0</v>
      </c>
      <c r="G452" s="7" t="s">
        <v>63</v>
      </c>
      <c r="H452" s="7">
        <v>2.0</v>
      </c>
      <c r="I452" s="7">
        <v>1.0</v>
      </c>
      <c r="J452" s="7">
        <v>0.0</v>
      </c>
      <c r="K452" s="7" t="s">
        <v>40</v>
      </c>
      <c r="L452" s="9" t="str">
        <f>VLOOKUP(K452, 'Alphabetical by species code'!A:B, 2, FALSE)</f>
        <v>Cylindropuntia prolifera</v>
      </c>
      <c r="M452" s="9" t="str">
        <f>VLOOKUP(L452, 'Alphabetical by species code'!B:C, 2, FALSE)</f>
        <v>Native</v>
      </c>
    </row>
    <row r="453">
      <c r="A453" s="7">
        <v>5.0</v>
      </c>
      <c r="B453" s="7">
        <v>2025.0</v>
      </c>
      <c r="C453" s="10">
        <v>45755.0</v>
      </c>
      <c r="D453" s="7" t="s">
        <v>62</v>
      </c>
      <c r="E453" s="7" t="s">
        <v>26</v>
      </c>
      <c r="F453" s="7">
        <v>3.0</v>
      </c>
      <c r="G453" s="7" t="s">
        <v>63</v>
      </c>
      <c r="H453" s="7">
        <v>2.0</v>
      </c>
      <c r="I453" s="7">
        <v>1.0</v>
      </c>
      <c r="J453" s="7">
        <v>0.0</v>
      </c>
      <c r="K453" s="7" t="s">
        <v>32</v>
      </c>
      <c r="L453" s="9" t="str">
        <f>VLOOKUP(K453, 'Alphabetical by species code'!A:B, 2, FALSE)</f>
        <v>Medicago polymorpha</v>
      </c>
      <c r="M453" s="9" t="str">
        <f>VLOOKUP(L453, 'Alphabetical by species code'!B:C, 2, FALSE)</f>
        <v>Non-Native</v>
      </c>
    </row>
    <row r="454">
      <c r="A454" s="7">
        <v>5.0</v>
      </c>
      <c r="B454" s="7">
        <v>2025.0</v>
      </c>
      <c r="C454" s="10">
        <v>45755.0</v>
      </c>
      <c r="D454" s="7" t="s">
        <v>62</v>
      </c>
      <c r="E454" s="7" t="s">
        <v>26</v>
      </c>
      <c r="F454" s="7">
        <v>3.0</v>
      </c>
      <c r="G454" s="7" t="s">
        <v>63</v>
      </c>
      <c r="H454" s="7">
        <v>2.0</v>
      </c>
      <c r="I454" s="7">
        <v>1.0</v>
      </c>
      <c r="J454" s="7">
        <v>0.0</v>
      </c>
      <c r="K454" s="7" t="s">
        <v>31</v>
      </c>
      <c r="L454" s="9" t="str">
        <f>VLOOKUP(K454, 'Alphabetical by species code'!A:B, 2, FALSE)</f>
        <v>Festuca myuros</v>
      </c>
      <c r="M454" s="9" t="str">
        <f>VLOOKUP(L454, 'Alphabetical by species code'!B:C, 2, FALSE)</f>
        <v>Non-Native</v>
      </c>
    </row>
    <row r="455">
      <c r="A455" s="7">
        <v>5.0</v>
      </c>
      <c r="B455" s="7">
        <v>2025.0</v>
      </c>
      <c r="C455" s="10">
        <v>45755.0</v>
      </c>
      <c r="D455" s="7" t="s">
        <v>62</v>
      </c>
      <c r="E455" s="7" t="s">
        <v>26</v>
      </c>
      <c r="F455" s="7">
        <v>3.0</v>
      </c>
      <c r="G455" s="7" t="s">
        <v>63</v>
      </c>
      <c r="H455" s="7">
        <v>2.0</v>
      </c>
      <c r="I455" s="7">
        <v>1.0</v>
      </c>
      <c r="J455" s="7">
        <v>0.0</v>
      </c>
      <c r="K455" s="7" t="s">
        <v>37</v>
      </c>
      <c r="L455" s="9" t="str">
        <f>VLOOKUP(K455, 'Alphabetical by species code'!A:B, 2, FALSE)</f>
        <v>Sonchus oleraceus</v>
      </c>
      <c r="M455" s="9" t="str">
        <f>VLOOKUP(L455, 'Alphabetical by species code'!B:C, 2, FALSE)</f>
        <v>Non-Native</v>
      </c>
    </row>
    <row r="456">
      <c r="A456" s="7">
        <v>5.0</v>
      </c>
      <c r="B456" s="7">
        <v>2025.0</v>
      </c>
      <c r="C456" s="10">
        <v>45755.0</v>
      </c>
      <c r="D456" s="7" t="s">
        <v>62</v>
      </c>
      <c r="E456" s="7" t="s">
        <v>26</v>
      </c>
      <c r="F456" s="7">
        <v>3.0</v>
      </c>
      <c r="G456" s="7" t="s">
        <v>63</v>
      </c>
      <c r="H456" s="7">
        <v>2.0</v>
      </c>
      <c r="I456" s="7">
        <v>2.0</v>
      </c>
      <c r="J456" s="7">
        <v>1.0</v>
      </c>
      <c r="K456" s="7" t="s">
        <v>28</v>
      </c>
      <c r="L456" s="9" t="str">
        <f>VLOOKUP(K456, 'Alphabetical by species code'!A:B, 2, FALSE)</f>
        <v>Litter</v>
      </c>
      <c r="M456" s="9" t="str">
        <f>VLOOKUP(L456, 'Alphabetical by species code'!B:C, 2, FALSE)</f>
        <v>Ground Cover</v>
      </c>
    </row>
    <row r="457">
      <c r="A457" s="7">
        <v>5.0</v>
      </c>
      <c r="B457" s="7">
        <v>2025.0</v>
      </c>
      <c r="C457" s="10">
        <v>45755.0</v>
      </c>
      <c r="D457" s="7" t="s">
        <v>62</v>
      </c>
      <c r="E457" s="7" t="s">
        <v>26</v>
      </c>
      <c r="F457" s="7">
        <v>3.0</v>
      </c>
      <c r="G457" s="7" t="s">
        <v>63</v>
      </c>
      <c r="H457" s="7">
        <v>2.0</v>
      </c>
      <c r="I457" s="7">
        <v>2.0</v>
      </c>
      <c r="J457" s="7">
        <v>1.0</v>
      </c>
      <c r="K457" s="7" t="s">
        <v>37</v>
      </c>
      <c r="L457" s="9" t="str">
        <f>VLOOKUP(K457, 'Alphabetical by species code'!A:B, 2, FALSE)</f>
        <v>Sonchus oleraceus</v>
      </c>
      <c r="M457" s="9" t="str">
        <f>VLOOKUP(L457, 'Alphabetical by species code'!B:C, 2, FALSE)</f>
        <v>Non-Native</v>
      </c>
    </row>
    <row r="458">
      <c r="A458" s="7">
        <v>5.0</v>
      </c>
      <c r="B458" s="7">
        <v>2025.0</v>
      </c>
      <c r="C458" s="10">
        <v>45755.0</v>
      </c>
      <c r="D458" s="7" t="s">
        <v>62</v>
      </c>
      <c r="E458" s="7" t="s">
        <v>26</v>
      </c>
      <c r="F458" s="7">
        <v>3.0</v>
      </c>
      <c r="G458" s="7" t="s">
        <v>63</v>
      </c>
      <c r="H458" s="7">
        <v>2.0</v>
      </c>
      <c r="I458" s="7">
        <v>2.0</v>
      </c>
      <c r="J458" s="7">
        <v>1.0</v>
      </c>
      <c r="K458" s="7" t="s">
        <v>32</v>
      </c>
      <c r="L458" s="9" t="str">
        <f>VLOOKUP(K458, 'Alphabetical by species code'!A:B, 2, FALSE)</f>
        <v>Medicago polymorpha</v>
      </c>
      <c r="M458" s="9" t="str">
        <f>VLOOKUP(L458, 'Alphabetical by species code'!B:C, 2, FALSE)</f>
        <v>Non-Native</v>
      </c>
    </row>
    <row r="459">
      <c r="A459" s="7">
        <v>5.0</v>
      </c>
      <c r="B459" s="7">
        <v>2025.0</v>
      </c>
      <c r="C459" s="10">
        <v>45755.0</v>
      </c>
      <c r="D459" s="7" t="s">
        <v>62</v>
      </c>
      <c r="E459" s="7" t="s">
        <v>26</v>
      </c>
      <c r="F459" s="7">
        <v>3.0</v>
      </c>
      <c r="G459" s="7" t="s">
        <v>63</v>
      </c>
      <c r="H459" s="7">
        <v>2.0</v>
      </c>
      <c r="I459" s="7">
        <v>3.0</v>
      </c>
      <c r="J459" s="7">
        <v>1.5</v>
      </c>
      <c r="K459" s="7" t="s">
        <v>28</v>
      </c>
      <c r="L459" s="9" t="str">
        <f>VLOOKUP(K459, 'Alphabetical by species code'!A:B, 2, FALSE)</f>
        <v>Litter</v>
      </c>
      <c r="M459" s="9" t="str">
        <f>VLOOKUP(L459, 'Alphabetical by species code'!B:C, 2, FALSE)</f>
        <v>Ground Cover</v>
      </c>
    </row>
    <row r="460">
      <c r="A460" s="7">
        <v>5.0</v>
      </c>
      <c r="B460" s="7">
        <v>2025.0</v>
      </c>
      <c r="C460" s="10">
        <v>45755.0</v>
      </c>
      <c r="D460" s="7" t="s">
        <v>62</v>
      </c>
      <c r="E460" s="7" t="s">
        <v>26</v>
      </c>
      <c r="F460" s="7">
        <v>3.0</v>
      </c>
      <c r="G460" s="7" t="s">
        <v>63</v>
      </c>
      <c r="H460" s="7">
        <v>2.0</v>
      </c>
      <c r="I460" s="7">
        <v>3.0</v>
      </c>
      <c r="J460" s="7">
        <v>1.5</v>
      </c>
      <c r="K460" s="7" t="s">
        <v>49</v>
      </c>
      <c r="L460" s="9" t="str">
        <f>VLOOKUP(K460, 'Alphabetical by species code'!A:B, 2, FALSE)</f>
        <v>Anagallis arvensis</v>
      </c>
      <c r="M460" s="9" t="str">
        <f>VLOOKUP(L460, 'Alphabetical by species code'!B:C, 2, FALSE)</f>
        <v>Non-Native</v>
      </c>
    </row>
    <row r="461">
      <c r="A461" s="7">
        <v>5.0</v>
      </c>
      <c r="B461" s="7">
        <v>2025.0</v>
      </c>
      <c r="C461" s="10">
        <v>45755.0</v>
      </c>
      <c r="D461" s="7" t="s">
        <v>62</v>
      </c>
      <c r="E461" s="7" t="s">
        <v>26</v>
      </c>
      <c r="F461" s="7">
        <v>3.0</v>
      </c>
      <c r="G461" s="7" t="s">
        <v>63</v>
      </c>
      <c r="H461" s="7">
        <v>2.0</v>
      </c>
      <c r="I461" s="7">
        <v>3.0</v>
      </c>
      <c r="J461" s="7">
        <v>1.5</v>
      </c>
      <c r="K461" s="7" t="s">
        <v>40</v>
      </c>
      <c r="L461" s="9" t="str">
        <f>VLOOKUP(K461, 'Alphabetical by species code'!A:B, 2, FALSE)</f>
        <v>Cylindropuntia prolifera</v>
      </c>
      <c r="M461" s="9" t="str">
        <f>VLOOKUP(L461, 'Alphabetical by species code'!B:C, 2, FALSE)</f>
        <v>Native</v>
      </c>
    </row>
    <row r="462">
      <c r="A462" s="7">
        <v>5.0</v>
      </c>
      <c r="B462" s="7">
        <v>2025.0</v>
      </c>
      <c r="C462" s="10">
        <v>45755.0</v>
      </c>
      <c r="D462" s="7" t="s">
        <v>62</v>
      </c>
      <c r="E462" s="7" t="s">
        <v>26</v>
      </c>
      <c r="F462" s="7">
        <v>3.0</v>
      </c>
      <c r="G462" s="7" t="s">
        <v>63</v>
      </c>
      <c r="H462" s="7">
        <v>2.0</v>
      </c>
      <c r="I462" s="7">
        <v>3.0</v>
      </c>
      <c r="J462" s="7">
        <v>1.5</v>
      </c>
      <c r="K462" s="7" t="s">
        <v>48</v>
      </c>
      <c r="L462" s="9" t="str">
        <f>VLOOKUP(K462, 'Alphabetical by species code'!A:B, 2, FALSE)</f>
        <v>Sonchus asper</v>
      </c>
      <c r="M462" s="9" t="str">
        <f>VLOOKUP(L462, 'Alphabetical by species code'!B:C, 2, FALSE)</f>
        <v>Non-Native</v>
      </c>
    </row>
    <row r="463">
      <c r="A463" s="7">
        <v>5.0</v>
      </c>
      <c r="B463" s="7">
        <v>2025.0</v>
      </c>
      <c r="C463" s="10">
        <v>45755.0</v>
      </c>
      <c r="D463" s="7" t="s">
        <v>62</v>
      </c>
      <c r="E463" s="7" t="s">
        <v>26</v>
      </c>
      <c r="F463" s="7">
        <v>3.0</v>
      </c>
      <c r="G463" s="7" t="s">
        <v>63</v>
      </c>
      <c r="H463" s="7">
        <v>2.0</v>
      </c>
      <c r="I463" s="7">
        <v>3.0</v>
      </c>
      <c r="J463" s="7">
        <v>1.5</v>
      </c>
      <c r="K463" s="7" t="s">
        <v>31</v>
      </c>
      <c r="L463" s="9" t="str">
        <f>VLOOKUP(K463, 'Alphabetical by species code'!A:B, 2, FALSE)</f>
        <v>Festuca myuros</v>
      </c>
      <c r="M463" s="9" t="str">
        <f>VLOOKUP(L463, 'Alphabetical by species code'!B:C, 2, FALSE)</f>
        <v>Non-Native</v>
      </c>
    </row>
    <row r="464">
      <c r="A464" s="7">
        <v>5.0</v>
      </c>
      <c r="B464" s="7">
        <v>2025.0</v>
      </c>
      <c r="C464" s="10">
        <v>45755.0</v>
      </c>
      <c r="D464" s="7" t="s">
        <v>62</v>
      </c>
      <c r="E464" s="7" t="s">
        <v>26</v>
      </c>
      <c r="F464" s="7">
        <v>3.0</v>
      </c>
      <c r="G464" s="7" t="s">
        <v>63</v>
      </c>
      <c r="H464" s="7">
        <v>2.0</v>
      </c>
      <c r="I464" s="7">
        <v>4.0</v>
      </c>
      <c r="J464" s="7">
        <v>2.0</v>
      </c>
      <c r="K464" s="7" t="s">
        <v>28</v>
      </c>
      <c r="L464" s="9" t="str">
        <f>VLOOKUP(K464, 'Alphabetical by species code'!A:B, 2, FALSE)</f>
        <v>Litter</v>
      </c>
      <c r="M464" s="9" t="str">
        <f>VLOOKUP(L464, 'Alphabetical by species code'!B:C, 2, FALSE)</f>
        <v>Ground Cover</v>
      </c>
    </row>
    <row r="465">
      <c r="A465" s="7">
        <v>5.0</v>
      </c>
      <c r="B465" s="7">
        <v>2025.0</v>
      </c>
      <c r="C465" s="10">
        <v>45755.0</v>
      </c>
      <c r="D465" s="7" t="s">
        <v>62</v>
      </c>
      <c r="E465" s="7" t="s">
        <v>26</v>
      </c>
      <c r="F465" s="7">
        <v>3.0</v>
      </c>
      <c r="G465" s="7" t="s">
        <v>63</v>
      </c>
      <c r="H465" s="7">
        <v>2.0</v>
      </c>
      <c r="I465" s="7">
        <v>4.0</v>
      </c>
      <c r="J465" s="7">
        <v>2.0</v>
      </c>
      <c r="K465" s="7" t="s">
        <v>32</v>
      </c>
      <c r="L465" s="9" t="str">
        <f>VLOOKUP(K465, 'Alphabetical by species code'!A:B, 2, FALSE)</f>
        <v>Medicago polymorpha</v>
      </c>
      <c r="M465" s="9" t="str">
        <f>VLOOKUP(L465, 'Alphabetical by species code'!B:C, 2, FALSE)</f>
        <v>Non-Native</v>
      </c>
    </row>
    <row r="466">
      <c r="A466" s="7">
        <v>5.0</v>
      </c>
      <c r="B466" s="7">
        <v>2025.0</v>
      </c>
      <c r="C466" s="10">
        <v>45755.0</v>
      </c>
      <c r="D466" s="7" t="s">
        <v>62</v>
      </c>
      <c r="E466" s="7" t="s">
        <v>26</v>
      </c>
      <c r="F466" s="7">
        <v>3.0</v>
      </c>
      <c r="G466" s="7" t="s">
        <v>63</v>
      </c>
      <c r="H466" s="7">
        <v>2.0</v>
      </c>
      <c r="I466" s="7">
        <v>4.0</v>
      </c>
      <c r="J466" s="7">
        <v>2.0</v>
      </c>
      <c r="K466" s="7" t="s">
        <v>35</v>
      </c>
      <c r="L466" s="9" t="str">
        <f>VLOOKUP(K466, 'Alphabetical by species code'!A:B, 2, FALSE)</f>
        <v>Deinandra fasciculata</v>
      </c>
      <c r="M466" s="9" t="str">
        <f>VLOOKUP(L466, 'Alphabetical by species code'!B:C, 2, FALSE)</f>
        <v>Native</v>
      </c>
    </row>
    <row r="467">
      <c r="A467" s="7">
        <v>5.0</v>
      </c>
      <c r="B467" s="7">
        <v>2025.0</v>
      </c>
      <c r="C467" s="10">
        <v>45755.0</v>
      </c>
      <c r="D467" s="7" t="s">
        <v>62</v>
      </c>
      <c r="E467" s="7" t="s">
        <v>26</v>
      </c>
      <c r="F467" s="7">
        <v>3.0</v>
      </c>
      <c r="G467" s="7" t="s">
        <v>63</v>
      </c>
      <c r="H467" s="7">
        <v>2.0</v>
      </c>
      <c r="I467" s="7">
        <v>4.0</v>
      </c>
      <c r="J467" s="7">
        <v>2.0</v>
      </c>
      <c r="K467" s="7" t="s">
        <v>31</v>
      </c>
      <c r="L467" s="9" t="str">
        <f>VLOOKUP(K467, 'Alphabetical by species code'!A:B, 2, FALSE)</f>
        <v>Festuca myuros</v>
      </c>
      <c r="M467" s="9" t="str">
        <f>VLOOKUP(L467, 'Alphabetical by species code'!B:C, 2, FALSE)</f>
        <v>Non-Native</v>
      </c>
    </row>
    <row r="468">
      <c r="A468" s="7">
        <v>5.0</v>
      </c>
      <c r="B468" s="7">
        <v>2025.0</v>
      </c>
      <c r="C468" s="10">
        <v>45755.0</v>
      </c>
      <c r="D468" s="7" t="s">
        <v>62</v>
      </c>
      <c r="E468" s="7" t="s">
        <v>26</v>
      </c>
      <c r="F468" s="7">
        <v>3.0</v>
      </c>
      <c r="G468" s="7" t="s">
        <v>63</v>
      </c>
      <c r="H468" s="7">
        <v>2.0</v>
      </c>
      <c r="I468" s="7">
        <v>5.0</v>
      </c>
      <c r="J468" s="7">
        <v>3.0</v>
      </c>
      <c r="K468" s="7" t="s">
        <v>28</v>
      </c>
      <c r="L468" s="9" t="str">
        <f>VLOOKUP(K468, 'Alphabetical by species code'!A:B, 2, FALSE)</f>
        <v>Litter</v>
      </c>
      <c r="M468" s="9" t="str">
        <f>VLOOKUP(L468, 'Alphabetical by species code'!B:C, 2, FALSE)</f>
        <v>Ground Cover</v>
      </c>
    </row>
    <row r="469">
      <c r="A469" s="7">
        <v>5.0</v>
      </c>
      <c r="B469" s="7">
        <v>2025.0</v>
      </c>
      <c r="C469" s="10">
        <v>45755.0</v>
      </c>
      <c r="D469" s="7" t="s">
        <v>62</v>
      </c>
      <c r="E469" s="7" t="s">
        <v>26</v>
      </c>
      <c r="F469" s="7">
        <v>3.0</v>
      </c>
      <c r="G469" s="7" t="s">
        <v>63</v>
      </c>
      <c r="H469" s="7">
        <v>2.0</v>
      </c>
      <c r="I469" s="7">
        <v>5.0</v>
      </c>
      <c r="J469" s="7">
        <v>3.0</v>
      </c>
      <c r="K469" s="7" t="s">
        <v>55</v>
      </c>
      <c r="L469" s="9" t="str">
        <f>VLOOKUP(K469, 'Alphabetical by species code'!A:B, 2, FALSE)</f>
        <v>Daucus pusillus</v>
      </c>
      <c r="M469" s="9" t="str">
        <f>VLOOKUP(L469, 'Alphabetical by species code'!B:C, 2, FALSE)</f>
        <v>Native</v>
      </c>
    </row>
    <row r="470">
      <c r="A470" s="7">
        <v>5.0</v>
      </c>
      <c r="B470" s="7">
        <v>2025.0</v>
      </c>
      <c r="C470" s="10">
        <v>45755.0</v>
      </c>
      <c r="D470" s="7" t="s">
        <v>62</v>
      </c>
      <c r="E470" s="7" t="s">
        <v>26</v>
      </c>
      <c r="F470" s="7">
        <v>3.0</v>
      </c>
      <c r="G470" s="7" t="s">
        <v>63</v>
      </c>
      <c r="H470" s="7">
        <v>2.0</v>
      </c>
      <c r="I470" s="7">
        <v>5.0</v>
      </c>
      <c r="J470" s="7">
        <v>3.0</v>
      </c>
      <c r="K470" s="7" t="s">
        <v>42</v>
      </c>
      <c r="L470" s="9" t="str">
        <f>VLOOKUP(K470, 'Alphabetical by species code'!A:B, 2, FALSE)</f>
        <v>Centaurea melitensis</v>
      </c>
      <c r="M470" s="9" t="str">
        <f>VLOOKUP(L470, 'Alphabetical by species code'!B:C, 2, FALSE)</f>
        <v>Non-Native</v>
      </c>
    </row>
    <row r="471">
      <c r="A471" s="7">
        <v>5.0</v>
      </c>
      <c r="B471" s="7">
        <v>2025.0</v>
      </c>
      <c r="C471" s="10">
        <v>45755.0</v>
      </c>
      <c r="D471" s="7" t="s">
        <v>62</v>
      </c>
      <c r="E471" s="7" t="s">
        <v>26</v>
      </c>
      <c r="F471" s="7">
        <v>3.0</v>
      </c>
      <c r="G471" s="7" t="s">
        <v>63</v>
      </c>
      <c r="H471" s="7">
        <v>2.0</v>
      </c>
      <c r="I471" s="7">
        <v>5.0</v>
      </c>
      <c r="J471" s="7">
        <v>3.0</v>
      </c>
      <c r="K471" s="7" t="s">
        <v>59</v>
      </c>
      <c r="L471" s="9" t="str">
        <f>VLOOKUP(K471, 'Alphabetical by species code'!A:B, 2, FALSE)</f>
        <v>Cryptantha micromeres</v>
      </c>
      <c r="M471" s="9" t="str">
        <f>VLOOKUP(L471, 'Alphabetical by species code'!B:C, 2, FALSE)</f>
        <v>Native</v>
      </c>
    </row>
    <row r="472">
      <c r="A472" s="7">
        <v>5.0</v>
      </c>
      <c r="B472" s="7">
        <v>2025.0</v>
      </c>
      <c r="C472" s="10">
        <v>45755.0</v>
      </c>
      <c r="D472" s="7" t="s">
        <v>62</v>
      </c>
      <c r="E472" s="7" t="s">
        <v>26</v>
      </c>
      <c r="F472" s="7">
        <v>3.0</v>
      </c>
      <c r="G472" s="7" t="s">
        <v>63</v>
      </c>
      <c r="H472" s="7">
        <v>2.0</v>
      </c>
      <c r="I472" s="7">
        <v>6.0</v>
      </c>
      <c r="J472" s="7">
        <v>3.5</v>
      </c>
      <c r="K472" s="7" t="s">
        <v>28</v>
      </c>
      <c r="L472" s="9" t="str">
        <f>VLOOKUP(K472, 'Alphabetical by species code'!A:B, 2, FALSE)</f>
        <v>Litter</v>
      </c>
      <c r="M472" s="9" t="str">
        <f>VLOOKUP(L472, 'Alphabetical by species code'!B:C, 2, FALSE)</f>
        <v>Ground Cover</v>
      </c>
    </row>
    <row r="473">
      <c r="A473" s="7">
        <v>5.0</v>
      </c>
      <c r="B473" s="7">
        <v>2025.0</v>
      </c>
      <c r="C473" s="10">
        <v>45755.0</v>
      </c>
      <c r="D473" s="7" t="s">
        <v>62</v>
      </c>
      <c r="E473" s="7" t="s">
        <v>26</v>
      </c>
      <c r="F473" s="7">
        <v>3.0</v>
      </c>
      <c r="G473" s="7" t="s">
        <v>63</v>
      </c>
      <c r="H473" s="7">
        <v>2.0</v>
      </c>
      <c r="I473" s="7">
        <v>6.0</v>
      </c>
      <c r="J473" s="7">
        <v>3.5</v>
      </c>
      <c r="K473" s="7" t="s">
        <v>49</v>
      </c>
      <c r="L473" s="9" t="str">
        <f>VLOOKUP(K473, 'Alphabetical by species code'!A:B, 2, FALSE)</f>
        <v>Anagallis arvensis</v>
      </c>
      <c r="M473" s="9" t="str">
        <f>VLOOKUP(L473, 'Alphabetical by species code'!B:C, 2, FALSE)</f>
        <v>Non-Native</v>
      </c>
    </row>
    <row r="474">
      <c r="A474" s="7">
        <v>5.0</v>
      </c>
      <c r="B474" s="7">
        <v>2025.0</v>
      </c>
      <c r="C474" s="10">
        <v>45755.0</v>
      </c>
      <c r="D474" s="7" t="s">
        <v>62</v>
      </c>
      <c r="E474" s="7" t="s">
        <v>26</v>
      </c>
      <c r="F474" s="7">
        <v>3.0</v>
      </c>
      <c r="G474" s="7" t="s">
        <v>63</v>
      </c>
      <c r="H474" s="7">
        <v>2.0</v>
      </c>
      <c r="I474" s="7">
        <v>6.0</v>
      </c>
      <c r="J474" s="7">
        <v>3.5</v>
      </c>
      <c r="K474" s="7" t="s">
        <v>42</v>
      </c>
      <c r="L474" s="9" t="str">
        <f>VLOOKUP(K474, 'Alphabetical by species code'!A:B, 2, FALSE)</f>
        <v>Centaurea melitensis</v>
      </c>
      <c r="M474" s="9" t="str">
        <f>VLOOKUP(L474, 'Alphabetical by species code'!B:C, 2, FALSE)</f>
        <v>Non-Native</v>
      </c>
    </row>
    <row r="475">
      <c r="A475" s="7">
        <v>5.0</v>
      </c>
      <c r="B475" s="7">
        <v>2025.0</v>
      </c>
      <c r="C475" s="10">
        <v>45755.0</v>
      </c>
      <c r="D475" s="7" t="s">
        <v>62</v>
      </c>
      <c r="E475" s="7" t="s">
        <v>26</v>
      </c>
      <c r="F475" s="7">
        <v>3.0</v>
      </c>
      <c r="G475" s="7" t="s">
        <v>63</v>
      </c>
      <c r="H475" s="7">
        <v>2.0</v>
      </c>
      <c r="I475" s="7">
        <v>6.0</v>
      </c>
      <c r="J475" s="7">
        <v>3.5</v>
      </c>
      <c r="K475" s="7" t="s">
        <v>65</v>
      </c>
      <c r="L475" s="9" t="str">
        <f>VLOOKUP(K475, 'Alphabetical by species code'!A:B, 2, FALSE)</f>
        <v>Cryptantha intermedia</v>
      </c>
      <c r="M475" s="9" t="str">
        <f>VLOOKUP(L475, 'Alphabetical by species code'!B:C, 2, FALSE)</f>
        <v>Native</v>
      </c>
    </row>
    <row r="476">
      <c r="A476" s="7">
        <v>5.0</v>
      </c>
      <c r="B476" s="7">
        <v>2025.0</v>
      </c>
      <c r="C476" s="10">
        <v>45755.0</v>
      </c>
      <c r="D476" s="7" t="s">
        <v>62</v>
      </c>
      <c r="E476" s="7" t="s">
        <v>26</v>
      </c>
      <c r="F476" s="7">
        <v>3.0</v>
      </c>
      <c r="G476" s="7" t="s">
        <v>63</v>
      </c>
      <c r="H476" s="7">
        <v>2.0</v>
      </c>
      <c r="I476" s="7">
        <v>6.0</v>
      </c>
      <c r="J476" s="7">
        <v>3.5</v>
      </c>
      <c r="K476" s="7" t="s">
        <v>55</v>
      </c>
      <c r="L476" s="9" t="str">
        <f>VLOOKUP(K476, 'Alphabetical by species code'!A:B, 2, FALSE)</f>
        <v>Daucus pusillus</v>
      </c>
      <c r="M476" s="9" t="str">
        <f>VLOOKUP(L476, 'Alphabetical by species code'!B:C, 2, FALSE)</f>
        <v>Native</v>
      </c>
    </row>
    <row r="477">
      <c r="A477" s="7">
        <v>5.0</v>
      </c>
      <c r="B477" s="7">
        <v>2025.0</v>
      </c>
      <c r="C477" s="10">
        <v>45755.0</v>
      </c>
      <c r="D477" s="7" t="s">
        <v>62</v>
      </c>
      <c r="E477" s="7" t="s">
        <v>26</v>
      </c>
      <c r="F477" s="7">
        <v>3.0</v>
      </c>
      <c r="G477" s="7" t="s">
        <v>63</v>
      </c>
      <c r="H477" s="7">
        <v>2.0</v>
      </c>
      <c r="I477" s="7">
        <v>7.0</v>
      </c>
      <c r="J477" s="7">
        <v>4.0</v>
      </c>
      <c r="K477" s="7" t="s">
        <v>28</v>
      </c>
      <c r="L477" s="9" t="str">
        <f>VLOOKUP(K477, 'Alphabetical by species code'!A:B, 2, FALSE)</f>
        <v>Litter</v>
      </c>
      <c r="M477" s="9" t="str">
        <f>VLOOKUP(L477, 'Alphabetical by species code'!B:C, 2, FALSE)</f>
        <v>Ground Cover</v>
      </c>
    </row>
    <row r="478">
      <c r="A478" s="7">
        <v>5.0</v>
      </c>
      <c r="B478" s="7">
        <v>2025.0</v>
      </c>
      <c r="C478" s="10">
        <v>45755.0</v>
      </c>
      <c r="D478" s="7" t="s">
        <v>62</v>
      </c>
      <c r="E478" s="7" t="s">
        <v>26</v>
      </c>
      <c r="F478" s="7">
        <v>3.0</v>
      </c>
      <c r="G478" s="7" t="s">
        <v>63</v>
      </c>
      <c r="H478" s="7">
        <v>2.0</v>
      </c>
      <c r="I478" s="7">
        <v>7.0</v>
      </c>
      <c r="J478" s="7">
        <v>4.0</v>
      </c>
      <c r="K478" s="7" t="s">
        <v>49</v>
      </c>
      <c r="L478" s="9" t="str">
        <f>VLOOKUP(K478, 'Alphabetical by species code'!A:B, 2, FALSE)</f>
        <v>Anagallis arvensis</v>
      </c>
      <c r="M478" s="9" t="str">
        <f>VLOOKUP(L478, 'Alphabetical by species code'!B:C, 2, FALSE)</f>
        <v>Non-Native</v>
      </c>
    </row>
    <row r="479">
      <c r="A479" s="7">
        <v>5.0</v>
      </c>
      <c r="B479" s="7">
        <v>2025.0</v>
      </c>
      <c r="C479" s="10">
        <v>45755.0</v>
      </c>
      <c r="D479" s="7" t="s">
        <v>62</v>
      </c>
      <c r="E479" s="7" t="s">
        <v>26</v>
      </c>
      <c r="F479" s="7">
        <v>3.0</v>
      </c>
      <c r="G479" s="7" t="s">
        <v>63</v>
      </c>
      <c r="H479" s="7">
        <v>2.0</v>
      </c>
      <c r="I479" s="7">
        <v>7.0</v>
      </c>
      <c r="J479" s="7">
        <v>4.0</v>
      </c>
      <c r="K479" s="7" t="s">
        <v>32</v>
      </c>
      <c r="L479" s="9" t="str">
        <f>VLOOKUP(K479, 'Alphabetical by species code'!A:B, 2, FALSE)</f>
        <v>Medicago polymorpha</v>
      </c>
      <c r="M479" s="9" t="str">
        <f>VLOOKUP(L479, 'Alphabetical by species code'!B:C, 2, FALSE)</f>
        <v>Non-Native</v>
      </c>
    </row>
    <row r="480">
      <c r="A480" s="7">
        <v>5.0</v>
      </c>
      <c r="B480" s="7">
        <v>2025.0</v>
      </c>
      <c r="C480" s="10">
        <v>45755.0</v>
      </c>
      <c r="D480" s="7" t="s">
        <v>62</v>
      </c>
      <c r="E480" s="7" t="s">
        <v>26</v>
      </c>
      <c r="F480" s="7">
        <v>3.0</v>
      </c>
      <c r="G480" s="7" t="s">
        <v>63</v>
      </c>
      <c r="H480" s="7">
        <v>2.0</v>
      </c>
      <c r="I480" s="7">
        <v>8.0</v>
      </c>
      <c r="J480" s="7">
        <v>5.0</v>
      </c>
      <c r="K480" s="7" t="s">
        <v>28</v>
      </c>
      <c r="L480" s="9" t="str">
        <f>VLOOKUP(K480, 'Alphabetical by species code'!A:B, 2, FALSE)</f>
        <v>Litter</v>
      </c>
      <c r="M480" s="9" t="str">
        <f>VLOOKUP(L480, 'Alphabetical by species code'!B:C, 2, FALSE)</f>
        <v>Ground Cover</v>
      </c>
    </row>
    <row r="481">
      <c r="A481" s="7">
        <v>5.0</v>
      </c>
      <c r="B481" s="7">
        <v>2025.0</v>
      </c>
      <c r="C481" s="10">
        <v>45755.0</v>
      </c>
      <c r="D481" s="7" t="s">
        <v>62</v>
      </c>
      <c r="E481" s="7" t="s">
        <v>26</v>
      </c>
      <c r="F481" s="7">
        <v>3.0</v>
      </c>
      <c r="G481" s="7" t="s">
        <v>63</v>
      </c>
      <c r="H481" s="7">
        <v>2.0</v>
      </c>
      <c r="I481" s="7">
        <v>8.0</v>
      </c>
      <c r="J481" s="7">
        <v>5.0</v>
      </c>
      <c r="K481" s="7" t="s">
        <v>48</v>
      </c>
      <c r="L481" s="9" t="str">
        <f>VLOOKUP(K481, 'Alphabetical by species code'!A:B, 2, FALSE)</f>
        <v>Sonchus asper</v>
      </c>
      <c r="M481" s="9" t="str">
        <f>VLOOKUP(L481, 'Alphabetical by species code'!B:C, 2, FALSE)</f>
        <v>Non-Native</v>
      </c>
    </row>
    <row r="482">
      <c r="A482" s="7">
        <v>5.0</v>
      </c>
      <c r="B482" s="7">
        <v>2025.0</v>
      </c>
      <c r="C482" s="10">
        <v>45755.0</v>
      </c>
      <c r="D482" s="7" t="s">
        <v>62</v>
      </c>
      <c r="E482" s="7" t="s">
        <v>26</v>
      </c>
      <c r="F482" s="7">
        <v>3.0</v>
      </c>
      <c r="G482" s="7" t="s">
        <v>63</v>
      </c>
      <c r="H482" s="7">
        <v>2.0</v>
      </c>
      <c r="I482" s="7">
        <v>9.0</v>
      </c>
      <c r="J482" s="7">
        <v>7.0</v>
      </c>
      <c r="K482" s="7" t="s">
        <v>28</v>
      </c>
      <c r="L482" s="9" t="str">
        <f>VLOOKUP(K482, 'Alphabetical by species code'!A:B, 2, FALSE)</f>
        <v>Litter</v>
      </c>
      <c r="M482" s="9" t="str">
        <f>VLOOKUP(L482, 'Alphabetical by species code'!B:C, 2, FALSE)</f>
        <v>Ground Cover</v>
      </c>
    </row>
    <row r="483">
      <c r="A483" s="7">
        <v>5.0</v>
      </c>
      <c r="B483" s="7">
        <v>2025.0</v>
      </c>
      <c r="C483" s="10">
        <v>45755.0</v>
      </c>
      <c r="D483" s="7" t="s">
        <v>62</v>
      </c>
      <c r="E483" s="7" t="s">
        <v>26</v>
      </c>
      <c r="F483" s="7">
        <v>3.0</v>
      </c>
      <c r="G483" s="7" t="s">
        <v>63</v>
      </c>
      <c r="H483" s="7">
        <v>2.0</v>
      </c>
      <c r="I483" s="7">
        <v>9.0</v>
      </c>
      <c r="J483" s="7">
        <v>7.0</v>
      </c>
      <c r="K483" s="7" t="s">
        <v>31</v>
      </c>
      <c r="L483" s="9" t="str">
        <f>VLOOKUP(K483, 'Alphabetical by species code'!A:B, 2, FALSE)</f>
        <v>Festuca myuros</v>
      </c>
      <c r="M483" s="9" t="str">
        <f>VLOOKUP(L483, 'Alphabetical by species code'!B:C, 2, FALSE)</f>
        <v>Non-Native</v>
      </c>
    </row>
    <row r="484">
      <c r="A484" s="7">
        <v>5.0</v>
      </c>
      <c r="B484" s="7">
        <v>2025.0</v>
      </c>
      <c r="C484" s="10">
        <v>45755.0</v>
      </c>
      <c r="D484" s="7" t="s">
        <v>62</v>
      </c>
      <c r="E484" s="7" t="s">
        <v>26</v>
      </c>
      <c r="F484" s="7">
        <v>3.0</v>
      </c>
      <c r="G484" s="7" t="s">
        <v>63</v>
      </c>
      <c r="H484" s="7">
        <v>2.0</v>
      </c>
      <c r="I484" s="7">
        <v>9.0</v>
      </c>
      <c r="J484" s="7">
        <v>7.0</v>
      </c>
      <c r="K484" s="7" t="s">
        <v>42</v>
      </c>
      <c r="L484" s="9" t="str">
        <f>VLOOKUP(K484, 'Alphabetical by species code'!A:B, 2, FALSE)</f>
        <v>Centaurea melitensis</v>
      </c>
      <c r="M484" s="9" t="str">
        <f>VLOOKUP(L484, 'Alphabetical by species code'!B:C, 2, FALSE)</f>
        <v>Non-Native</v>
      </c>
    </row>
    <row r="485">
      <c r="A485" s="7">
        <v>5.0</v>
      </c>
      <c r="B485" s="7">
        <v>2025.0</v>
      </c>
      <c r="C485" s="10">
        <v>45755.0</v>
      </c>
      <c r="D485" s="7" t="s">
        <v>62</v>
      </c>
      <c r="E485" s="7" t="s">
        <v>26</v>
      </c>
      <c r="F485" s="7">
        <v>3.0</v>
      </c>
      <c r="G485" s="7" t="s">
        <v>63</v>
      </c>
      <c r="H485" s="7">
        <v>2.0</v>
      </c>
      <c r="I485" s="7">
        <v>10.0</v>
      </c>
      <c r="J485" s="7">
        <v>8.0</v>
      </c>
      <c r="K485" s="7" t="s">
        <v>51</v>
      </c>
      <c r="L485" s="9" t="str">
        <f>VLOOKUP(K485, 'Alphabetical by species code'!A:B, 2, FALSE)</f>
        <v>Bareground</v>
      </c>
      <c r="M485" s="9" t="str">
        <f>VLOOKUP(L485, 'Alphabetical by species code'!B:C, 2, FALSE)</f>
        <v>Ground Cover</v>
      </c>
    </row>
    <row r="486">
      <c r="A486" s="7">
        <v>5.0</v>
      </c>
      <c r="B486" s="7">
        <v>2025.0</v>
      </c>
      <c r="C486" s="10">
        <v>45755.0</v>
      </c>
      <c r="D486" s="7" t="s">
        <v>62</v>
      </c>
      <c r="E486" s="7" t="s">
        <v>26</v>
      </c>
      <c r="F486" s="7">
        <v>3.0</v>
      </c>
      <c r="G486" s="7" t="s">
        <v>63</v>
      </c>
      <c r="H486" s="7">
        <v>2.0</v>
      </c>
      <c r="I486" s="7">
        <v>10.0</v>
      </c>
      <c r="J486" s="7">
        <v>8.0</v>
      </c>
      <c r="K486" s="7" t="s">
        <v>44</v>
      </c>
      <c r="L486" s="9" t="str">
        <f>VLOOKUP(K486, 'Alphabetical by species code'!A:B, 2, FALSE)</f>
        <v>Amsinckia menziesii</v>
      </c>
      <c r="M486" s="9" t="str">
        <f>VLOOKUP(L486, 'Alphabetical by species code'!B:C, 2, FALSE)</f>
        <v>Native</v>
      </c>
    </row>
    <row r="487">
      <c r="A487" s="7">
        <v>5.0</v>
      </c>
      <c r="B487" s="7">
        <v>2025.0</v>
      </c>
      <c r="C487" s="10">
        <v>45755.0</v>
      </c>
      <c r="D487" s="7" t="s">
        <v>62</v>
      </c>
      <c r="E487" s="7" t="s">
        <v>26</v>
      </c>
      <c r="F487" s="7">
        <v>3.0</v>
      </c>
      <c r="G487" s="7" t="s">
        <v>63</v>
      </c>
      <c r="H487" s="7">
        <v>2.0</v>
      </c>
      <c r="I487" s="7">
        <v>10.0</v>
      </c>
      <c r="J487" s="7">
        <v>8.0</v>
      </c>
      <c r="K487" s="7" t="s">
        <v>31</v>
      </c>
      <c r="L487" s="9" t="str">
        <f>VLOOKUP(K487, 'Alphabetical by species code'!A:B, 2, FALSE)</f>
        <v>Festuca myuros</v>
      </c>
      <c r="M487" s="9" t="str">
        <f>VLOOKUP(L487, 'Alphabetical by species code'!B:C, 2, FALSE)</f>
        <v>Non-Native</v>
      </c>
    </row>
    <row r="488">
      <c r="A488" s="7">
        <v>5.0</v>
      </c>
      <c r="B488" s="7">
        <v>2025.0</v>
      </c>
      <c r="C488" s="10">
        <v>45755.0</v>
      </c>
      <c r="D488" s="7" t="s">
        <v>62</v>
      </c>
      <c r="E488" s="7" t="s">
        <v>26</v>
      </c>
      <c r="F488" s="7">
        <v>3.0</v>
      </c>
      <c r="G488" s="7" t="s">
        <v>63</v>
      </c>
      <c r="H488" s="7">
        <v>2.0</v>
      </c>
      <c r="I488" s="7">
        <v>11.0</v>
      </c>
      <c r="J488" s="7">
        <v>8.5</v>
      </c>
      <c r="K488" s="7" t="s">
        <v>28</v>
      </c>
      <c r="L488" s="9" t="str">
        <f>VLOOKUP(K488, 'Alphabetical by species code'!A:B, 2, FALSE)</f>
        <v>Litter</v>
      </c>
      <c r="M488" s="9" t="str">
        <f>VLOOKUP(L488, 'Alphabetical by species code'!B:C, 2, FALSE)</f>
        <v>Ground Cover</v>
      </c>
    </row>
    <row r="489">
      <c r="A489" s="7">
        <v>5.0</v>
      </c>
      <c r="B489" s="7">
        <v>2025.0</v>
      </c>
      <c r="C489" s="10">
        <v>45755.0</v>
      </c>
      <c r="D489" s="7" t="s">
        <v>62</v>
      </c>
      <c r="E489" s="7" t="s">
        <v>26</v>
      </c>
      <c r="F489" s="7">
        <v>3.0</v>
      </c>
      <c r="G489" s="7" t="s">
        <v>63</v>
      </c>
      <c r="H489" s="7">
        <v>2.0</v>
      </c>
      <c r="I489" s="7">
        <v>11.0</v>
      </c>
      <c r="J489" s="7">
        <v>8.5</v>
      </c>
      <c r="K489" s="7" t="s">
        <v>42</v>
      </c>
      <c r="L489" s="9" t="str">
        <f>VLOOKUP(K489, 'Alphabetical by species code'!A:B, 2, FALSE)</f>
        <v>Centaurea melitensis</v>
      </c>
      <c r="M489" s="9" t="str">
        <f>VLOOKUP(L489, 'Alphabetical by species code'!B:C, 2, FALSE)</f>
        <v>Non-Native</v>
      </c>
    </row>
    <row r="490">
      <c r="A490" s="7">
        <v>5.0</v>
      </c>
      <c r="B490" s="7">
        <v>2025.0</v>
      </c>
      <c r="C490" s="10">
        <v>45755.0</v>
      </c>
      <c r="D490" s="7" t="s">
        <v>62</v>
      </c>
      <c r="E490" s="7" t="s">
        <v>26</v>
      </c>
      <c r="F490" s="7">
        <v>3.0</v>
      </c>
      <c r="G490" s="7" t="s">
        <v>63</v>
      </c>
      <c r="H490" s="7">
        <v>2.0</v>
      </c>
      <c r="I490" s="7">
        <v>12.0</v>
      </c>
      <c r="J490" s="7">
        <v>9.0</v>
      </c>
      <c r="K490" s="7" t="s">
        <v>28</v>
      </c>
      <c r="L490" s="9" t="str">
        <f>VLOOKUP(K490, 'Alphabetical by species code'!A:B, 2, FALSE)</f>
        <v>Litter</v>
      </c>
      <c r="M490" s="9" t="str">
        <f>VLOOKUP(L490, 'Alphabetical by species code'!B:C, 2, FALSE)</f>
        <v>Ground Cover</v>
      </c>
    </row>
    <row r="491">
      <c r="A491" s="7">
        <v>5.0</v>
      </c>
      <c r="B491" s="7">
        <v>2025.0</v>
      </c>
      <c r="C491" s="10">
        <v>45755.0</v>
      </c>
      <c r="D491" s="7" t="s">
        <v>62</v>
      </c>
      <c r="E491" s="7" t="s">
        <v>26</v>
      </c>
      <c r="F491" s="7">
        <v>3.0</v>
      </c>
      <c r="G491" s="7" t="s">
        <v>63</v>
      </c>
      <c r="H491" s="7">
        <v>2.0</v>
      </c>
      <c r="I491" s="7">
        <v>12.0</v>
      </c>
      <c r="J491" s="7">
        <v>9.0</v>
      </c>
      <c r="K491" s="7" t="s">
        <v>31</v>
      </c>
      <c r="L491" s="9" t="str">
        <f>VLOOKUP(K491, 'Alphabetical by species code'!A:B, 2, FALSE)</f>
        <v>Festuca myuros</v>
      </c>
      <c r="M491" s="9" t="str">
        <f>VLOOKUP(L491, 'Alphabetical by species code'!B:C, 2, FALSE)</f>
        <v>Non-Native</v>
      </c>
    </row>
    <row r="492">
      <c r="A492" s="7">
        <v>5.0</v>
      </c>
      <c r="B492" s="7">
        <v>2025.0</v>
      </c>
      <c r="C492" s="10">
        <v>45755.0</v>
      </c>
      <c r="D492" s="7" t="s">
        <v>62</v>
      </c>
      <c r="E492" s="7" t="s">
        <v>26</v>
      </c>
      <c r="F492" s="7">
        <v>3.0</v>
      </c>
      <c r="G492" s="7" t="s">
        <v>63</v>
      </c>
      <c r="H492" s="7">
        <v>2.0</v>
      </c>
      <c r="I492" s="7">
        <v>12.0</v>
      </c>
      <c r="J492" s="7">
        <v>9.0</v>
      </c>
      <c r="K492" s="7" t="s">
        <v>64</v>
      </c>
      <c r="L492" s="9" t="str">
        <f>VLOOKUP(K492, 'Alphabetical by species code'!A:B, 2, FALSE)</f>
        <v>Brassica nigra</v>
      </c>
      <c r="M492" s="9" t="str">
        <f>VLOOKUP(L492, 'Alphabetical by species code'!B:C, 2, FALSE)</f>
        <v>Non-Native</v>
      </c>
    </row>
    <row r="493">
      <c r="A493" s="7">
        <v>5.0</v>
      </c>
      <c r="B493" s="7">
        <v>2025.0</v>
      </c>
      <c r="C493" s="10">
        <v>45755.0</v>
      </c>
      <c r="D493" s="7" t="s">
        <v>62</v>
      </c>
      <c r="E493" s="7" t="s">
        <v>26</v>
      </c>
      <c r="F493" s="7">
        <v>3.0</v>
      </c>
      <c r="G493" s="7" t="s">
        <v>63</v>
      </c>
      <c r="H493" s="7">
        <v>2.0</v>
      </c>
      <c r="I493" s="7">
        <v>13.0</v>
      </c>
      <c r="J493" s="7">
        <v>10.0</v>
      </c>
      <c r="K493" s="7" t="s">
        <v>28</v>
      </c>
      <c r="L493" s="9" t="str">
        <f>VLOOKUP(K493, 'Alphabetical by species code'!A:B, 2, FALSE)</f>
        <v>Litter</v>
      </c>
      <c r="M493" s="9" t="str">
        <f>VLOOKUP(L493, 'Alphabetical by species code'!B:C, 2, FALSE)</f>
        <v>Ground Cover</v>
      </c>
    </row>
    <row r="494">
      <c r="A494" s="7">
        <v>5.0</v>
      </c>
      <c r="B494" s="7">
        <v>2025.0</v>
      </c>
      <c r="C494" s="10">
        <v>45755.0</v>
      </c>
      <c r="D494" s="7" t="s">
        <v>62</v>
      </c>
      <c r="E494" s="7" t="s">
        <v>26</v>
      </c>
      <c r="F494" s="7">
        <v>3.0</v>
      </c>
      <c r="G494" s="7" t="s">
        <v>63</v>
      </c>
      <c r="H494" s="7">
        <v>2.0</v>
      </c>
      <c r="I494" s="7">
        <v>13.0</v>
      </c>
      <c r="J494" s="7">
        <v>10.0</v>
      </c>
      <c r="K494" s="7" t="s">
        <v>31</v>
      </c>
      <c r="L494" s="9" t="str">
        <f>VLOOKUP(K494, 'Alphabetical by species code'!A:B, 2, FALSE)</f>
        <v>Festuca myuros</v>
      </c>
      <c r="M494" s="9" t="str">
        <f>VLOOKUP(L494, 'Alphabetical by species code'!B:C, 2, FALSE)</f>
        <v>Non-Native</v>
      </c>
    </row>
    <row r="495">
      <c r="A495" s="7">
        <v>5.0</v>
      </c>
      <c r="B495" s="7">
        <v>2025.0</v>
      </c>
      <c r="C495" s="10">
        <v>45755.0</v>
      </c>
      <c r="D495" s="7" t="s">
        <v>62</v>
      </c>
      <c r="E495" s="7" t="s">
        <v>26</v>
      </c>
      <c r="F495" s="7">
        <v>3.0</v>
      </c>
      <c r="G495" s="7" t="s">
        <v>63</v>
      </c>
      <c r="H495" s="7">
        <v>2.0</v>
      </c>
      <c r="I495" s="7">
        <v>13.0</v>
      </c>
      <c r="J495" s="7">
        <v>10.0</v>
      </c>
      <c r="K495" s="7" t="s">
        <v>42</v>
      </c>
      <c r="L495" s="9" t="str">
        <f>VLOOKUP(K495, 'Alphabetical by species code'!A:B, 2, FALSE)</f>
        <v>Centaurea melitensis</v>
      </c>
      <c r="M495" s="9" t="str">
        <f>VLOOKUP(L495, 'Alphabetical by species code'!B:C, 2, FALSE)</f>
        <v>Non-Native</v>
      </c>
    </row>
    <row r="496">
      <c r="A496" s="7">
        <v>5.0</v>
      </c>
      <c r="B496" s="7">
        <v>2025.0</v>
      </c>
      <c r="C496" s="10">
        <v>45755.0</v>
      </c>
      <c r="D496" s="7" t="s">
        <v>62</v>
      </c>
      <c r="E496" s="7" t="s">
        <v>26</v>
      </c>
      <c r="F496" s="7">
        <v>3.0</v>
      </c>
      <c r="G496" s="7" t="s">
        <v>63</v>
      </c>
      <c r="H496" s="7">
        <v>2.0</v>
      </c>
      <c r="I496" s="7">
        <v>14.0</v>
      </c>
      <c r="J496" s="7">
        <v>11.0</v>
      </c>
      <c r="K496" s="7" t="s">
        <v>28</v>
      </c>
      <c r="L496" s="9" t="str">
        <f>VLOOKUP(K496, 'Alphabetical by species code'!A:B, 2, FALSE)</f>
        <v>Litter</v>
      </c>
      <c r="M496" s="9" t="str">
        <f>VLOOKUP(L496, 'Alphabetical by species code'!B:C, 2, FALSE)</f>
        <v>Ground Cover</v>
      </c>
    </row>
    <row r="497">
      <c r="A497" s="7">
        <v>5.0</v>
      </c>
      <c r="B497" s="7">
        <v>2025.0</v>
      </c>
      <c r="C497" s="10">
        <v>45755.0</v>
      </c>
      <c r="D497" s="7" t="s">
        <v>62</v>
      </c>
      <c r="E497" s="7" t="s">
        <v>26</v>
      </c>
      <c r="F497" s="7">
        <v>3.0</v>
      </c>
      <c r="G497" s="7" t="s">
        <v>63</v>
      </c>
      <c r="H497" s="7">
        <v>2.0</v>
      </c>
      <c r="I497" s="7">
        <v>14.0</v>
      </c>
      <c r="J497" s="7">
        <v>11.0</v>
      </c>
      <c r="K497" s="7" t="s">
        <v>64</v>
      </c>
      <c r="L497" s="9" t="str">
        <f>VLOOKUP(K497, 'Alphabetical by species code'!A:B, 2, FALSE)</f>
        <v>Brassica nigra</v>
      </c>
      <c r="M497" s="9" t="str">
        <f>VLOOKUP(L497, 'Alphabetical by species code'!B:C, 2, FALSE)</f>
        <v>Non-Native</v>
      </c>
    </row>
    <row r="498">
      <c r="A498" s="7">
        <v>5.0</v>
      </c>
      <c r="B498" s="7">
        <v>2025.0</v>
      </c>
      <c r="C498" s="10">
        <v>45755.0</v>
      </c>
      <c r="D498" s="7" t="s">
        <v>62</v>
      </c>
      <c r="E498" s="7" t="s">
        <v>26</v>
      </c>
      <c r="F498" s="7">
        <v>3.0</v>
      </c>
      <c r="G498" s="7" t="s">
        <v>63</v>
      </c>
      <c r="H498" s="7">
        <v>2.0</v>
      </c>
      <c r="I498" s="7">
        <v>15.0</v>
      </c>
      <c r="J498" s="7">
        <v>12.0</v>
      </c>
      <c r="K498" s="7" t="s">
        <v>28</v>
      </c>
      <c r="L498" s="9" t="str">
        <f>VLOOKUP(K498, 'Alphabetical by species code'!A:B, 2, FALSE)</f>
        <v>Litter</v>
      </c>
      <c r="M498" s="9" t="str">
        <f>VLOOKUP(L498, 'Alphabetical by species code'!B:C, 2, FALSE)</f>
        <v>Ground Cover</v>
      </c>
    </row>
    <row r="499">
      <c r="A499" s="7">
        <v>5.0</v>
      </c>
      <c r="B499" s="7">
        <v>2025.0</v>
      </c>
      <c r="C499" s="10">
        <v>45755.0</v>
      </c>
      <c r="D499" s="7" t="s">
        <v>62</v>
      </c>
      <c r="E499" s="7" t="s">
        <v>26</v>
      </c>
      <c r="F499" s="7">
        <v>3.0</v>
      </c>
      <c r="G499" s="7" t="s">
        <v>63</v>
      </c>
      <c r="H499" s="7">
        <v>2.0</v>
      </c>
      <c r="I499" s="7">
        <v>15.0</v>
      </c>
      <c r="J499" s="7">
        <v>12.0</v>
      </c>
      <c r="K499" s="7" t="s">
        <v>48</v>
      </c>
      <c r="L499" s="9" t="str">
        <f>VLOOKUP(K499, 'Alphabetical by species code'!A:B, 2, FALSE)</f>
        <v>Sonchus asper</v>
      </c>
      <c r="M499" s="9" t="str">
        <f>VLOOKUP(L499, 'Alphabetical by species code'!B:C, 2, FALSE)</f>
        <v>Non-Native</v>
      </c>
    </row>
    <row r="500">
      <c r="A500" s="7">
        <v>5.0</v>
      </c>
      <c r="B500" s="7">
        <v>2025.0</v>
      </c>
      <c r="C500" s="10">
        <v>45755.0</v>
      </c>
      <c r="D500" s="7" t="s">
        <v>62</v>
      </c>
      <c r="E500" s="7" t="s">
        <v>26</v>
      </c>
      <c r="F500" s="7">
        <v>3.0</v>
      </c>
      <c r="G500" s="7" t="s">
        <v>63</v>
      </c>
      <c r="H500" s="7">
        <v>2.0</v>
      </c>
      <c r="I500" s="7">
        <v>15.0</v>
      </c>
      <c r="J500" s="7">
        <v>12.0</v>
      </c>
      <c r="K500" s="7" t="s">
        <v>31</v>
      </c>
      <c r="L500" s="9" t="str">
        <f>VLOOKUP(K500, 'Alphabetical by species code'!A:B, 2, FALSE)</f>
        <v>Festuca myuros</v>
      </c>
      <c r="M500" s="9" t="str">
        <f>VLOOKUP(L500, 'Alphabetical by species code'!B:C, 2, FALSE)</f>
        <v>Non-Native</v>
      </c>
    </row>
    <row r="501">
      <c r="A501" s="7">
        <v>6.0</v>
      </c>
      <c r="B501" s="7">
        <v>2025.0</v>
      </c>
      <c r="C501" s="10">
        <v>45755.0</v>
      </c>
      <c r="D501" s="7" t="s">
        <v>54</v>
      </c>
      <c r="E501" s="7" t="s">
        <v>26</v>
      </c>
      <c r="F501" s="7">
        <v>3.0</v>
      </c>
      <c r="G501" s="7" t="s">
        <v>66</v>
      </c>
      <c r="H501" s="7">
        <v>1.0</v>
      </c>
      <c r="I501" s="7">
        <v>1.0</v>
      </c>
      <c r="J501" s="7">
        <v>0.0</v>
      </c>
      <c r="K501" s="7" t="s">
        <v>28</v>
      </c>
      <c r="L501" s="9" t="str">
        <f>VLOOKUP(K501, 'Alphabetical by species code'!A:B, 2, FALSE)</f>
        <v>Litter</v>
      </c>
      <c r="M501" s="9" t="str">
        <f>VLOOKUP(L501, 'Alphabetical by species code'!B:C, 2, FALSE)</f>
        <v>Ground Cover</v>
      </c>
    </row>
    <row r="502">
      <c r="A502" s="7">
        <v>6.0</v>
      </c>
      <c r="B502" s="7">
        <v>2025.0</v>
      </c>
      <c r="C502" s="10">
        <v>45755.0</v>
      </c>
      <c r="D502" s="7" t="s">
        <v>54</v>
      </c>
      <c r="E502" s="7" t="s">
        <v>26</v>
      </c>
      <c r="F502" s="7">
        <v>3.0</v>
      </c>
      <c r="G502" s="7" t="s">
        <v>66</v>
      </c>
      <c r="H502" s="7">
        <v>1.0</v>
      </c>
      <c r="I502" s="7">
        <v>1.0</v>
      </c>
      <c r="J502" s="7">
        <v>0.0</v>
      </c>
      <c r="K502" s="7" t="s">
        <v>35</v>
      </c>
      <c r="L502" s="9" t="str">
        <f>VLOOKUP(K502, 'Alphabetical by species code'!A:B, 2, FALSE)</f>
        <v>Deinandra fasciculata</v>
      </c>
      <c r="M502" s="9" t="str">
        <f>VLOOKUP(L502, 'Alphabetical by species code'!B:C, 2, FALSE)</f>
        <v>Native</v>
      </c>
    </row>
    <row r="503">
      <c r="A503" s="7">
        <v>6.0</v>
      </c>
      <c r="B503" s="7">
        <v>2025.0</v>
      </c>
      <c r="C503" s="10">
        <v>45755.0</v>
      </c>
      <c r="D503" s="7" t="s">
        <v>54</v>
      </c>
      <c r="E503" s="7" t="s">
        <v>26</v>
      </c>
      <c r="F503" s="7">
        <v>3.0</v>
      </c>
      <c r="G503" s="7" t="s">
        <v>66</v>
      </c>
      <c r="H503" s="7">
        <v>1.0</v>
      </c>
      <c r="I503" s="7">
        <v>1.0</v>
      </c>
      <c r="J503" s="7">
        <v>0.0</v>
      </c>
      <c r="K503" s="7" t="s">
        <v>49</v>
      </c>
      <c r="L503" s="9" t="str">
        <f>VLOOKUP(K503, 'Alphabetical by species code'!A:B, 2, FALSE)</f>
        <v>Anagallis arvensis</v>
      </c>
      <c r="M503" s="9" t="str">
        <f>VLOOKUP(L503, 'Alphabetical by species code'!B:C, 2, FALSE)</f>
        <v>Non-Native</v>
      </c>
    </row>
    <row r="504">
      <c r="A504" s="7">
        <v>6.0</v>
      </c>
      <c r="B504" s="7">
        <v>2025.0</v>
      </c>
      <c r="C504" s="10">
        <v>45755.0</v>
      </c>
      <c r="D504" s="7" t="s">
        <v>54</v>
      </c>
      <c r="E504" s="7" t="s">
        <v>26</v>
      </c>
      <c r="F504" s="7">
        <v>3.0</v>
      </c>
      <c r="G504" s="7" t="s">
        <v>66</v>
      </c>
      <c r="H504" s="7">
        <v>1.0</v>
      </c>
      <c r="I504" s="7">
        <v>1.0</v>
      </c>
      <c r="J504" s="7">
        <v>0.0</v>
      </c>
      <c r="K504" s="7" t="s">
        <v>34</v>
      </c>
      <c r="L504" s="9" t="str">
        <f>VLOOKUP(K504, 'Alphabetical by species code'!A:B, 2, FALSE)</f>
        <v>Erodium cicutarium</v>
      </c>
      <c r="M504" s="9" t="str">
        <f>VLOOKUP(L504, 'Alphabetical by species code'!B:C, 2, FALSE)</f>
        <v>Non-Native</v>
      </c>
    </row>
    <row r="505">
      <c r="A505" s="7">
        <v>6.0</v>
      </c>
      <c r="B505" s="7">
        <v>2025.0</v>
      </c>
      <c r="C505" s="10">
        <v>45755.0</v>
      </c>
      <c r="D505" s="7" t="s">
        <v>54</v>
      </c>
      <c r="E505" s="7" t="s">
        <v>26</v>
      </c>
      <c r="F505" s="7">
        <v>3.0</v>
      </c>
      <c r="G505" s="7" t="s">
        <v>66</v>
      </c>
      <c r="H505" s="7">
        <v>1.0</v>
      </c>
      <c r="I505" s="7">
        <v>2.0</v>
      </c>
      <c r="J505" s="7">
        <v>1.0</v>
      </c>
      <c r="K505" s="7" t="s">
        <v>28</v>
      </c>
      <c r="L505" s="9" t="str">
        <f>VLOOKUP(K505, 'Alphabetical by species code'!A:B, 2, FALSE)</f>
        <v>Litter</v>
      </c>
      <c r="M505" s="9" t="str">
        <f>VLOOKUP(L505, 'Alphabetical by species code'!B:C, 2, FALSE)</f>
        <v>Ground Cover</v>
      </c>
    </row>
    <row r="506">
      <c r="A506" s="7">
        <v>6.0</v>
      </c>
      <c r="B506" s="7">
        <v>2025.0</v>
      </c>
      <c r="C506" s="10">
        <v>45755.0</v>
      </c>
      <c r="D506" s="7" t="s">
        <v>54</v>
      </c>
      <c r="E506" s="7" t="s">
        <v>26</v>
      </c>
      <c r="F506" s="7">
        <v>3.0</v>
      </c>
      <c r="G506" s="7" t="s">
        <v>66</v>
      </c>
      <c r="H506" s="7">
        <v>1.0</v>
      </c>
      <c r="I506" s="7">
        <v>2.0</v>
      </c>
      <c r="J506" s="7">
        <v>1.0</v>
      </c>
      <c r="K506" s="7" t="s">
        <v>40</v>
      </c>
      <c r="L506" s="9" t="str">
        <f>VLOOKUP(K506, 'Alphabetical by species code'!A:B, 2, FALSE)</f>
        <v>Cylindropuntia prolifera</v>
      </c>
      <c r="M506" s="9" t="str">
        <f>VLOOKUP(L506, 'Alphabetical by species code'!B:C, 2, FALSE)</f>
        <v>Native</v>
      </c>
    </row>
    <row r="507">
      <c r="A507" s="7">
        <v>6.0</v>
      </c>
      <c r="B507" s="7">
        <v>2025.0</v>
      </c>
      <c r="C507" s="10">
        <v>45755.0</v>
      </c>
      <c r="D507" s="7" t="s">
        <v>54</v>
      </c>
      <c r="E507" s="7" t="s">
        <v>26</v>
      </c>
      <c r="F507" s="7">
        <v>3.0</v>
      </c>
      <c r="G507" s="7" t="s">
        <v>66</v>
      </c>
      <c r="H507" s="7">
        <v>1.0</v>
      </c>
      <c r="I507" s="7">
        <v>2.0</v>
      </c>
      <c r="J507" s="7">
        <v>1.0</v>
      </c>
      <c r="K507" s="7" t="s">
        <v>39</v>
      </c>
      <c r="L507" s="9" t="str">
        <f>VLOOKUP(K507, 'Alphabetical by species code'!A:B, 2, FALSE)</f>
        <v>Stephanomeria diegensis</v>
      </c>
      <c r="M507" s="9" t="str">
        <f>VLOOKUP(L507, 'Alphabetical by species code'!B:C, 2, FALSE)</f>
        <v>Native</v>
      </c>
    </row>
    <row r="508">
      <c r="A508" s="7">
        <v>6.0</v>
      </c>
      <c r="B508" s="7">
        <v>2025.0</v>
      </c>
      <c r="C508" s="10">
        <v>45755.0</v>
      </c>
      <c r="D508" s="7" t="s">
        <v>54</v>
      </c>
      <c r="E508" s="7" t="s">
        <v>26</v>
      </c>
      <c r="F508" s="7">
        <v>3.0</v>
      </c>
      <c r="G508" s="7" t="s">
        <v>66</v>
      </c>
      <c r="H508" s="7">
        <v>1.0</v>
      </c>
      <c r="I508" s="7">
        <v>2.0</v>
      </c>
      <c r="J508" s="7">
        <v>1.0</v>
      </c>
      <c r="K508" s="7" t="s">
        <v>31</v>
      </c>
      <c r="L508" s="9" t="str">
        <f>VLOOKUP(K508, 'Alphabetical by species code'!A:B, 2, FALSE)</f>
        <v>Festuca myuros</v>
      </c>
      <c r="M508" s="9" t="str">
        <f>VLOOKUP(L508, 'Alphabetical by species code'!B:C, 2, FALSE)</f>
        <v>Non-Native</v>
      </c>
    </row>
    <row r="509">
      <c r="A509" s="7">
        <v>6.0</v>
      </c>
      <c r="B509" s="7">
        <v>2025.0</v>
      </c>
      <c r="C509" s="10">
        <v>45755.0</v>
      </c>
      <c r="D509" s="7" t="s">
        <v>54</v>
      </c>
      <c r="E509" s="7" t="s">
        <v>26</v>
      </c>
      <c r="F509" s="7">
        <v>3.0</v>
      </c>
      <c r="G509" s="7" t="s">
        <v>66</v>
      </c>
      <c r="H509" s="7">
        <v>1.0</v>
      </c>
      <c r="I509" s="7">
        <v>3.0</v>
      </c>
      <c r="J509" s="7">
        <v>2.0</v>
      </c>
      <c r="K509" s="7" t="s">
        <v>28</v>
      </c>
      <c r="L509" s="9" t="str">
        <f>VLOOKUP(K509, 'Alphabetical by species code'!A:B, 2, FALSE)</f>
        <v>Litter</v>
      </c>
      <c r="M509" s="9" t="str">
        <f>VLOOKUP(L509, 'Alphabetical by species code'!B:C, 2, FALSE)</f>
        <v>Ground Cover</v>
      </c>
    </row>
    <row r="510">
      <c r="A510" s="7">
        <v>6.0</v>
      </c>
      <c r="B510" s="7">
        <v>2025.0</v>
      </c>
      <c r="C510" s="10">
        <v>45755.0</v>
      </c>
      <c r="D510" s="7" t="s">
        <v>54</v>
      </c>
      <c r="E510" s="7" t="s">
        <v>26</v>
      </c>
      <c r="F510" s="7">
        <v>3.0</v>
      </c>
      <c r="G510" s="7" t="s">
        <v>66</v>
      </c>
      <c r="H510" s="7">
        <v>1.0</v>
      </c>
      <c r="I510" s="7">
        <v>3.0</v>
      </c>
      <c r="J510" s="7">
        <v>2.0</v>
      </c>
      <c r="K510" s="7" t="s">
        <v>31</v>
      </c>
      <c r="L510" s="9" t="str">
        <f>VLOOKUP(K510, 'Alphabetical by species code'!A:B, 2, FALSE)</f>
        <v>Festuca myuros</v>
      </c>
      <c r="M510" s="9" t="str">
        <f>VLOOKUP(L510, 'Alphabetical by species code'!B:C, 2, FALSE)</f>
        <v>Non-Native</v>
      </c>
    </row>
    <row r="511">
      <c r="A511" s="7">
        <v>6.0</v>
      </c>
      <c r="B511" s="7">
        <v>2025.0</v>
      </c>
      <c r="C511" s="10">
        <v>45755.0</v>
      </c>
      <c r="D511" s="7" t="s">
        <v>54</v>
      </c>
      <c r="E511" s="7" t="s">
        <v>26</v>
      </c>
      <c r="F511" s="7">
        <v>3.0</v>
      </c>
      <c r="G511" s="7" t="s">
        <v>66</v>
      </c>
      <c r="H511" s="7">
        <v>1.0</v>
      </c>
      <c r="I511" s="7">
        <v>3.0</v>
      </c>
      <c r="J511" s="7">
        <v>2.0</v>
      </c>
      <c r="K511" s="7" t="s">
        <v>49</v>
      </c>
      <c r="L511" s="9" t="str">
        <f>VLOOKUP(K511, 'Alphabetical by species code'!A:B, 2, FALSE)</f>
        <v>Anagallis arvensis</v>
      </c>
      <c r="M511" s="9" t="str">
        <f>VLOOKUP(L511, 'Alphabetical by species code'!B:C, 2, FALSE)</f>
        <v>Non-Native</v>
      </c>
    </row>
    <row r="512">
      <c r="A512" s="7">
        <v>6.0</v>
      </c>
      <c r="B512" s="7">
        <v>2025.0</v>
      </c>
      <c r="C512" s="10">
        <v>45755.0</v>
      </c>
      <c r="D512" s="7" t="s">
        <v>54</v>
      </c>
      <c r="E512" s="7" t="s">
        <v>26</v>
      </c>
      <c r="F512" s="7">
        <v>3.0</v>
      </c>
      <c r="G512" s="7" t="s">
        <v>66</v>
      </c>
      <c r="H512" s="7">
        <v>1.0</v>
      </c>
      <c r="I512" s="7">
        <v>4.0</v>
      </c>
      <c r="J512" s="7">
        <v>3.0</v>
      </c>
      <c r="K512" s="7" t="s">
        <v>28</v>
      </c>
      <c r="L512" s="9" t="str">
        <f>VLOOKUP(K512, 'Alphabetical by species code'!A:B, 2, FALSE)</f>
        <v>Litter</v>
      </c>
      <c r="M512" s="9" t="str">
        <f>VLOOKUP(L512, 'Alphabetical by species code'!B:C, 2, FALSE)</f>
        <v>Ground Cover</v>
      </c>
    </row>
    <row r="513">
      <c r="A513" s="7">
        <v>6.0</v>
      </c>
      <c r="B513" s="7">
        <v>2025.0</v>
      </c>
      <c r="C513" s="10">
        <v>45755.0</v>
      </c>
      <c r="D513" s="7" t="s">
        <v>54</v>
      </c>
      <c r="E513" s="7" t="s">
        <v>26</v>
      </c>
      <c r="F513" s="7">
        <v>3.0</v>
      </c>
      <c r="G513" s="7" t="s">
        <v>66</v>
      </c>
      <c r="H513" s="7">
        <v>1.0</v>
      </c>
      <c r="I513" s="7">
        <v>4.0</v>
      </c>
      <c r="J513" s="7">
        <v>3.0</v>
      </c>
      <c r="K513" s="7" t="s">
        <v>32</v>
      </c>
      <c r="L513" s="9" t="str">
        <f>VLOOKUP(K513, 'Alphabetical by species code'!A:B, 2, FALSE)</f>
        <v>Medicago polymorpha</v>
      </c>
      <c r="M513" s="9" t="str">
        <f>VLOOKUP(L513, 'Alphabetical by species code'!B:C, 2, FALSE)</f>
        <v>Non-Native</v>
      </c>
    </row>
    <row r="514">
      <c r="A514" s="7">
        <v>6.0</v>
      </c>
      <c r="B514" s="7">
        <v>2025.0</v>
      </c>
      <c r="C514" s="10">
        <v>45755.0</v>
      </c>
      <c r="D514" s="7" t="s">
        <v>54</v>
      </c>
      <c r="E514" s="7" t="s">
        <v>26</v>
      </c>
      <c r="F514" s="7">
        <v>3.0</v>
      </c>
      <c r="G514" s="7" t="s">
        <v>66</v>
      </c>
      <c r="H514" s="7">
        <v>1.0</v>
      </c>
      <c r="I514" s="7">
        <v>4.0</v>
      </c>
      <c r="J514" s="7">
        <v>3.0</v>
      </c>
      <c r="K514" s="7" t="s">
        <v>31</v>
      </c>
      <c r="L514" s="9" t="str">
        <f>VLOOKUP(K514, 'Alphabetical by species code'!A:B, 2, FALSE)</f>
        <v>Festuca myuros</v>
      </c>
      <c r="M514" s="9" t="str">
        <f>VLOOKUP(L514, 'Alphabetical by species code'!B:C, 2, FALSE)</f>
        <v>Non-Native</v>
      </c>
    </row>
    <row r="515">
      <c r="A515" s="7">
        <v>6.0</v>
      </c>
      <c r="B515" s="7">
        <v>2025.0</v>
      </c>
      <c r="C515" s="10">
        <v>45755.0</v>
      </c>
      <c r="D515" s="7" t="s">
        <v>54</v>
      </c>
      <c r="E515" s="7" t="s">
        <v>26</v>
      </c>
      <c r="F515" s="7">
        <v>3.0</v>
      </c>
      <c r="G515" s="7" t="s">
        <v>66</v>
      </c>
      <c r="H515" s="7">
        <v>1.0</v>
      </c>
      <c r="I515" s="7">
        <v>4.0</v>
      </c>
      <c r="J515" s="7">
        <v>3.0</v>
      </c>
      <c r="K515" s="7" t="s">
        <v>37</v>
      </c>
      <c r="L515" s="9" t="str">
        <f>VLOOKUP(K515, 'Alphabetical by species code'!A:B, 2, FALSE)</f>
        <v>Sonchus oleraceus</v>
      </c>
      <c r="M515" s="9" t="str">
        <f>VLOOKUP(L515, 'Alphabetical by species code'!B:C, 2, FALSE)</f>
        <v>Non-Native</v>
      </c>
    </row>
    <row r="516">
      <c r="A516" s="7">
        <v>6.0</v>
      </c>
      <c r="B516" s="7">
        <v>2025.0</v>
      </c>
      <c r="C516" s="10">
        <v>45755.0</v>
      </c>
      <c r="D516" s="7" t="s">
        <v>54</v>
      </c>
      <c r="E516" s="7" t="s">
        <v>26</v>
      </c>
      <c r="F516" s="7">
        <v>3.0</v>
      </c>
      <c r="G516" s="7" t="s">
        <v>66</v>
      </c>
      <c r="H516" s="7">
        <v>1.0</v>
      </c>
      <c r="I516" s="7">
        <v>5.0</v>
      </c>
      <c r="J516" s="7">
        <v>3.5</v>
      </c>
      <c r="K516" s="7" t="s">
        <v>28</v>
      </c>
      <c r="L516" s="9" t="str">
        <f>VLOOKUP(K516, 'Alphabetical by species code'!A:B, 2, FALSE)</f>
        <v>Litter</v>
      </c>
      <c r="M516" s="9" t="str">
        <f>VLOOKUP(L516, 'Alphabetical by species code'!B:C, 2, FALSE)</f>
        <v>Ground Cover</v>
      </c>
    </row>
    <row r="517">
      <c r="A517" s="7">
        <v>6.0</v>
      </c>
      <c r="B517" s="7">
        <v>2025.0</v>
      </c>
      <c r="C517" s="10">
        <v>45755.0</v>
      </c>
      <c r="D517" s="7" t="s">
        <v>54</v>
      </c>
      <c r="E517" s="7" t="s">
        <v>26</v>
      </c>
      <c r="F517" s="7">
        <v>3.0</v>
      </c>
      <c r="G517" s="7" t="s">
        <v>66</v>
      </c>
      <c r="H517" s="7">
        <v>1.0</v>
      </c>
      <c r="I517" s="7">
        <v>5.0</v>
      </c>
      <c r="J517" s="7">
        <v>3.5</v>
      </c>
      <c r="K517" s="7" t="s">
        <v>58</v>
      </c>
      <c r="L517" s="9" t="str">
        <f>VLOOKUP(K517, 'Alphabetical by species code'!A:B, 2, FALSE)</f>
        <v>Crassula connata</v>
      </c>
      <c r="M517" s="9" t="str">
        <f>VLOOKUP(L517, 'Alphabetical by species code'!B:C, 2, FALSE)</f>
        <v>Native</v>
      </c>
    </row>
    <row r="518">
      <c r="A518" s="7">
        <v>6.0</v>
      </c>
      <c r="B518" s="7">
        <v>2025.0</v>
      </c>
      <c r="C518" s="10">
        <v>45755.0</v>
      </c>
      <c r="D518" s="7" t="s">
        <v>54</v>
      </c>
      <c r="E518" s="7" t="s">
        <v>26</v>
      </c>
      <c r="F518" s="7">
        <v>3.0</v>
      </c>
      <c r="G518" s="7" t="s">
        <v>66</v>
      </c>
      <c r="H518" s="7">
        <v>1.0</v>
      </c>
      <c r="I518" s="7">
        <v>5.0</v>
      </c>
      <c r="J518" s="7">
        <v>3.5</v>
      </c>
      <c r="K518" s="7" t="s">
        <v>31</v>
      </c>
      <c r="L518" s="9" t="str">
        <f>VLOOKUP(K518, 'Alphabetical by species code'!A:B, 2, FALSE)</f>
        <v>Festuca myuros</v>
      </c>
      <c r="M518" s="9" t="str">
        <f>VLOOKUP(L518, 'Alphabetical by species code'!B:C, 2, FALSE)</f>
        <v>Non-Native</v>
      </c>
    </row>
    <row r="519">
      <c r="A519" s="7">
        <v>6.0</v>
      </c>
      <c r="B519" s="7">
        <v>2025.0</v>
      </c>
      <c r="C519" s="10">
        <v>45755.0</v>
      </c>
      <c r="D519" s="7" t="s">
        <v>54</v>
      </c>
      <c r="E519" s="7" t="s">
        <v>26</v>
      </c>
      <c r="F519" s="7">
        <v>3.0</v>
      </c>
      <c r="G519" s="7" t="s">
        <v>66</v>
      </c>
      <c r="H519" s="7">
        <v>1.0</v>
      </c>
      <c r="I519" s="7">
        <v>5.0</v>
      </c>
      <c r="J519" s="7">
        <v>3.5</v>
      </c>
      <c r="K519" s="7" t="s">
        <v>32</v>
      </c>
      <c r="L519" s="9" t="str">
        <f>VLOOKUP(K519, 'Alphabetical by species code'!A:B, 2, FALSE)</f>
        <v>Medicago polymorpha</v>
      </c>
      <c r="M519" s="9" t="str">
        <f>VLOOKUP(L519, 'Alphabetical by species code'!B:C, 2, FALSE)</f>
        <v>Non-Native</v>
      </c>
    </row>
    <row r="520">
      <c r="A520" s="7">
        <v>6.0</v>
      </c>
      <c r="B520" s="7">
        <v>2025.0</v>
      </c>
      <c r="C520" s="10">
        <v>45755.0</v>
      </c>
      <c r="D520" s="7" t="s">
        <v>54</v>
      </c>
      <c r="E520" s="7" t="s">
        <v>26</v>
      </c>
      <c r="F520" s="7">
        <v>3.0</v>
      </c>
      <c r="G520" s="7" t="s">
        <v>66</v>
      </c>
      <c r="H520" s="7">
        <v>1.0</v>
      </c>
      <c r="I520" s="7">
        <v>6.0</v>
      </c>
      <c r="J520" s="7">
        <v>4.0</v>
      </c>
      <c r="K520" s="7" t="s">
        <v>28</v>
      </c>
      <c r="L520" s="9" t="str">
        <f>VLOOKUP(K520, 'Alphabetical by species code'!A:B, 2, FALSE)</f>
        <v>Litter</v>
      </c>
      <c r="M520" s="9" t="str">
        <f>VLOOKUP(L520, 'Alphabetical by species code'!B:C, 2, FALSE)</f>
        <v>Ground Cover</v>
      </c>
    </row>
    <row r="521">
      <c r="A521" s="7">
        <v>6.0</v>
      </c>
      <c r="B521" s="7">
        <v>2025.0</v>
      </c>
      <c r="C521" s="10">
        <v>45755.0</v>
      </c>
      <c r="D521" s="7" t="s">
        <v>54</v>
      </c>
      <c r="E521" s="7" t="s">
        <v>26</v>
      </c>
      <c r="F521" s="7">
        <v>3.0</v>
      </c>
      <c r="G521" s="7" t="s">
        <v>66</v>
      </c>
      <c r="H521" s="7">
        <v>1.0</v>
      </c>
      <c r="I521" s="7">
        <v>6.0</v>
      </c>
      <c r="J521" s="7">
        <v>4.0</v>
      </c>
      <c r="K521" s="7" t="s">
        <v>32</v>
      </c>
      <c r="L521" s="9" t="str">
        <f>VLOOKUP(K521, 'Alphabetical by species code'!A:B, 2, FALSE)</f>
        <v>Medicago polymorpha</v>
      </c>
      <c r="M521" s="9" t="str">
        <f>VLOOKUP(L521, 'Alphabetical by species code'!B:C, 2, FALSE)</f>
        <v>Non-Native</v>
      </c>
    </row>
    <row r="522">
      <c r="A522" s="7">
        <v>6.0</v>
      </c>
      <c r="B522" s="7">
        <v>2025.0</v>
      </c>
      <c r="C522" s="10">
        <v>45755.0</v>
      </c>
      <c r="D522" s="7" t="s">
        <v>54</v>
      </c>
      <c r="E522" s="7" t="s">
        <v>26</v>
      </c>
      <c r="F522" s="7">
        <v>3.0</v>
      </c>
      <c r="G522" s="7" t="s">
        <v>66</v>
      </c>
      <c r="H522" s="7">
        <v>1.0</v>
      </c>
      <c r="I522" s="7">
        <v>6.0</v>
      </c>
      <c r="J522" s="7">
        <v>4.0</v>
      </c>
      <c r="K522" s="7" t="s">
        <v>35</v>
      </c>
      <c r="L522" s="9" t="str">
        <f>VLOOKUP(K522, 'Alphabetical by species code'!A:B, 2, FALSE)</f>
        <v>Deinandra fasciculata</v>
      </c>
      <c r="M522" s="9" t="str">
        <f>VLOOKUP(L522, 'Alphabetical by species code'!B:C, 2, FALSE)</f>
        <v>Native</v>
      </c>
    </row>
    <row r="523">
      <c r="A523" s="7">
        <v>6.0</v>
      </c>
      <c r="B523" s="7">
        <v>2025.0</v>
      </c>
      <c r="C523" s="10">
        <v>45755.0</v>
      </c>
      <c r="D523" s="7" t="s">
        <v>54</v>
      </c>
      <c r="E523" s="7" t="s">
        <v>26</v>
      </c>
      <c r="F523" s="7">
        <v>3.0</v>
      </c>
      <c r="G523" s="7" t="s">
        <v>66</v>
      </c>
      <c r="H523" s="7">
        <v>1.0</v>
      </c>
      <c r="I523" s="7">
        <v>6.0</v>
      </c>
      <c r="J523" s="7">
        <v>4.0</v>
      </c>
      <c r="K523" s="7" t="s">
        <v>31</v>
      </c>
      <c r="L523" s="9" t="str">
        <f>VLOOKUP(K523, 'Alphabetical by species code'!A:B, 2, FALSE)</f>
        <v>Festuca myuros</v>
      </c>
      <c r="M523" s="9" t="str">
        <f>VLOOKUP(L523, 'Alphabetical by species code'!B:C, 2, FALSE)</f>
        <v>Non-Native</v>
      </c>
    </row>
    <row r="524">
      <c r="A524" s="7">
        <v>6.0</v>
      </c>
      <c r="B524" s="7">
        <v>2025.0</v>
      </c>
      <c r="C524" s="10">
        <v>45755.0</v>
      </c>
      <c r="D524" s="7" t="s">
        <v>54</v>
      </c>
      <c r="E524" s="7" t="s">
        <v>26</v>
      </c>
      <c r="F524" s="7">
        <v>3.0</v>
      </c>
      <c r="G524" s="7" t="s">
        <v>66</v>
      </c>
      <c r="H524" s="7">
        <v>1.0</v>
      </c>
      <c r="I524" s="7">
        <v>7.0</v>
      </c>
      <c r="J524" s="7">
        <v>5.0</v>
      </c>
      <c r="K524" s="7" t="s">
        <v>28</v>
      </c>
      <c r="L524" s="9" t="str">
        <f>VLOOKUP(K524, 'Alphabetical by species code'!A:B, 2, FALSE)</f>
        <v>Litter</v>
      </c>
      <c r="M524" s="9" t="str">
        <f>VLOOKUP(L524, 'Alphabetical by species code'!B:C, 2, FALSE)</f>
        <v>Ground Cover</v>
      </c>
    </row>
    <row r="525">
      <c r="A525" s="7">
        <v>6.0</v>
      </c>
      <c r="B525" s="7">
        <v>2025.0</v>
      </c>
      <c r="C525" s="10">
        <v>45755.0</v>
      </c>
      <c r="D525" s="7" t="s">
        <v>54</v>
      </c>
      <c r="E525" s="7" t="s">
        <v>26</v>
      </c>
      <c r="F525" s="7">
        <v>3.0</v>
      </c>
      <c r="G525" s="7" t="s">
        <v>66</v>
      </c>
      <c r="H525" s="7">
        <v>1.0</v>
      </c>
      <c r="I525" s="7">
        <v>7.0</v>
      </c>
      <c r="J525" s="7">
        <v>5.0</v>
      </c>
      <c r="K525" s="7" t="s">
        <v>67</v>
      </c>
      <c r="L525" s="9" t="str">
        <f>VLOOKUP(K525, 'Alphabetical by species code'!A:B, 2, FALSE)</f>
        <v>Galium aparine</v>
      </c>
      <c r="M525" s="9" t="str">
        <f>VLOOKUP(L525, 'Alphabetical by species code'!B:C, 2, FALSE)</f>
        <v>Native</v>
      </c>
    </row>
    <row r="526">
      <c r="A526" s="7">
        <v>6.0</v>
      </c>
      <c r="B526" s="7">
        <v>2025.0</v>
      </c>
      <c r="C526" s="10">
        <v>45755.0</v>
      </c>
      <c r="D526" s="7" t="s">
        <v>54</v>
      </c>
      <c r="E526" s="7" t="s">
        <v>26</v>
      </c>
      <c r="F526" s="7">
        <v>3.0</v>
      </c>
      <c r="G526" s="7" t="s">
        <v>66</v>
      </c>
      <c r="H526" s="7">
        <v>1.0</v>
      </c>
      <c r="I526" s="7">
        <v>7.0</v>
      </c>
      <c r="J526" s="7">
        <v>5.0</v>
      </c>
      <c r="K526" s="7" t="s">
        <v>31</v>
      </c>
      <c r="L526" s="9" t="str">
        <f>VLOOKUP(K526, 'Alphabetical by species code'!A:B, 2, FALSE)</f>
        <v>Festuca myuros</v>
      </c>
      <c r="M526" s="9" t="str">
        <f>VLOOKUP(L526, 'Alphabetical by species code'!B:C, 2, FALSE)</f>
        <v>Non-Native</v>
      </c>
    </row>
    <row r="527">
      <c r="A527" s="7">
        <v>6.0</v>
      </c>
      <c r="B527" s="7">
        <v>2025.0</v>
      </c>
      <c r="C527" s="10">
        <v>45755.0</v>
      </c>
      <c r="D527" s="7" t="s">
        <v>54</v>
      </c>
      <c r="E527" s="7" t="s">
        <v>26</v>
      </c>
      <c r="F527" s="7">
        <v>3.0</v>
      </c>
      <c r="G527" s="7" t="s">
        <v>66</v>
      </c>
      <c r="H527" s="7">
        <v>1.0</v>
      </c>
      <c r="I527" s="7">
        <v>7.0</v>
      </c>
      <c r="J527" s="7">
        <v>5.0</v>
      </c>
      <c r="K527" s="7" t="s">
        <v>29</v>
      </c>
      <c r="L527" s="9" t="str">
        <f>VLOOKUP(K527, 'Alphabetical by species code'!A:B, 2, FALSE)</f>
        <v>Opuntia littoralis</v>
      </c>
      <c r="M527" s="9" t="str">
        <f>VLOOKUP(L527, 'Alphabetical by species code'!B:C, 2, FALSE)</f>
        <v>Native</v>
      </c>
    </row>
    <row r="528">
      <c r="A528" s="7">
        <v>6.0</v>
      </c>
      <c r="B528" s="7">
        <v>2025.0</v>
      </c>
      <c r="C528" s="10">
        <v>45755.0</v>
      </c>
      <c r="D528" s="7" t="s">
        <v>54</v>
      </c>
      <c r="E528" s="7" t="s">
        <v>26</v>
      </c>
      <c r="F528" s="7">
        <v>3.0</v>
      </c>
      <c r="G528" s="7" t="s">
        <v>66</v>
      </c>
      <c r="H528" s="7">
        <v>1.0</v>
      </c>
      <c r="I528" s="7">
        <v>8.0</v>
      </c>
      <c r="J528" s="7">
        <v>7.0</v>
      </c>
      <c r="K528" s="7" t="s">
        <v>28</v>
      </c>
      <c r="L528" s="9" t="str">
        <f>VLOOKUP(K528, 'Alphabetical by species code'!A:B, 2, FALSE)</f>
        <v>Litter</v>
      </c>
      <c r="M528" s="9" t="str">
        <f>VLOOKUP(L528, 'Alphabetical by species code'!B:C, 2, FALSE)</f>
        <v>Ground Cover</v>
      </c>
    </row>
    <row r="529">
      <c r="A529" s="7">
        <v>6.0</v>
      </c>
      <c r="B529" s="7">
        <v>2025.0</v>
      </c>
      <c r="C529" s="10">
        <v>45755.0</v>
      </c>
      <c r="D529" s="7" t="s">
        <v>54</v>
      </c>
      <c r="E529" s="7" t="s">
        <v>26</v>
      </c>
      <c r="F529" s="7">
        <v>3.0</v>
      </c>
      <c r="G529" s="7" t="s">
        <v>66</v>
      </c>
      <c r="H529" s="7">
        <v>1.0</v>
      </c>
      <c r="I529" s="7">
        <v>8.0</v>
      </c>
      <c r="J529" s="7">
        <v>7.0</v>
      </c>
      <c r="K529" s="7" t="s">
        <v>35</v>
      </c>
      <c r="L529" s="9" t="str">
        <f>VLOOKUP(K529, 'Alphabetical by species code'!A:B, 2, FALSE)</f>
        <v>Deinandra fasciculata</v>
      </c>
      <c r="M529" s="9" t="str">
        <f>VLOOKUP(L529, 'Alphabetical by species code'!B:C, 2, FALSE)</f>
        <v>Native</v>
      </c>
    </row>
    <row r="530">
      <c r="A530" s="7">
        <v>6.0</v>
      </c>
      <c r="B530" s="7">
        <v>2025.0</v>
      </c>
      <c r="C530" s="10">
        <v>45755.0</v>
      </c>
      <c r="D530" s="7" t="s">
        <v>54</v>
      </c>
      <c r="E530" s="7" t="s">
        <v>26</v>
      </c>
      <c r="F530" s="7">
        <v>3.0</v>
      </c>
      <c r="G530" s="7" t="s">
        <v>66</v>
      </c>
      <c r="H530" s="7">
        <v>1.0</v>
      </c>
      <c r="I530" s="7">
        <v>8.0</v>
      </c>
      <c r="J530" s="7">
        <v>7.0</v>
      </c>
      <c r="K530" s="7" t="s">
        <v>31</v>
      </c>
      <c r="L530" s="9" t="str">
        <f>VLOOKUP(K530, 'Alphabetical by species code'!A:B, 2, FALSE)</f>
        <v>Festuca myuros</v>
      </c>
      <c r="M530" s="9" t="str">
        <f>VLOOKUP(L530, 'Alphabetical by species code'!B:C, 2, FALSE)</f>
        <v>Non-Native</v>
      </c>
    </row>
    <row r="531">
      <c r="A531" s="7">
        <v>6.0</v>
      </c>
      <c r="B531" s="7">
        <v>2025.0</v>
      </c>
      <c r="C531" s="10">
        <v>45755.0</v>
      </c>
      <c r="D531" s="7" t="s">
        <v>54</v>
      </c>
      <c r="E531" s="7" t="s">
        <v>26</v>
      </c>
      <c r="F531" s="7">
        <v>3.0</v>
      </c>
      <c r="G531" s="7" t="s">
        <v>66</v>
      </c>
      <c r="H531" s="7">
        <v>1.0</v>
      </c>
      <c r="I531" s="7">
        <v>9.0</v>
      </c>
      <c r="J531" s="7">
        <v>8.0</v>
      </c>
      <c r="K531" s="7" t="s">
        <v>28</v>
      </c>
      <c r="L531" s="9" t="str">
        <f>VLOOKUP(K531, 'Alphabetical by species code'!A:B, 2, FALSE)</f>
        <v>Litter</v>
      </c>
      <c r="M531" s="9" t="str">
        <f>VLOOKUP(L531, 'Alphabetical by species code'!B:C, 2, FALSE)</f>
        <v>Ground Cover</v>
      </c>
    </row>
    <row r="532">
      <c r="A532" s="7">
        <v>6.0</v>
      </c>
      <c r="B532" s="7">
        <v>2025.0</v>
      </c>
      <c r="C532" s="10">
        <v>45755.0</v>
      </c>
      <c r="D532" s="7" t="s">
        <v>54</v>
      </c>
      <c r="E532" s="7" t="s">
        <v>26</v>
      </c>
      <c r="F532" s="7">
        <v>3.0</v>
      </c>
      <c r="G532" s="7" t="s">
        <v>66</v>
      </c>
      <c r="H532" s="7">
        <v>1.0</v>
      </c>
      <c r="I532" s="7">
        <v>9.0</v>
      </c>
      <c r="J532" s="7">
        <v>8.0</v>
      </c>
      <c r="K532" s="7" t="s">
        <v>35</v>
      </c>
      <c r="L532" s="9" t="str">
        <f>VLOOKUP(K532, 'Alphabetical by species code'!A:B, 2, FALSE)</f>
        <v>Deinandra fasciculata</v>
      </c>
      <c r="M532" s="9" t="str">
        <f>VLOOKUP(L532, 'Alphabetical by species code'!B:C, 2, FALSE)</f>
        <v>Native</v>
      </c>
    </row>
    <row r="533">
      <c r="A533" s="7">
        <v>6.0</v>
      </c>
      <c r="B533" s="7">
        <v>2025.0</v>
      </c>
      <c r="C533" s="10">
        <v>45755.0</v>
      </c>
      <c r="D533" s="7" t="s">
        <v>54</v>
      </c>
      <c r="E533" s="7" t="s">
        <v>26</v>
      </c>
      <c r="F533" s="7">
        <v>3.0</v>
      </c>
      <c r="G533" s="7" t="s">
        <v>66</v>
      </c>
      <c r="H533" s="7">
        <v>1.0</v>
      </c>
      <c r="I533" s="7">
        <v>10.0</v>
      </c>
      <c r="J533" s="7">
        <v>8.5</v>
      </c>
      <c r="K533" s="7" t="s">
        <v>28</v>
      </c>
      <c r="L533" s="9" t="str">
        <f>VLOOKUP(K533, 'Alphabetical by species code'!A:B, 2, FALSE)</f>
        <v>Litter</v>
      </c>
      <c r="M533" s="9" t="str">
        <f>VLOOKUP(L533, 'Alphabetical by species code'!B:C, 2, FALSE)</f>
        <v>Ground Cover</v>
      </c>
    </row>
    <row r="534">
      <c r="A534" s="7">
        <v>6.0</v>
      </c>
      <c r="B534" s="7">
        <v>2025.0</v>
      </c>
      <c r="C534" s="10">
        <v>45755.0</v>
      </c>
      <c r="D534" s="7" t="s">
        <v>54</v>
      </c>
      <c r="E534" s="7" t="s">
        <v>26</v>
      </c>
      <c r="F534" s="7">
        <v>3.0</v>
      </c>
      <c r="G534" s="7" t="s">
        <v>66</v>
      </c>
      <c r="H534" s="7">
        <v>1.0</v>
      </c>
      <c r="I534" s="7">
        <v>10.0</v>
      </c>
      <c r="J534" s="7">
        <v>8.5</v>
      </c>
      <c r="K534" s="7" t="s">
        <v>35</v>
      </c>
      <c r="L534" s="9" t="str">
        <f>VLOOKUP(K534, 'Alphabetical by species code'!A:B, 2, FALSE)</f>
        <v>Deinandra fasciculata</v>
      </c>
      <c r="M534" s="9" t="str">
        <f>VLOOKUP(L534, 'Alphabetical by species code'!B:C, 2, FALSE)</f>
        <v>Native</v>
      </c>
    </row>
    <row r="535">
      <c r="A535" s="7">
        <v>6.0</v>
      </c>
      <c r="B535" s="7">
        <v>2025.0</v>
      </c>
      <c r="C535" s="10">
        <v>45755.0</v>
      </c>
      <c r="D535" s="7" t="s">
        <v>54</v>
      </c>
      <c r="E535" s="7" t="s">
        <v>26</v>
      </c>
      <c r="F535" s="7">
        <v>3.0</v>
      </c>
      <c r="G535" s="7" t="s">
        <v>66</v>
      </c>
      <c r="H535" s="7">
        <v>1.0</v>
      </c>
      <c r="I535" s="7">
        <v>10.0</v>
      </c>
      <c r="J535" s="7">
        <v>8.5</v>
      </c>
      <c r="K535" s="7" t="s">
        <v>31</v>
      </c>
      <c r="L535" s="9" t="str">
        <f>VLOOKUP(K535, 'Alphabetical by species code'!A:B, 2, FALSE)</f>
        <v>Festuca myuros</v>
      </c>
      <c r="M535" s="9" t="str">
        <f>VLOOKUP(L535, 'Alphabetical by species code'!B:C, 2, FALSE)</f>
        <v>Non-Native</v>
      </c>
    </row>
    <row r="536">
      <c r="A536" s="7">
        <v>6.0</v>
      </c>
      <c r="B536" s="7">
        <v>2025.0</v>
      </c>
      <c r="C536" s="10">
        <v>45755.0</v>
      </c>
      <c r="D536" s="7" t="s">
        <v>54</v>
      </c>
      <c r="E536" s="7" t="s">
        <v>26</v>
      </c>
      <c r="F536" s="7">
        <v>3.0</v>
      </c>
      <c r="G536" s="7" t="s">
        <v>66</v>
      </c>
      <c r="H536" s="7">
        <v>1.0</v>
      </c>
      <c r="I536" s="7">
        <v>11.0</v>
      </c>
      <c r="J536" s="7">
        <v>9.0</v>
      </c>
      <c r="K536" s="7" t="s">
        <v>28</v>
      </c>
      <c r="L536" s="9" t="str">
        <f>VLOOKUP(K536, 'Alphabetical by species code'!A:B, 2, FALSE)</f>
        <v>Litter</v>
      </c>
      <c r="M536" s="9" t="str">
        <f>VLOOKUP(L536, 'Alphabetical by species code'!B:C, 2, FALSE)</f>
        <v>Ground Cover</v>
      </c>
    </row>
    <row r="537">
      <c r="A537" s="7">
        <v>6.0</v>
      </c>
      <c r="B537" s="7">
        <v>2025.0</v>
      </c>
      <c r="C537" s="10">
        <v>45755.0</v>
      </c>
      <c r="D537" s="7" t="s">
        <v>54</v>
      </c>
      <c r="E537" s="7" t="s">
        <v>26</v>
      </c>
      <c r="F537" s="7">
        <v>3.0</v>
      </c>
      <c r="G537" s="7" t="s">
        <v>66</v>
      </c>
      <c r="H537" s="7">
        <v>1.0</v>
      </c>
      <c r="I537" s="7">
        <v>11.0</v>
      </c>
      <c r="J537" s="7">
        <v>9.0</v>
      </c>
      <c r="K537" s="7" t="s">
        <v>31</v>
      </c>
      <c r="L537" s="9" t="str">
        <f>VLOOKUP(K537, 'Alphabetical by species code'!A:B, 2, FALSE)</f>
        <v>Festuca myuros</v>
      </c>
      <c r="M537" s="9" t="str">
        <f>VLOOKUP(L537, 'Alphabetical by species code'!B:C, 2, FALSE)</f>
        <v>Non-Native</v>
      </c>
    </row>
    <row r="538">
      <c r="A538" s="7">
        <v>6.0</v>
      </c>
      <c r="B538" s="7">
        <v>2025.0</v>
      </c>
      <c r="C538" s="10">
        <v>45755.0</v>
      </c>
      <c r="D538" s="7" t="s">
        <v>54</v>
      </c>
      <c r="E538" s="7" t="s">
        <v>26</v>
      </c>
      <c r="F538" s="7">
        <v>3.0</v>
      </c>
      <c r="G538" s="7" t="s">
        <v>66</v>
      </c>
      <c r="H538" s="7">
        <v>1.0</v>
      </c>
      <c r="I538" s="7">
        <v>11.0</v>
      </c>
      <c r="J538" s="7">
        <v>9.0</v>
      </c>
      <c r="K538" s="7" t="s">
        <v>35</v>
      </c>
      <c r="L538" s="9" t="str">
        <f>VLOOKUP(K538, 'Alphabetical by species code'!A:B, 2, FALSE)</f>
        <v>Deinandra fasciculata</v>
      </c>
      <c r="M538" s="9" t="str">
        <f>VLOOKUP(L538, 'Alphabetical by species code'!B:C, 2, FALSE)</f>
        <v>Native</v>
      </c>
    </row>
    <row r="539">
      <c r="A539" s="7">
        <v>6.0</v>
      </c>
      <c r="B539" s="7">
        <v>2025.0</v>
      </c>
      <c r="C539" s="10">
        <v>45755.0</v>
      </c>
      <c r="D539" s="7" t="s">
        <v>54</v>
      </c>
      <c r="E539" s="7" t="s">
        <v>26</v>
      </c>
      <c r="F539" s="7">
        <v>3.0</v>
      </c>
      <c r="G539" s="7" t="s">
        <v>66</v>
      </c>
      <c r="H539" s="7">
        <v>1.0</v>
      </c>
      <c r="I539" s="7">
        <v>12.0</v>
      </c>
      <c r="J539" s="7">
        <v>10.0</v>
      </c>
      <c r="K539" s="7" t="s">
        <v>51</v>
      </c>
      <c r="L539" s="9" t="str">
        <f>VLOOKUP(K539, 'Alphabetical by species code'!A:B, 2, FALSE)</f>
        <v>Bareground</v>
      </c>
      <c r="M539" s="9" t="str">
        <f>VLOOKUP(L539, 'Alphabetical by species code'!B:C, 2, FALSE)</f>
        <v>Ground Cover</v>
      </c>
    </row>
    <row r="540">
      <c r="A540" s="7">
        <v>6.0</v>
      </c>
      <c r="B540" s="7">
        <v>2025.0</v>
      </c>
      <c r="C540" s="10">
        <v>45755.0</v>
      </c>
      <c r="D540" s="7" t="s">
        <v>54</v>
      </c>
      <c r="E540" s="7" t="s">
        <v>26</v>
      </c>
      <c r="F540" s="7">
        <v>3.0</v>
      </c>
      <c r="G540" s="7" t="s">
        <v>66</v>
      </c>
      <c r="H540" s="7">
        <v>1.0</v>
      </c>
      <c r="I540" s="7">
        <v>13.0</v>
      </c>
      <c r="J540" s="7">
        <v>10.5</v>
      </c>
      <c r="K540" s="7" t="s">
        <v>51</v>
      </c>
      <c r="L540" s="9" t="str">
        <f>VLOOKUP(K540, 'Alphabetical by species code'!A:B, 2, FALSE)</f>
        <v>Bareground</v>
      </c>
      <c r="M540" s="9" t="str">
        <f>VLOOKUP(L540, 'Alphabetical by species code'!B:C, 2, FALSE)</f>
        <v>Ground Cover</v>
      </c>
    </row>
    <row r="541">
      <c r="A541" s="7">
        <v>6.0</v>
      </c>
      <c r="B541" s="7">
        <v>2025.0</v>
      </c>
      <c r="C541" s="10">
        <v>45755.0</v>
      </c>
      <c r="D541" s="7" t="s">
        <v>54</v>
      </c>
      <c r="E541" s="7" t="s">
        <v>26</v>
      </c>
      <c r="F541" s="7">
        <v>3.0</v>
      </c>
      <c r="G541" s="7" t="s">
        <v>66</v>
      </c>
      <c r="H541" s="7">
        <v>1.0</v>
      </c>
      <c r="I541" s="7">
        <v>13.0</v>
      </c>
      <c r="J541" s="7">
        <v>10.5</v>
      </c>
      <c r="K541" s="7" t="s">
        <v>31</v>
      </c>
      <c r="L541" s="9" t="str">
        <f>VLOOKUP(K541, 'Alphabetical by species code'!A:B, 2, FALSE)</f>
        <v>Festuca myuros</v>
      </c>
      <c r="M541" s="9" t="str">
        <f>VLOOKUP(L541, 'Alphabetical by species code'!B:C, 2, FALSE)</f>
        <v>Non-Native</v>
      </c>
    </row>
    <row r="542">
      <c r="A542" s="7">
        <v>6.0</v>
      </c>
      <c r="B542" s="7">
        <v>2025.0</v>
      </c>
      <c r="C542" s="10">
        <v>45755.0</v>
      </c>
      <c r="D542" s="7" t="s">
        <v>54</v>
      </c>
      <c r="E542" s="7" t="s">
        <v>26</v>
      </c>
      <c r="F542" s="7">
        <v>3.0</v>
      </c>
      <c r="G542" s="7" t="s">
        <v>66</v>
      </c>
      <c r="H542" s="7">
        <v>1.0</v>
      </c>
      <c r="I542" s="7">
        <v>14.0</v>
      </c>
      <c r="J542" s="7">
        <v>11.0</v>
      </c>
      <c r="K542" s="7" t="s">
        <v>28</v>
      </c>
      <c r="L542" s="9" t="str">
        <f>VLOOKUP(K542, 'Alphabetical by species code'!A:B, 2, FALSE)</f>
        <v>Litter</v>
      </c>
      <c r="M542" s="9" t="str">
        <f>VLOOKUP(L542, 'Alphabetical by species code'!B:C, 2, FALSE)</f>
        <v>Ground Cover</v>
      </c>
    </row>
    <row r="543">
      <c r="A543" s="7">
        <v>6.0</v>
      </c>
      <c r="B543" s="7">
        <v>2025.0</v>
      </c>
      <c r="C543" s="10">
        <v>45755.0</v>
      </c>
      <c r="D543" s="7" t="s">
        <v>54</v>
      </c>
      <c r="E543" s="7" t="s">
        <v>26</v>
      </c>
      <c r="F543" s="7">
        <v>3.0</v>
      </c>
      <c r="G543" s="7" t="s">
        <v>66</v>
      </c>
      <c r="H543" s="7">
        <v>1.0</v>
      </c>
      <c r="I543" s="7">
        <v>14.0</v>
      </c>
      <c r="J543" s="7">
        <v>11.0</v>
      </c>
      <c r="K543" s="7" t="s">
        <v>31</v>
      </c>
      <c r="L543" s="9" t="str">
        <f>VLOOKUP(K543, 'Alphabetical by species code'!A:B, 2, FALSE)</f>
        <v>Festuca myuros</v>
      </c>
      <c r="M543" s="9" t="str">
        <f>VLOOKUP(L543, 'Alphabetical by species code'!B:C, 2, FALSE)</f>
        <v>Non-Native</v>
      </c>
    </row>
    <row r="544">
      <c r="A544" s="7">
        <v>6.0</v>
      </c>
      <c r="B544" s="7">
        <v>2025.0</v>
      </c>
      <c r="C544" s="10">
        <v>45755.0</v>
      </c>
      <c r="D544" s="7" t="s">
        <v>54</v>
      </c>
      <c r="E544" s="7" t="s">
        <v>26</v>
      </c>
      <c r="F544" s="7">
        <v>3.0</v>
      </c>
      <c r="G544" s="7" t="s">
        <v>66</v>
      </c>
      <c r="H544" s="7">
        <v>1.0</v>
      </c>
      <c r="I544" s="7">
        <v>14.0</v>
      </c>
      <c r="J544" s="7">
        <v>11.0</v>
      </c>
      <c r="K544" s="7" t="s">
        <v>35</v>
      </c>
      <c r="L544" s="9" t="str">
        <f>VLOOKUP(K544, 'Alphabetical by species code'!A:B, 2, FALSE)</f>
        <v>Deinandra fasciculata</v>
      </c>
      <c r="M544" s="9" t="str">
        <f>VLOOKUP(L544, 'Alphabetical by species code'!B:C, 2, FALSE)</f>
        <v>Native</v>
      </c>
    </row>
    <row r="545">
      <c r="A545" s="7">
        <v>6.0</v>
      </c>
      <c r="B545" s="7">
        <v>2025.0</v>
      </c>
      <c r="C545" s="10">
        <v>45755.0</v>
      </c>
      <c r="D545" s="7" t="s">
        <v>54</v>
      </c>
      <c r="E545" s="7" t="s">
        <v>26</v>
      </c>
      <c r="F545" s="7">
        <v>3.0</v>
      </c>
      <c r="G545" s="7" t="s">
        <v>66</v>
      </c>
      <c r="H545" s="7">
        <v>1.0</v>
      </c>
      <c r="I545" s="7">
        <v>14.0</v>
      </c>
      <c r="J545" s="7">
        <v>11.0</v>
      </c>
      <c r="K545" s="7" t="s">
        <v>68</v>
      </c>
      <c r="L545" s="9" t="str">
        <f>VLOOKUP(K545, 'Alphabetical by species code'!A:B, 2, FALSE)</f>
        <v>Unknown Species</v>
      </c>
      <c r="M545" s="9" t="str">
        <f>VLOOKUP(L545, 'Alphabetical by species code'!B:C, 2, FALSE)</f>
        <v>.</v>
      </c>
    </row>
    <row r="546">
      <c r="A546" s="7">
        <v>6.0</v>
      </c>
      <c r="B546" s="7">
        <v>2025.0</v>
      </c>
      <c r="C546" s="10">
        <v>45755.0</v>
      </c>
      <c r="D546" s="7" t="s">
        <v>54</v>
      </c>
      <c r="E546" s="7" t="s">
        <v>26</v>
      </c>
      <c r="F546" s="7">
        <v>3.0</v>
      </c>
      <c r="G546" s="7" t="s">
        <v>66</v>
      </c>
      <c r="H546" s="7">
        <v>1.0</v>
      </c>
      <c r="I546" s="7">
        <v>15.0</v>
      </c>
      <c r="J546" s="7">
        <v>12.0</v>
      </c>
      <c r="K546" s="7" t="s">
        <v>28</v>
      </c>
      <c r="L546" s="9" t="str">
        <f>VLOOKUP(K546, 'Alphabetical by species code'!A:B, 2, FALSE)</f>
        <v>Litter</v>
      </c>
      <c r="M546" s="9" t="str">
        <f>VLOOKUP(L546, 'Alphabetical by species code'!B:C, 2, FALSE)</f>
        <v>Ground Cover</v>
      </c>
    </row>
    <row r="547">
      <c r="A547" s="7">
        <v>6.0</v>
      </c>
      <c r="B547" s="7">
        <v>2025.0</v>
      </c>
      <c r="C547" s="10">
        <v>45755.0</v>
      </c>
      <c r="D547" s="7" t="s">
        <v>54</v>
      </c>
      <c r="E547" s="7" t="s">
        <v>26</v>
      </c>
      <c r="F547" s="7">
        <v>3.0</v>
      </c>
      <c r="G547" s="7" t="s">
        <v>66</v>
      </c>
      <c r="H547" s="7">
        <v>1.0</v>
      </c>
      <c r="I547" s="7">
        <v>15.0</v>
      </c>
      <c r="J547" s="7">
        <v>12.0</v>
      </c>
      <c r="K547" s="7" t="s">
        <v>31</v>
      </c>
      <c r="L547" s="9" t="str">
        <f>VLOOKUP(K547, 'Alphabetical by species code'!A:B, 2, FALSE)</f>
        <v>Festuca myuros</v>
      </c>
      <c r="M547" s="9" t="str">
        <f>VLOOKUP(L547, 'Alphabetical by species code'!B:C, 2, FALSE)</f>
        <v>Non-Native</v>
      </c>
    </row>
    <row r="548">
      <c r="A548" s="7">
        <v>6.0</v>
      </c>
      <c r="B548" s="7">
        <v>2025.0</v>
      </c>
      <c r="C548" s="10">
        <v>45755.0</v>
      </c>
      <c r="D548" s="7" t="s">
        <v>54</v>
      </c>
      <c r="E548" s="7" t="s">
        <v>26</v>
      </c>
      <c r="F548" s="7">
        <v>3.0</v>
      </c>
      <c r="G548" s="7" t="s">
        <v>66</v>
      </c>
      <c r="H548" s="7">
        <v>1.0</v>
      </c>
      <c r="I548" s="7">
        <v>15.0</v>
      </c>
      <c r="J548" s="7">
        <v>12.0</v>
      </c>
      <c r="K548" s="7" t="s">
        <v>40</v>
      </c>
      <c r="L548" s="9" t="str">
        <f>VLOOKUP(K548, 'Alphabetical by species code'!A:B, 2, FALSE)</f>
        <v>Cylindropuntia prolifera</v>
      </c>
      <c r="M548" s="9" t="str">
        <f>VLOOKUP(L548, 'Alphabetical by species code'!B:C, 2, FALSE)</f>
        <v>Native</v>
      </c>
    </row>
    <row r="549">
      <c r="A549" s="7">
        <v>6.0</v>
      </c>
      <c r="B549" s="7">
        <v>2025.0</v>
      </c>
      <c r="C549" s="10">
        <v>45755.0</v>
      </c>
      <c r="D549" s="7" t="s">
        <v>54</v>
      </c>
      <c r="E549" s="7" t="s">
        <v>26</v>
      </c>
      <c r="F549" s="7">
        <v>3.0</v>
      </c>
      <c r="G549" s="7" t="s">
        <v>66</v>
      </c>
      <c r="H549" s="7">
        <v>2.0</v>
      </c>
      <c r="I549" s="7">
        <v>1.0</v>
      </c>
      <c r="J549" s="7">
        <v>0.0</v>
      </c>
      <c r="K549" s="7" t="s">
        <v>28</v>
      </c>
      <c r="L549" s="9" t="str">
        <f>VLOOKUP(K549, 'Alphabetical by species code'!A:B, 2, FALSE)</f>
        <v>Litter</v>
      </c>
      <c r="M549" s="9" t="str">
        <f>VLOOKUP(L549, 'Alphabetical by species code'!B:C, 2, FALSE)</f>
        <v>Ground Cover</v>
      </c>
    </row>
    <row r="550">
      <c r="A550" s="7">
        <v>6.0</v>
      </c>
      <c r="B550" s="7">
        <v>2025.0</v>
      </c>
      <c r="C550" s="10">
        <v>45755.0</v>
      </c>
      <c r="D550" s="7" t="s">
        <v>54</v>
      </c>
      <c r="E550" s="7" t="s">
        <v>26</v>
      </c>
      <c r="F550" s="7">
        <v>3.0</v>
      </c>
      <c r="G550" s="7" t="s">
        <v>66</v>
      </c>
      <c r="H550" s="7">
        <v>2.0</v>
      </c>
      <c r="I550" s="7">
        <v>1.0</v>
      </c>
      <c r="J550" s="7">
        <v>0.0</v>
      </c>
      <c r="K550" s="7" t="s">
        <v>35</v>
      </c>
      <c r="L550" s="9" t="str">
        <f>VLOOKUP(K550, 'Alphabetical by species code'!A:B, 2, FALSE)</f>
        <v>Deinandra fasciculata</v>
      </c>
      <c r="M550" s="9" t="str">
        <f>VLOOKUP(L550, 'Alphabetical by species code'!B:C, 2, FALSE)</f>
        <v>Native</v>
      </c>
    </row>
    <row r="551">
      <c r="A551" s="7">
        <v>6.0</v>
      </c>
      <c r="B551" s="7">
        <v>2025.0</v>
      </c>
      <c r="C551" s="10">
        <v>45755.0</v>
      </c>
      <c r="D551" s="7" t="s">
        <v>54</v>
      </c>
      <c r="E551" s="7" t="s">
        <v>26</v>
      </c>
      <c r="F551" s="7">
        <v>3.0</v>
      </c>
      <c r="G551" s="7" t="s">
        <v>66</v>
      </c>
      <c r="H551" s="7">
        <v>2.0</v>
      </c>
      <c r="I551" s="7">
        <v>1.0</v>
      </c>
      <c r="J551" s="7">
        <v>0.0</v>
      </c>
      <c r="K551" s="7" t="s">
        <v>31</v>
      </c>
      <c r="L551" s="9" t="str">
        <f>VLOOKUP(K551, 'Alphabetical by species code'!A:B, 2, FALSE)</f>
        <v>Festuca myuros</v>
      </c>
      <c r="M551" s="9" t="str">
        <f>VLOOKUP(L551, 'Alphabetical by species code'!B:C, 2, FALSE)</f>
        <v>Non-Native</v>
      </c>
    </row>
    <row r="552">
      <c r="A552" s="7">
        <v>6.0</v>
      </c>
      <c r="B552" s="7">
        <v>2025.0</v>
      </c>
      <c r="C552" s="10">
        <v>45755.0</v>
      </c>
      <c r="D552" s="7" t="s">
        <v>54</v>
      </c>
      <c r="E552" s="7" t="s">
        <v>26</v>
      </c>
      <c r="F552" s="7">
        <v>3.0</v>
      </c>
      <c r="G552" s="7" t="s">
        <v>66</v>
      </c>
      <c r="H552" s="7">
        <v>2.0</v>
      </c>
      <c r="I552" s="7">
        <v>2.0</v>
      </c>
      <c r="J552" s="7">
        <v>1.0</v>
      </c>
      <c r="K552" s="7" t="s">
        <v>28</v>
      </c>
      <c r="L552" s="9" t="str">
        <f>VLOOKUP(K552, 'Alphabetical by species code'!A:B, 2, FALSE)</f>
        <v>Litter</v>
      </c>
      <c r="M552" s="9" t="str">
        <f>VLOOKUP(L552, 'Alphabetical by species code'!B:C, 2, FALSE)</f>
        <v>Ground Cover</v>
      </c>
    </row>
    <row r="553">
      <c r="A553" s="7">
        <v>6.0</v>
      </c>
      <c r="B553" s="7">
        <v>2025.0</v>
      </c>
      <c r="C553" s="10">
        <v>45755.0</v>
      </c>
      <c r="D553" s="7" t="s">
        <v>54</v>
      </c>
      <c r="E553" s="7" t="s">
        <v>26</v>
      </c>
      <c r="F553" s="7">
        <v>3.0</v>
      </c>
      <c r="G553" s="7" t="s">
        <v>66</v>
      </c>
      <c r="H553" s="7">
        <v>2.0</v>
      </c>
      <c r="I553" s="7">
        <v>2.0</v>
      </c>
      <c r="J553" s="7">
        <v>1.0</v>
      </c>
      <c r="K553" s="7" t="s">
        <v>29</v>
      </c>
      <c r="L553" s="9" t="str">
        <f>VLOOKUP(K553, 'Alphabetical by species code'!A:B, 2, FALSE)</f>
        <v>Opuntia littoralis</v>
      </c>
      <c r="M553" s="9" t="str">
        <f>VLOOKUP(L553, 'Alphabetical by species code'!B:C, 2, FALSE)</f>
        <v>Native</v>
      </c>
    </row>
    <row r="554">
      <c r="A554" s="7">
        <v>6.0</v>
      </c>
      <c r="B554" s="7">
        <v>2025.0</v>
      </c>
      <c r="C554" s="10">
        <v>45755.0</v>
      </c>
      <c r="D554" s="7" t="s">
        <v>54</v>
      </c>
      <c r="E554" s="7" t="s">
        <v>26</v>
      </c>
      <c r="F554" s="7">
        <v>3.0</v>
      </c>
      <c r="G554" s="7" t="s">
        <v>66</v>
      </c>
      <c r="H554" s="7">
        <v>2.0</v>
      </c>
      <c r="I554" s="7">
        <v>2.0</v>
      </c>
      <c r="J554" s="7">
        <v>1.0</v>
      </c>
      <c r="K554" s="7" t="s">
        <v>37</v>
      </c>
      <c r="L554" s="9" t="str">
        <f>VLOOKUP(K554, 'Alphabetical by species code'!A:B, 2, FALSE)</f>
        <v>Sonchus oleraceus</v>
      </c>
      <c r="M554" s="9" t="str">
        <f>VLOOKUP(L554, 'Alphabetical by species code'!B:C, 2, FALSE)</f>
        <v>Non-Native</v>
      </c>
    </row>
    <row r="555">
      <c r="A555" s="7">
        <v>6.0</v>
      </c>
      <c r="B555" s="7">
        <v>2025.0</v>
      </c>
      <c r="C555" s="10">
        <v>45755.0</v>
      </c>
      <c r="D555" s="7" t="s">
        <v>54</v>
      </c>
      <c r="E555" s="7" t="s">
        <v>26</v>
      </c>
      <c r="F555" s="7">
        <v>3.0</v>
      </c>
      <c r="G555" s="7" t="s">
        <v>66</v>
      </c>
      <c r="H555" s="7">
        <v>2.0</v>
      </c>
      <c r="I555" s="7">
        <v>2.0</v>
      </c>
      <c r="J555" s="7">
        <v>1.0</v>
      </c>
      <c r="K555" s="7" t="s">
        <v>31</v>
      </c>
      <c r="L555" s="9" t="str">
        <f>VLOOKUP(K555, 'Alphabetical by species code'!A:B, 2, FALSE)</f>
        <v>Festuca myuros</v>
      </c>
      <c r="M555" s="9" t="str">
        <f>VLOOKUP(L555, 'Alphabetical by species code'!B:C, 2, FALSE)</f>
        <v>Non-Native</v>
      </c>
    </row>
    <row r="556">
      <c r="A556" s="7">
        <v>6.0</v>
      </c>
      <c r="B556" s="7">
        <v>2025.0</v>
      </c>
      <c r="C556" s="10">
        <v>45755.0</v>
      </c>
      <c r="D556" s="7" t="s">
        <v>54</v>
      </c>
      <c r="E556" s="7" t="s">
        <v>26</v>
      </c>
      <c r="F556" s="7">
        <v>3.0</v>
      </c>
      <c r="G556" s="7" t="s">
        <v>66</v>
      </c>
      <c r="H556" s="7">
        <v>2.0</v>
      </c>
      <c r="I556" s="7">
        <v>3.0</v>
      </c>
      <c r="J556" s="7">
        <v>1.5</v>
      </c>
      <c r="K556" s="7" t="s">
        <v>28</v>
      </c>
      <c r="L556" s="9" t="str">
        <f>VLOOKUP(K556, 'Alphabetical by species code'!A:B, 2, FALSE)</f>
        <v>Litter</v>
      </c>
      <c r="M556" s="9" t="str">
        <f>VLOOKUP(L556, 'Alphabetical by species code'!B:C, 2, FALSE)</f>
        <v>Ground Cover</v>
      </c>
    </row>
    <row r="557">
      <c r="A557" s="7">
        <v>6.0</v>
      </c>
      <c r="B557" s="7">
        <v>2025.0</v>
      </c>
      <c r="C557" s="10">
        <v>45755.0</v>
      </c>
      <c r="D557" s="7" t="s">
        <v>54</v>
      </c>
      <c r="E557" s="7" t="s">
        <v>26</v>
      </c>
      <c r="F557" s="7">
        <v>3.0</v>
      </c>
      <c r="G557" s="7" t="s">
        <v>66</v>
      </c>
      <c r="H557" s="7">
        <v>2.0</v>
      </c>
      <c r="I557" s="7">
        <v>3.0</v>
      </c>
      <c r="J557" s="7">
        <v>1.5</v>
      </c>
      <c r="K557" s="7" t="s">
        <v>37</v>
      </c>
      <c r="L557" s="9" t="str">
        <f>VLOOKUP(K557, 'Alphabetical by species code'!A:B, 2, FALSE)</f>
        <v>Sonchus oleraceus</v>
      </c>
      <c r="M557" s="9" t="str">
        <f>VLOOKUP(L557, 'Alphabetical by species code'!B:C, 2, FALSE)</f>
        <v>Non-Native</v>
      </c>
    </row>
    <row r="558">
      <c r="A558" s="7">
        <v>6.0</v>
      </c>
      <c r="B558" s="7">
        <v>2025.0</v>
      </c>
      <c r="C558" s="10">
        <v>45755.0</v>
      </c>
      <c r="D558" s="7" t="s">
        <v>54</v>
      </c>
      <c r="E558" s="7" t="s">
        <v>26</v>
      </c>
      <c r="F558" s="7">
        <v>3.0</v>
      </c>
      <c r="G558" s="7" t="s">
        <v>66</v>
      </c>
      <c r="H558" s="7">
        <v>2.0</v>
      </c>
      <c r="I558" s="7">
        <v>3.0</v>
      </c>
      <c r="J558" s="7">
        <v>1.5</v>
      </c>
      <c r="K558" s="7" t="s">
        <v>31</v>
      </c>
      <c r="L558" s="9" t="str">
        <f>VLOOKUP(K558, 'Alphabetical by species code'!A:B, 2, FALSE)</f>
        <v>Festuca myuros</v>
      </c>
      <c r="M558" s="9" t="str">
        <f>VLOOKUP(L558, 'Alphabetical by species code'!B:C, 2, FALSE)</f>
        <v>Non-Native</v>
      </c>
    </row>
    <row r="559">
      <c r="A559" s="7">
        <v>6.0</v>
      </c>
      <c r="B559" s="7">
        <v>2025.0</v>
      </c>
      <c r="C559" s="10">
        <v>45755.0</v>
      </c>
      <c r="D559" s="7" t="s">
        <v>54</v>
      </c>
      <c r="E559" s="7" t="s">
        <v>26</v>
      </c>
      <c r="F559" s="7">
        <v>3.0</v>
      </c>
      <c r="G559" s="7" t="s">
        <v>66</v>
      </c>
      <c r="H559" s="7">
        <v>2.0</v>
      </c>
      <c r="I559" s="7">
        <v>3.0</v>
      </c>
      <c r="J559" s="7">
        <v>1.5</v>
      </c>
      <c r="K559" s="7" t="s">
        <v>55</v>
      </c>
      <c r="L559" s="9" t="str">
        <f>VLOOKUP(K559, 'Alphabetical by species code'!A:B, 2, FALSE)</f>
        <v>Daucus pusillus</v>
      </c>
      <c r="M559" s="9" t="str">
        <f>VLOOKUP(L559, 'Alphabetical by species code'!B:C, 2, FALSE)</f>
        <v>Native</v>
      </c>
    </row>
    <row r="560">
      <c r="A560" s="7">
        <v>6.0</v>
      </c>
      <c r="B560" s="7">
        <v>2025.0</v>
      </c>
      <c r="C560" s="10">
        <v>45755.0</v>
      </c>
      <c r="D560" s="7" t="s">
        <v>54</v>
      </c>
      <c r="E560" s="7" t="s">
        <v>26</v>
      </c>
      <c r="F560" s="7">
        <v>3.0</v>
      </c>
      <c r="G560" s="7" t="s">
        <v>66</v>
      </c>
      <c r="H560" s="7">
        <v>2.0</v>
      </c>
      <c r="I560" s="7">
        <v>4.0</v>
      </c>
      <c r="J560" s="7">
        <v>2.0</v>
      </c>
      <c r="K560" s="7" t="s">
        <v>28</v>
      </c>
      <c r="L560" s="9" t="str">
        <f>VLOOKUP(K560, 'Alphabetical by species code'!A:B, 2, FALSE)</f>
        <v>Litter</v>
      </c>
      <c r="M560" s="9" t="str">
        <f>VLOOKUP(L560, 'Alphabetical by species code'!B:C, 2, FALSE)</f>
        <v>Ground Cover</v>
      </c>
    </row>
    <row r="561">
      <c r="A561" s="7">
        <v>6.0</v>
      </c>
      <c r="B561" s="7">
        <v>2025.0</v>
      </c>
      <c r="C561" s="10">
        <v>45755.0</v>
      </c>
      <c r="D561" s="7" t="s">
        <v>54</v>
      </c>
      <c r="E561" s="7" t="s">
        <v>26</v>
      </c>
      <c r="F561" s="7">
        <v>3.0</v>
      </c>
      <c r="G561" s="7" t="s">
        <v>66</v>
      </c>
      <c r="H561" s="7">
        <v>2.0</v>
      </c>
      <c r="I561" s="7">
        <v>4.0</v>
      </c>
      <c r="J561" s="7">
        <v>2.0</v>
      </c>
      <c r="K561" s="7" t="s">
        <v>37</v>
      </c>
      <c r="L561" s="9" t="str">
        <f>VLOOKUP(K561, 'Alphabetical by species code'!A:B, 2, FALSE)</f>
        <v>Sonchus oleraceus</v>
      </c>
      <c r="M561" s="9" t="str">
        <f>VLOOKUP(L561, 'Alphabetical by species code'!B:C, 2, FALSE)</f>
        <v>Non-Native</v>
      </c>
    </row>
    <row r="562">
      <c r="A562" s="7">
        <v>6.0</v>
      </c>
      <c r="B562" s="7">
        <v>2025.0</v>
      </c>
      <c r="C562" s="10">
        <v>45755.0</v>
      </c>
      <c r="D562" s="7" t="s">
        <v>54</v>
      </c>
      <c r="E562" s="7" t="s">
        <v>26</v>
      </c>
      <c r="F562" s="7">
        <v>3.0</v>
      </c>
      <c r="G562" s="7" t="s">
        <v>66</v>
      </c>
      <c r="H562" s="7">
        <v>2.0</v>
      </c>
      <c r="I562" s="7">
        <v>5.0</v>
      </c>
      <c r="J562" s="7">
        <v>3.0</v>
      </c>
      <c r="K562" s="7" t="s">
        <v>28</v>
      </c>
      <c r="L562" s="9" t="str">
        <f>VLOOKUP(K562, 'Alphabetical by species code'!A:B, 2, FALSE)</f>
        <v>Litter</v>
      </c>
      <c r="M562" s="9" t="str">
        <f>VLOOKUP(L562, 'Alphabetical by species code'!B:C, 2, FALSE)</f>
        <v>Ground Cover</v>
      </c>
    </row>
    <row r="563">
      <c r="A563" s="7">
        <v>6.0</v>
      </c>
      <c r="B563" s="7">
        <v>2025.0</v>
      </c>
      <c r="C563" s="10">
        <v>45755.0</v>
      </c>
      <c r="D563" s="7" t="s">
        <v>54</v>
      </c>
      <c r="E563" s="7" t="s">
        <v>26</v>
      </c>
      <c r="F563" s="7">
        <v>3.0</v>
      </c>
      <c r="G563" s="7" t="s">
        <v>66</v>
      </c>
      <c r="H563" s="7">
        <v>2.0</v>
      </c>
      <c r="I563" s="7">
        <v>5.0</v>
      </c>
      <c r="J563" s="7">
        <v>3.0</v>
      </c>
      <c r="K563" s="7" t="s">
        <v>32</v>
      </c>
      <c r="L563" s="9" t="str">
        <f>VLOOKUP(K563, 'Alphabetical by species code'!A:B, 2, FALSE)</f>
        <v>Medicago polymorpha</v>
      </c>
      <c r="M563" s="9" t="str">
        <f>VLOOKUP(L563, 'Alphabetical by species code'!B:C, 2, FALSE)</f>
        <v>Non-Native</v>
      </c>
    </row>
    <row r="564">
      <c r="A564" s="7">
        <v>6.0</v>
      </c>
      <c r="B564" s="7">
        <v>2025.0</v>
      </c>
      <c r="C564" s="10">
        <v>45755.0</v>
      </c>
      <c r="D564" s="7" t="s">
        <v>54</v>
      </c>
      <c r="E564" s="7" t="s">
        <v>26</v>
      </c>
      <c r="F564" s="7">
        <v>3.0</v>
      </c>
      <c r="G564" s="7" t="s">
        <v>66</v>
      </c>
      <c r="H564" s="7">
        <v>2.0</v>
      </c>
      <c r="I564" s="7">
        <v>5.0</v>
      </c>
      <c r="J564" s="7">
        <v>3.0</v>
      </c>
      <c r="K564" s="7" t="s">
        <v>31</v>
      </c>
      <c r="L564" s="9" t="str">
        <f>VLOOKUP(K564, 'Alphabetical by species code'!A:B, 2, FALSE)</f>
        <v>Festuca myuros</v>
      </c>
      <c r="M564" s="9" t="str">
        <f>VLOOKUP(L564, 'Alphabetical by species code'!B:C, 2, FALSE)</f>
        <v>Non-Native</v>
      </c>
    </row>
    <row r="565">
      <c r="A565" s="7">
        <v>6.0</v>
      </c>
      <c r="B565" s="7">
        <v>2025.0</v>
      </c>
      <c r="C565" s="10">
        <v>45755.0</v>
      </c>
      <c r="D565" s="7" t="s">
        <v>54</v>
      </c>
      <c r="E565" s="7" t="s">
        <v>26</v>
      </c>
      <c r="F565" s="7">
        <v>3.0</v>
      </c>
      <c r="G565" s="7" t="s">
        <v>66</v>
      </c>
      <c r="H565" s="7">
        <v>2.0</v>
      </c>
      <c r="I565" s="7">
        <v>6.0</v>
      </c>
      <c r="J565" s="7">
        <v>3.5</v>
      </c>
      <c r="K565" s="7" t="s">
        <v>28</v>
      </c>
      <c r="L565" s="9" t="str">
        <f>VLOOKUP(K565, 'Alphabetical by species code'!A:B, 2, FALSE)</f>
        <v>Litter</v>
      </c>
      <c r="M565" s="9" t="str">
        <f>VLOOKUP(L565, 'Alphabetical by species code'!B:C, 2, FALSE)</f>
        <v>Ground Cover</v>
      </c>
    </row>
    <row r="566">
      <c r="A566" s="7">
        <v>6.0</v>
      </c>
      <c r="B566" s="7">
        <v>2025.0</v>
      </c>
      <c r="C566" s="10">
        <v>45755.0</v>
      </c>
      <c r="D566" s="7" t="s">
        <v>54</v>
      </c>
      <c r="E566" s="7" t="s">
        <v>26</v>
      </c>
      <c r="F566" s="7">
        <v>3.0</v>
      </c>
      <c r="G566" s="7" t="s">
        <v>66</v>
      </c>
      <c r="H566" s="7">
        <v>2.0</v>
      </c>
      <c r="I566" s="7">
        <v>6.0</v>
      </c>
      <c r="J566" s="7">
        <v>3.5</v>
      </c>
      <c r="K566" s="7" t="s">
        <v>58</v>
      </c>
      <c r="L566" s="9" t="str">
        <f>VLOOKUP(K566, 'Alphabetical by species code'!A:B, 2, FALSE)</f>
        <v>Crassula connata</v>
      </c>
      <c r="M566" s="9" t="str">
        <f>VLOOKUP(L566, 'Alphabetical by species code'!B:C, 2, FALSE)</f>
        <v>Native</v>
      </c>
    </row>
    <row r="567">
      <c r="A567" s="7">
        <v>6.0</v>
      </c>
      <c r="B567" s="7">
        <v>2025.0</v>
      </c>
      <c r="C567" s="10">
        <v>45755.0</v>
      </c>
      <c r="D567" s="7" t="s">
        <v>54</v>
      </c>
      <c r="E567" s="7" t="s">
        <v>26</v>
      </c>
      <c r="F567" s="7">
        <v>3.0</v>
      </c>
      <c r="G567" s="7" t="s">
        <v>66</v>
      </c>
      <c r="H567" s="7">
        <v>2.0</v>
      </c>
      <c r="I567" s="7">
        <v>6.0</v>
      </c>
      <c r="J567" s="7">
        <v>3.5</v>
      </c>
      <c r="K567" s="7" t="s">
        <v>37</v>
      </c>
      <c r="L567" s="9" t="str">
        <f>VLOOKUP(K567, 'Alphabetical by species code'!A:B, 2, FALSE)</f>
        <v>Sonchus oleraceus</v>
      </c>
      <c r="M567" s="9" t="str">
        <f>VLOOKUP(L567, 'Alphabetical by species code'!B:C, 2, FALSE)</f>
        <v>Non-Native</v>
      </c>
    </row>
    <row r="568">
      <c r="A568" s="7">
        <v>6.0</v>
      </c>
      <c r="B568" s="7">
        <v>2025.0</v>
      </c>
      <c r="C568" s="10">
        <v>45755.0</v>
      </c>
      <c r="D568" s="7" t="s">
        <v>54</v>
      </c>
      <c r="E568" s="7" t="s">
        <v>26</v>
      </c>
      <c r="F568" s="7">
        <v>3.0</v>
      </c>
      <c r="G568" s="7" t="s">
        <v>66</v>
      </c>
      <c r="H568" s="7">
        <v>2.0</v>
      </c>
      <c r="I568" s="7">
        <v>6.0</v>
      </c>
      <c r="J568" s="7">
        <v>3.5</v>
      </c>
      <c r="K568" s="7" t="s">
        <v>31</v>
      </c>
      <c r="L568" s="9" t="str">
        <f>VLOOKUP(K568, 'Alphabetical by species code'!A:B, 2, FALSE)</f>
        <v>Festuca myuros</v>
      </c>
      <c r="M568" s="9" t="str">
        <f>VLOOKUP(L568, 'Alphabetical by species code'!B:C, 2, FALSE)</f>
        <v>Non-Native</v>
      </c>
    </row>
    <row r="569">
      <c r="A569" s="7">
        <v>6.0</v>
      </c>
      <c r="B569" s="7">
        <v>2025.0</v>
      </c>
      <c r="C569" s="10">
        <v>45755.0</v>
      </c>
      <c r="D569" s="7" t="s">
        <v>54</v>
      </c>
      <c r="E569" s="7" t="s">
        <v>26</v>
      </c>
      <c r="F569" s="7">
        <v>3.0</v>
      </c>
      <c r="G569" s="7" t="s">
        <v>66</v>
      </c>
      <c r="H569" s="7">
        <v>2.0</v>
      </c>
      <c r="I569" s="7">
        <v>7.0</v>
      </c>
      <c r="J569" s="7">
        <v>4.0</v>
      </c>
      <c r="K569" s="7" t="s">
        <v>51</v>
      </c>
      <c r="L569" s="9" t="str">
        <f>VLOOKUP(K569, 'Alphabetical by species code'!A:B, 2, FALSE)</f>
        <v>Bareground</v>
      </c>
      <c r="M569" s="9" t="str">
        <f>VLOOKUP(L569, 'Alphabetical by species code'!B:C, 2, FALSE)</f>
        <v>Ground Cover</v>
      </c>
    </row>
    <row r="570">
      <c r="A570" s="7">
        <v>6.0</v>
      </c>
      <c r="B570" s="7">
        <v>2025.0</v>
      </c>
      <c r="C570" s="10">
        <v>45755.0</v>
      </c>
      <c r="D570" s="7" t="s">
        <v>54</v>
      </c>
      <c r="E570" s="7" t="s">
        <v>26</v>
      </c>
      <c r="F570" s="7">
        <v>3.0</v>
      </c>
      <c r="G570" s="7" t="s">
        <v>66</v>
      </c>
      <c r="H570" s="7">
        <v>2.0</v>
      </c>
      <c r="I570" s="7">
        <v>7.0</v>
      </c>
      <c r="J570" s="7">
        <v>4.0</v>
      </c>
      <c r="K570" s="7" t="s">
        <v>37</v>
      </c>
      <c r="L570" s="9" t="str">
        <f>VLOOKUP(K570, 'Alphabetical by species code'!A:B, 2, FALSE)</f>
        <v>Sonchus oleraceus</v>
      </c>
      <c r="M570" s="9" t="str">
        <f>VLOOKUP(L570, 'Alphabetical by species code'!B:C, 2, FALSE)</f>
        <v>Non-Native</v>
      </c>
    </row>
    <row r="571">
      <c r="A571" s="7">
        <v>6.0</v>
      </c>
      <c r="B571" s="7">
        <v>2025.0</v>
      </c>
      <c r="C571" s="10">
        <v>45755.0</v>
      </c>
      <c r="D571" s="7" t="s">
        <v>54</v>
      </c>
      <c r="E571" s="7" t="s">
        <v>26</v>
      </c>
      <c r="F571" s="7">
        <v>3.0</v>
      </c>
      <c r="G571" s="7" t="s">
        <v>66</v>
      </c>
      <c r="H571" s="7">
        <v>2.0</v>
      </c>
      <c r="I571" s="7">
        <v>7.0</v>
      </c>
      <c r="J571" s="7">
        <v>4.0</v>
      </c>
      <c r="K571" s="7" t="s">
        <v>31</v>
      </c>
      <c r="L571" s="9" t="str">
        <f>VLOOKUP(K571, 'Alphabetical by species code'!A:B, 2, FALSE)</f>
        <v>Festuca myuros</v>
      </c>
      <c r="M571" s="9" t="str">
        <f>VLOOKUP(L571, 'Alphabetical by species code'!B:C, 2, FALSE)</f>
        <v>Non-Native</v>
      </c>
    </row>
    <row r="572">
      <c r="A572" s="7">
        <v>6.0</v>
      </c>
      <c r="B572" s="7">
        <v>2025.0</v>
      </c>
      <c r="C572" s="10">
        <v>45755.0</v>
      </c>
      <c r="D572" s="7" t="s">
        <v>54</v>
      </c>
      <c r="E572" s="7" t="s">
        <v>26</v>
      </c>
      <c r="F572" s="7">
        <v>3.0</v>
      </c>
      <c r="G572" s="7" t="s">
        <v>66</v>
      </c>
      <c r="H572" s="7">
        <v>2.0</v>
      </c>
      <c r="I572" s="7">
        <v>8.0</v>
      </c>
      <c r="J572" s="7">
        <v>5.0</v>
      </c>
      <c r="K572" s="7" t="s">
        <v>28</v>
      </c>
      <c r="L572" s="9" t="str">
        <f>VLOOKUP(K572, 'Alphabetical by species code'!A:B, 2, FALSE)</f>
        <v>Litter</v>
      </c>
      <c r="M572" s="9" t="str">
        <f>VLOOKUP(L572, 'Alphabetical by species code'!B:C, 2, FALSE)</f>
        <v>Ground Cover</v>
      </c>
    </row>
    <row r="573">
      <c r="A573" s="7">
        <v>6.0</v>
      </c>
      <c r="B573" s="7">
        <v>2025.0</v>
      </c>
      <c r="C573" s="10">
        <v>45755.0</v>
      </c>
      <c r="D573" s="7" t="s">
        <v>54</v>
      </c>
      <c r="E573" s="7" t="s">
        <v>26</v>
      </c>
      <c r="F573" s="7">
        <v>3.0</v>
      </c>
      <c r="G573" s="7" t="s">
        <v>66</v>
      </c>
      <c r="H573" s="7">
        <v>2.0</v>
      </c>
      <c r="I573" s="7">
        <v>8.0</v>
      </c>
      <c r="J573" s="7">
        <v>5.0</v>
      </c>
      <c r="K573" s="7" t="s">
        <v>31</v>
      </c>
      <c r="L573" s="9" t="str">
        <f>VLOOKUP(K573, 'Alphabetical by species code'!A:B, 2, FALSE)</f>
        <v>Festuca myuros</v>
      </c>
      <c r="M573" s="9" t="str">
        <f>VLOOKUP(L573, 'Alphabetical by species code'!B:C, 2, FALSE)</f>
        <v>Non-Native</v>
      </c>
    </row>
    <row r="574">
      <c r="A574" s="7">
        <v>6.0</v>
      </c>
      <c r="B574" s="7">
        <v>2025.0</v>
      </c>
      <c r="C574" s="10">
        <v>45755.0</v>
      </c>
      <c r="D574" s="7" t="s">
        <v>54</v>
      </c>
      <c r="E574" s="7" t="s">
        <v>26</v>
      </c>
      <c r="F574" s="7">
        <v>3.0</v>
      </c>
      <c r="G574" s="7" t="s">
        <v>66</v>
      </c>
      <c r="H574" s="7">
        <v>2.0</v>
      </c>
      <c r="I574" s="7">
        <v>9.0</v>
      </c>
      <c r="J574" s="7">
        <v>7.0</v>
      </c>
      <c r="K574" s="7" t="s">
        <v>28</v>
      </c>
      <c r="L574" s="9" t="str">
        <f>VLOOKUP(K574, 'Alphabetical by species code'!A:B, 2, FALSE)</f>
        <v>Litter</v>
      </c>
      <c r="M574" s="9" t="str">
        <f>VLOOKUP(L574, 'Alphabetical by species code'!B:C, 2, FALSE)</f>
        <v>Ground Cover</v>
      </c>
    </row>
    <row r="575">
      <c r="A575" s="7">
        <v>6.0</v>
      </c>
      <c r="B575" s="7">
        <v>2025.0</v>
      </c>
      <c r="C575" s="10">
        <v>45755.0</v>
      </c>
      <c r="D575" s="7" t="s">
        <v>54</v>
      </c>
      <c r="E575" s="7" t="s">
        <v>26</v>
      </c>
      <c r="F575" s="7">
        <v>3.0</v>
      </c>
      <c r="G575" s="7" t="s">
        <v>66</v>
      </c>
      <c r="H575" s="7">
        <v>2.0</v>
      </c>
      <c r="I575" s="7">
        <v>9.0</v>
      </c>
      <c r="J575" s="7">
        <v>7.0</v>
      </c>
      <c r="K575" s="7" t="s">
        <v>34</v>
      </c>
      <c r="L575" s="9" t="str">
        <f>VLOOKUP(K575, 'Alphabetical by species code'!A:B, 2, FALSE)</f>
        <v>Erodium cicutarium</v>
      </c>
      <c r="M575" s="9" t="str">
        <f>VLOOKUP(L575, 'Alphabetical by species code'!B:C, 2, FALSE)</f>
        <v>Non-Native</v>
      </c>
    </row>
    <row r="576">
      <c r="A576" s="7">
        <v>6.0</v>
      </c>
      <c r="B576" s="7">
        <v>2025.0</v>
      </c>
      <c r="C576" s="10">
        <v>45755.0</v>
      </c>
      <c r="D576" s="7" t="s">
        <v>54</v>
      </c>
      <c r="E576" s="7" t="s">
        <v>26</v>
      </c>
      <c r="F576" s="7">
        <v>3.0</v>
      </c>
      <c r="G576" s="7" t="s">
        <v>66</v>
      </c>
      <c r="H576" s="7">
        <v>2.0</v>
      </c>
      <c r="I576" s="7">
        <v>9.0</v>
      </c>
      <c r="J576" s="7">
        <v>7.0</v>
      </c>
      <c r="K576" s="7" t="s">
        <v>35</v>
      </c>
      <c r="L576" s="9" t="str">
        <f>VLOOKUP(K576, 'Alphabetical by species code'!A:B, 2, FALSE)</f>
        <v>Deinandra fasciculata</v>
      </c>
      <c r="M576" s="9" t="str">
        <f>VLOOKUP(L576, 'Alphabetical by species code'!B:C, 2, FALSE)</f>
        <v>Native</v>
      </c>
    </row>
    <row r="577">
      <c r="A577" s="7">
        <v>6.0</v>
      </c>
      <c r="B577" s="7">
        <v>2025.0</v>
      </c>
      <c r="C577" s="10">
        <v>45755.0</v>
      </c>
      <c r="D577" s="7" t="s">
        <v>54</v>
      </c>
      <c r="E577" s="7" t="s">
        <v>26</v>
      </c>
      <c r="F577" s="7">
        <v>3.0</v>
      </c>
      <c r="G577" s="7" t="s">
        <v>66</v>
      </c>
      <c r="H577" s="7">
        <v>2.0</v>
      </c>
      <c r="I577" s="7">
        <v>9.0</v>
      </c>
      <c r="J577" s="7">
        <v>7.0</v>
      </c>
      <c r="K577" s="7" t="s">
        <v>31</v>
      </c>
      <c r="L577" s="9" t="str">
        <f>VLOOKUP(K577, 'Alphabetical by species code'!A:B, 2, FALSE)</f>
        <v>Festuca myuros</v>
      </c>
      <c r="M577" s="9" t="str">
        <f>VLOOKUP(L577, 'Alphabetical by species code'!B:C, 2, FALSE)</f>
        <v>Non-Native</v>
      </c>
    </row>
    <row r="578">
      <c r="A578" s="7">
        <v>6.0</v>
      </c>
      <c r="B578" s="7">
        <v>2025.0</v>
      </c>
      <c r="C578" s="10">
        <v>45755.0</v>
      </c>
      <c r="D578" s="7" t="s">
        <v>54</v>
      </c>
      <c r="E578" s="7" t="s">
        <v>26</v>
      </c>
      <c r="F578" s="7">
        <v>3.0</v>
      </c>
      <c r="G578" s="7" t="s">
        <v>66</v>
      </c>
      <c r="H578" s="7">
        <v>2.0</v>
      </c>
      <c r="I578" s="7">
        <v>10.0</v>
      </c>
      <c r="J578" s="7">
        <v>8.0</v>
      </c>
      <c r="K578" s="7" t="s">
        <v>28</v>
      </c>
      <c r="L578" s="9" t="str">
        <f>VLOOKUP(K578, 'Alphabetical by species code'!A:B, 2, FALSE)</f>
        <v>Litter</v>
      </c>
      <c r="M578" s="9" t="str">
        <f>VLOOKUP(L578, 'Alphabetical by species code'!B:C, 2, FALSE)</f>
        <v>Ground Cover</v>
      </c>
    </row>
    <row r="579">
      <c r="A579" s="7">
        <v>6.0</v>
      </c>
      <c r="B579" s="7">
        <v>2025.0</v>
      </c>
      <c r="C579" s="10">
        <v>45755.0</v>
      </c>
      <c r="D579" s="7" t="s">
        <v>54</v>
      </c>
      <c r="E579" s="7" t="s">
        <v>26</v>
      </c>
      <c r="F579" s="7">
        <v>3.0</v>
      </c>
      <c r="G579" s="7" t="s">
        <v>66</v>
      </c>
      <c r="H579" s="7">
        <v>2.0</v>
      </c>
      <c r="I579" s="7">
        <v>10.0</v>
      </c>
      <c r="J579" s="7">
        <v>8.0</v>
      </c>
      <c r="K579" s="7" t="s">
        <v>31</v>
      </c>
      <c r="L579" s="9" t="str">
        <f>VLOOKUP(K579, 'Alphabetical by species code'!A:B, 2, FALSE)</f>
        <v>Festuca myuros</v>
      </c>
      <c r="M579" s="9" t="str">
        <f>VLOOKUP(L579, 'Alphabetical by species code'!B:C, 2, FALSE)</f>
        <v>Non-Native</v>
      </c>
    </row>
    <row r="580">
      <c r="A580" s="7">
        <v>6.0</v>
      </c>
      <c r="B580" s="7">
        <v>2025.0</v>
      </c>
      <c r="C580" s="10">
        <v>45755.0</v>
      </c>
      <c r="D580" s="7" t="s">
        <v>54</v>
      </c>
      <c r="E580" s="7" t="s">
        <v>26</v>
      </c>
      <c r="F580" s="7">
        <v>3.0</v>
      </c>
      <c r="G580" s="7" t="s">
        <v>66</v>
      </c>
      <c r="H580" s="7">
        <v>2.0</v>
      </c>
      <c r="I580" s="7">
        <v>11.0</v>
      </c>
      <c r="J580" s="7">
        <v>8.5</v>
      </c>
      <c r="K580" s="7" t="s">
        <v>51</v>
      </c>
      <c r="L580" s="9" t="str">
        <f>VLOOKUP(K580, 'Alphabetical by species code'!A:B, 2, FALSE)</f>
        <v>Bareground</v>
      </c>
      <c r="M580" s="9" t="str">
        <f>VLOOKUP(L580, 'Alphabetical by species code'!B:C, 2, FALSE)</f>
        <v>Ground Cover</v>
      </c>
    </row>
    <row r="581">
      <c r="A581" s="7">
        <v>6.0</v>
      </c>
      <c r="B581" s="7">
        <v>2025.0</v>
      </c>
      <c r="C581" s="10">
        <v>45755.0</v>
      </c>
      <c r="D581" s="7" t="s">
        <v>54</v>
      </c>
      <c r="E581" s="7" t="s">
        <v>26</v>
      </c>
      <c r="F581" s="7">
        <v>3.0</v>
      </c>
      <c r="G581" s="7" t="s">
        <v>66</v>
      </c>
      <c r="H581" s="7">
        <v>2.0</v>
      </c>
      <c r="I581" s="7">
        <v>11.0</v>
      </c>
      <c r="J581" s="7">
        <v>8.5</v>
      </c>
      <c r="K581" s="7" t="s">
        <v>31</v>
      </c>
      <c r="L581" s="9" t="str">
        <f>VLOOKUP(K581, 'Alphabetical by species code'!A:B, 2, FALSE)</f>
        <v>Festuca myuros</v>
      </c>
      <c r="M581" s="9" t="str">
        <f>VLOOKUP(L581, 'Alphabetical by species code'!B:C, 2, FALSE)</f>
        <v>Non-Native</v>
      </c>
    </row>
    <row r="582">
      <c r="A582" s="7">
        <v>6.0</v>
      </c>
      <c r="B582" s="7">
        <v>2025.0</v>
      </c>
      <c r="C582" s="10">
        <v>45755.0</v>
      </c>
      <c r="D582" s="7" t="s">
        <v>54</v>
      </c>
      <c r="E582" s="7" t="s">
        <v>26</v>
      </c>
      <c r="F582" s="7">
        <v>3.0</v>
      </c>
      <c r="G582" s="7" t="s">
        <v>66</v>
      </c>
      <c r="H582" s="7">
        <v>2.0</v>
      </c>
      <c r="I582" s="7">
        <v>12.0</v>
      </c>
      <c r="J582" s="7">
        <v>9.0</v>
      </c>
      <c r="K582" s="7" t="s">
        <v>28</v>
      </c>
      <c r="L582" s="9" t="str">
        <f>VLOOKUP(K582, 'Alphabetical by species code'!A:B, 2, FALSE)</f>
        <v>Litter</v>
      </c>
      <c r="M582" s="9" t="str">
        <f>VLOOKUP(L582, 'Alphabetical by species code'!B:C, 2, FALSE)</f>
        <v>Ground Cover</v>
      </c>
    </row>
    <row r="583">
      <c r="A583" s="7">
        <v>6.0</v>
      </c>
      <c r="B583" s="7">
        <v>2025.0</v>
      </c>
      <c r="C583" s="10">
        <v>45755.0</v>
      </c>
      <c r="D583" s="7" t="s">
        <v>54</v>
      </c>
      <c r="E583" s="7" t="s">
        <v>26</v>
      </c>
      <c r="F583" s="7">
        <v>3.0</v>
      </c>
      <c r="G583" s="7" t="s">
        <v>66</v>
      </c>
      <c r="H583" s="7">
        <v>2.0</v>
      </c>
      <c r="I583" s="7">
        <v>12.0</v>
      </c>
      <c r="J583" s="7">
        <v>9.0</v>
      </c>
      <c r="K583" s="7" t="s">
        <v>35</v>
      </c>
      <c r="L583" s="9" t="str">
        <f>VLOOKUP(K583, 'Alphabetical by species code'!A:B, 2, FALSE)</f>
        <v>Deinandra fasciculata</v>
      </c>
      <c r="M583" s="9" t="str">
        <f>VLOOKUP(L583, 'Alphabetical by species code'!B:C, 2, FALSE)</f>
        <v>Native</v>
      </c>
    </row>
    <row r="584">
      <c r="A584" s="7">
        <v>6.0</v>
      </c>
      <c r="B584" s="7">
        <v>2025.0</v>
      </c>
      <c r="C584" s="10">
        <v>45755.0</v>
      </c>
      <c r="D584" s="7" t="s">
        <v>54</v>
      </c>
      <c r="E584" s="7" t="s">
        <v>26</v>
      </c>
      <c r="F584" s="7">
        <v>3.0</v>
      </c>
      <c r="G584" s="7" t="s">
        <v>66</v>
      </c>
      <c r="H584" s="7">
        <v>2.0</v>
      </c>
      <c r="I584" s="7">
        <v>13.0</v>
      </c>
      <c r="J584" s="7">
        <v>10.0</v>
      </c>
      <c r="K584" s="7" t="s">
        <v>28</v>
      </c>
      <c r="L584" s="9" t="str">
        <f>VLOOKUP(K584, 'Alphabetical by species code'!A:B, 2, FALSE)</f>
        <v>Litter</v>
      </c>
      <c r="M584" s="9" t="str">
        <f>VLOOKUP(L584, 'Alphabetical by species code'!B:C, 2, FALSE)</f>
        <v>Ground Cover</v>
      </c>
    </row>
    <row r="585">
      <c r="A585" s="7">
        <v>6.0</v>
      </c>
      <c r="B585" s="7">
        <v>2025.0</v>
      </c>
      <c r="C585" s="10">
        <v>45755.0</v>
      </c>
      <c r="D585" s="7" t="s">
        <v>54</v>
      </c>
      <c r="E585" s="7" t="s">
        <v>26</v>
      </c>
      <c r="F585" s="7">
        <v>3.0</v>
      </c>
      <c r="G585" s="7" t="s">
        <v>66</v>
      </c>
      <c r="H585" s="7">
        <v>2.0</v>
      </c>
      <c r="I585" s="7">
        <v>13.0</v>
      </c>
      <c r="J585" s="7">
        <v>10.0</v>
      </c>
      <c r="K585" s="7" t="s">
        <v>31</v>
      </c>
      <c r="L585" s="9" t="str">
        <f>VLOOKUP(K585, 'Alphabetical by species code'!A:B, 2, FALSE)</f>
        <v>Festuca myuros</v>
      </c>
      <c r="M585" s="9" t="str">
        <f>VLOOKUP(L585, 'Alphabetical by species code'!B:C, 2, FALSE)</f>
        <v>Non-Native</v>
      </c>
    </row>
    <row r="586">
      <c r="A586" s="7">
        <v>6.0</v>
      </c>
      <c r="B586" s="7">
        <v>2025.0</v>
      </c>
      <c r="C586" s="10">
        <v>45755.0</v>
      </c>
      <c r="D586" s="7" t="s">
        <v>54</v>
      </c>
      <c r="E586" s="7" t="s">
        <v>26</v>
      </c>
      <c r="F586" s="7">
        <v>3.0</v>
      </c>
      <c r="G586" s="7" t="s">
        <v>66</v>
      </c>
      <c r="H586" s="7">
        <v>2.0</v>
      </c>
      <c r="I586" s="7">
        <v>13.0</v>
      </c>
      <c r="J586" s="7">
        <v>10.0</v>
      </c>
      <c r="K586" s="7" t="s">
        <v>48</v>
      </c>
      <c r="L586" s="9" t="str">
        <f>VLOOKUP(K586, 'Alphabetical by species code'!A:B, 2, FALSE)</f>
        <v>Sonchus asper</v>
      </c>
      <c r="M586" s="9" t="str">
        <f>VLOOKUP(L586, 'Alphabetical by species code'!B:C, 2, FALSE)</f>
        <v>Non-Native</v>
      </c>
    </row>
    <row r="587">
      <c r="A587" s="7">
        <v>6.0</v>
      </c>
      <c r="B587" s="7">
        <v>2025.0</v>
      </c>
      <c r="C587" s="10">
        <v>45755.0</v>
      </c>
      <c r="D587" s="7" t="s">
        <v>54</v>
      </c>
      <c r="E587" s="7" t="s">
        <v>26</v>
      </c>
      <c r="F587" s="7">
        <v>3.0</v>
      </c>
      <c r="G587" s="7" t="s">
        <v>66</v>
      </c>
      <c r="H587" s="7">
        <v>2.0</v>
      </c>
      <c r="I587" s="7">
        <v>14.0</v>
      </c>
      <c r="J587" s="7">
        <v>11.0</v>
      </c>
      <c r="K587" s="7" t="s">
        <v>28</v>
      </c>
      <c r="L587" s="9" t="str">
        <f>VLOOKUP(K587, 'Alphabetical by species code'!A:B, 2, FALSE)</f>
        <v>Litter</v>
      </c>
      <c r="M587" s="9" t="str">
        <f>VLOOKUP(L587, 'Alphabetical by species code'!B:C, 2, FALSE)</f>
        <v>Ground Cover</v>
      </c>
    </row>
    <row r="588">
      <c r="A588" s="7">
        <v>6.0</v>
      </c>
      <c r="B588" s="7">
        <v>2025.0</v>
      </c>
      <c r="C588" s="10">
        <v>45755.0</v>
      </c>
      <c r="D588" s="7" t="s">
        <v>54</v>
      </c>
      <c r="E588" s="7" t="s">
        <v>26</v>
      </c>
      <c r="F588" s="7">
        <v>3.0</v>
      </c>
      <c r="G588" s="7" t="s">
        <v>66</v>
      </c>
      <c r="H588" s="7">
        <v>2.0</v>
      </c>
      <c r="I588" s="7">
        <v>14.0</v>
      </c>
      <c r="J588" s="7">
        <v>11.0</v>
      </c>
      <c r="K588" s="7" t="s">
        <v>29</v>
      </c>
      <c r="L588" s="9" t="str">
        <f>VLOOKUP(K588, 'Alphabetical by species code'!A:B, 2, FALSE)</f>
        <v>Opuntia littoralis</v>
      </c>
      <c r="M588" s="9" t="str">
        <f>VLOOKUP(L588, 'Alphabetical by species code'!B:C, 2, FALSE)</f>
        <v>Native</v>
      </c>
    </row>
    <row r="589">
      <c r="A589" s="7">
        <v>6.0</v>
      </c>
      <c r="B589" s="7">
        <v>2025.0</v>
      </c>
      <c r="C589" s="10">
        <v>45755.0</v>
      </c>
      <c r="D589" s="7" t="s">
        <v>54</v>
      </c>
      <c r="E589" s="7" t="s">
        <v>26</v>
      </c>
      <c r="F589" s="7">
        <v>3.0</v>
      </c>
      <c r="G589" s="7" t="s">
        <v>66</v>
      </c>
      <c r="H589" s="7">
        <v>2.0</v>
      </c>
      <c r="I589" s="7">
        <v>14.0</v>
      </c>
      <c r="J589" s="7">
        <v>11.0</v>
      </c>
      <c r="K589" s="7" t="s">
        <v>36</v>
      </c>
      <c r="L589" s="9" t="str">
        <f>VLOOKUP(K589, 'Alphabetical by species code'!A:B, 2, FALSE)</f>
        <v>Bromus madritensis</v>
      </c>
      <c r="M589" s="9" t="str">
        <f>VLOOKUP(L589, 'Alphabetical by species code'!B:C, 2, FALSE)</f>
        <v>Non-Native</v>
      </c>
    </row>
    <row r="590">
      <c r="A590" s="7">
        <v>6.0</v>
      </c>
      <c r="B590" s="7">
        <v>2025.0</v>
      </c>
      <c r="C590" s="10">
        <v>45755.0</v>
      </c>
      <c r="D590" s="7" t="s">
        <v>54</v>
      </c>
      <c r="E590" s="7" t="s">
        <v>26</v>
      </c>
      <c r="F590" s="7">
        <v>3.0</v>
      </c>
      <c r="G590" s="7" t="s">
        <v>66</v>
      </c>
      <c r="H590" s="7">
        <v>2.0</v>
      </c>
      <c r="I590" s="7">
        <v>14.0</v>
      </c>
      <c r="J590" s="7">
        <v>11.0</v>
      </c>
      <c r="K590" s="7" t="s">
        <v>34</v>
      </c>
      <c r="L590" s="9" t="str">
        <f>VLOOKUP(K590, 'Alphabetical by species code'!A:B, 2, FALSE)</f>
        <v>Erodium cicutarium</v>
      </c>
      <c r="M590" s="9" t="str">
        <f>VLOOKUP(L590, 'Alphabetical by species code'!B:C, 2, FALSE)</f>
        <v>Non-Native</v>
      </c>
    </row>
    <row r="591">
      <c r="A591" s="7">
        <v>6.0</v>
      </c>
      <c r="B591" s="7">
        <v>2025.0</v>
      </c>
      <c r="C591" s="10">
        <v>45755.0</v>
      </c>
      <c r="D591" s="7" t="s">
        <v>54</v>
      </c>
      <c r="E591" s="7" t="s">
        <v>26</v>
      </c>
      <c r="F591" s="7">
        <v>3.0</v>
      </c>
      <c r="G591" s="7" t="s">
        <v>66</v>
      </c>
      <c r="H591" s="7">
        <v>2.0</v>
      </c>
      <c r="I591" s="7">
        <v>15.0</v>
      </c>
      <c r="J591" s="7">
        <v>12.0</v>
      </c>
      <c r="K591" s="7" t="s">
        <v>28</v>
      </c>
      <c r="L591" s="9" t="str">
        <f>VLOOKUP(K591, 'Alphabetical by species code'!A:B, 2, FALSE)</f>
        <v>Litter</v>
      </c>
      <c r="M591" s="9" t="str">
        <f>VLOOKUP(L591, 'Alphabetical by species code'!B:C, 2, FALSE)</f>
        <v>Ground Cover</v>
      </c>
    </row>
    <row r="592">
      <c r="A592" s="7">
        <v>6.0</v>
      </c>
      <c r="B592" s="7">
        <v>2025.0</v>
      </c>
      <c r="C592" s="10">
        <v>45755.0</v>
      </c>
      <c r="D592" s="7" t="s">
        <v>54</v>
      </c>
      <c r="E592" s="7" t="s">
        <v>26</v>
      </c>
      <c r="F592" s="7">
        <v>3.0</v>
      </c>
      <c r="G592" s="7" t="s">
        <v>66</v>
      </c>
      <c r="H592" s="7">
        <v>2.0</v>
      </c>
      <c r="I592" s="7">
        <v>15.0</v>
      </c>
      <c r="J592" s="7">
        <v>12.0</v>
      </c>
      <c r="K592" s="7" t="s">
        <v>35</v>
      </c>
      <c r="L592" s="9" t="str">
        <f>VLOOKUP(K592, 'Alphabetical by species code'!A:B, 2, FALSE)</f>
        <v>Deinandra fasciculata</v>
      </c>
      <c r="M592" s="9" t="str">
        <f>VLOOKUP(L592, 'Alphabetical by species code'!B:C, 2, FALSE)</f>
        <v>Native</v>
      </c>
    </row>
    <row r="593">
      <c r="A593" s="7">
        <v>6.0</v>
      </c>
      <c r="B593" s="7">
        <v>2025.0</v>
      </c>
      <c r="C593" s="10">
        <v>45755.0</v>
      </c>
      <c r="D593" s="7" t="s">
        <v>54</v>
      </c>
      <c r="E593" s="7" t="s">
        <v>26</v>
      </c>
      <c r="F593" s="7">
        <v>3.0</v>
      </c>
      <c r="G593" s="7" t="s">
        <v>66</v>
      </c>
      <c r="H593" s="7">
        <v>2.0</v>
      </c>
      <c r="I593" s="7">
        <v>15.0</v>
      </c>
      <c r="J593" s="7">
        <v>12.0</v>
      </c>
      <c r="K593" s="7" t="s">
        <v>31</v>
      </c>
      <c r="L593" s="9" t="str">
        <f>VLOOKUP(K593, 'Alphabetical by species code'!A:B, 2, FALSE)</f>
        <v>Festuca myuros</v>
      </c>
      <c r="M593" s="9" t="str">
        <f>VLOOKUP(L593, 'Alphabetical by species code'!B:C, 2, FALSE)</f>
        <v>Non-Native</v>
      </c>
    </row>
    <row r="594">
      <c r="A594" s="7">
        <v>7.0</v>
      </c>
      <c r="B594" s="7">
        <v>2025.0</v>
      </c>
      <c r="C594" s="10">
        <v>45764.0</v>
      </c>
      <c r="D594" s="7" t="s">
        <v>69</v>
      </c>
      <c r="E594" s="7" t="s">
        <v>26</v>
      </c>
      <c r="F594" s="7">
        <v>1.0</v>
      </c>
      <c r="G594" s="7" t="s">
        <v>66</v>
      </c>
      <c r="H594" s="7">
        <v>1.0</v>
      </c>
      <c r="I594" s="7">
        <v>1.0</v>
      </c>
      <c r="J594" s="7">
        <v>0.0</v>
      </c>
      <c r="K594" s="7" t="s">
        <v>28</v>
      </c>
      <c r="L594" s="9" t="str">
        <f>VLOOKUP(K594, 'Alphabetical by species code'!A:B, 2, FALSE)</f>
        <v>Litter</v>
      </c>
      <c r="M594" s="9" t="str">
        <f>VLOOKUP(L594, 'Alphabetical by species code'!B:C, 2, FALSE)</f>
        <v>Ground Cover</v>
      </c>
    </row>
    <row r="595">
      <c r="A595" s="7">
        <v>7.0</v>
      </c>
      <c r="B595" s="7">
        <v>2025.0</v>
      </c>
      <c r="C595" s="10">
        <v>45764.0</v>
      </c>
      <c r="D595" s="7" t="s">
        <v>69</v>
      </c>
      <c r="E595" s="7" t="s">
        <v>26</v>
      </c>
      <c r="F595" s="7">
        <v>1.0</v>
      </c>
      <c r="G595" s="7" t="s">
        <v>66</v>
      </c>
      <c r="H595" s="7">
        <v>1.0</v>
      </c>
      <c r="I595" s="7">
        <v>1.0</v>
      </c>
      <c r="J595" s="7">
        <v>0.0</v>
      </c>
      <c r="K595" s="7" t="s">
        <v>34</v>
      </c>
      <c r="L595" s="9" t="str">
        <f>VLOOKUP(K595, 'Alphabetical by species code'!A:B, 2, FALSE)</f>
        <v>Erodium cicutarium</v>
      </c>
      <c r="M595" s="9" t="str">
        <f>VLOOKUP(L595, 'Alphabetical by species code'!B:C, 2, FALSE)</f>
        <v>Non-Native</v>
      </c>
    </row>
    <row r="596">
      <c r="A596" s="7">
        <v>7.0</v>
      </c>
      <c r="B596" s="7">
        <v>2025.0</v>
      </c>
      <c r="C596" s="10">
        <v>45764.0</v>
      </c>
      <c r="D596" s="7" t="s">
        <v>69</v>
      </c>
      <c r="E596" s="7" t="s">
        <v>26</v>
      </c>
      <c r="F596" s="7">
        <v>1.0</v>
      </c>
      <c r="G596" s="7" t="s">
        <v>66</v>
      </c>
      <c r="H596" s="7">
        <v>1.0</v>
      </c>
      <c r="I596" s="7">
        <v>1.0</v>
      </c>
      <c r="J596" s="7">
        <v>0.0</v>
      </c>
      <c r="K596" s="7" t="s">
        <v>35</v>
      </c>
      <c r="L596" s="9" t="str">
        <f>VLOOKUP(K596, 'Alphabetical by species code'!A:B, 2, FALSE)</f>
        <v>Deinandra fasciculata</v>
      </c>
      <c r="M596" s="9" t="str">
        <f>VLOOKUP(L596, 'Alphabetical by species code'!B:C, 2, FALSE)</f>
        <v>Native</v>
      </c>
    </row>
    <row r="597">
      <c r="A597" s="7">
        <v>7.0</v>
      </c>
      <c r="B597" s="7">
        <v>2025.0</v>
      </c>
      <c r="C597" s="10">
        <v>45764.0</v>
      </c>
      <c r="D597" s="7" t="s">
        <v>69</v>
      </c>
      <c r="E597" s="7" t="s">
        <v>26</v>
      </c>
      <c r="F597" s="7">
        <v>1.0</v>
      </c>
      <c r="G597" s="7" t="s">
        <v>66</v>
      </c>
      <c r="H597" s="7">
        <v>1.0</v>
      </c>
      <c r="I597" s="7">
        <v>2.0</v>
      </c>
      <c r="J597" s="7">
        <v>1.0</v>
      </c>
      <c r="K597" s="7" t="s">
        <v>28</v>
      </c>
      <c r="L597" s="9" t="str">
        <f>VLOOKUP(K597, 'Alphabetical by species code'!A:B, 2, FALSE)</f>
        <v>Litter</v>
      </c>
      <c r="M597" s="9" t="str">
        <f>VLOOKUP(L597, 'Alphabetical by species code'!B:C, 2, FALSE)</f>
        <v>Ground Cover</v>
      </c>
    </row>
    <row r="598">
      <c r="A598" s="7">
        <v>7.0</v>
      </c>
      <c r="B598" s="7">
        <v>2025.0</v>
      </c>
      <c r="C598" s="10">
        <v>45764.0</v>
      </c>
      <c r="D598" s="7" t="s">
        <v>69</v>
      </c>
      <c r="E598" s="7" t="s">
        <v>26</v>
      </c>
      <c r="F598" s="7">
        <v>1.0</v>
      </c>
      <c r="G598" s="7" t="s">
        <v>66</v>
      </c>
      <c r="H598" s="7">
        <v>1.0</v>
      </c>
      <c r="I598" s="7">
        <v>2.0</v>
      </c>
      <c r="J598" s="7">
        <v>1.0</v>
      </c>
      <c r="K598" s="7" t="s">
        <v>36</v>
      </c>
      <c r="L598" s="9" t="str">
        <f>VLOOKUP(K598, 'Alphabetical by species code'!A:B, 2, FALSE)</f>
        <v>Bromus madritensis</v>
      </c>
      <c r="M598" s="9" t="str">
        <f>VLOOKUP(L598, 'Alphabetical by species code'!B:C, 2, FALSE)</f>
        <v>Non-Native</v>
      </c>
    </row>
    <row r="599">
      <c r="A599" s="7">
        <v>7.0</v>
      </c>
      <c r="B599" s="7">
        <v>2025.0</v>
      </c>
      <c r="C599" s="10">
        <v>45764.0</v>
      </c>
      <c r="D599" s="7" t="s">
        <v>69</v>
      </c>
      <c r="E599" s="7" t="s">
        <v>26</v>
      </c>
      <c r="F599" s="7">
        <v>1.0</v>
      </c>
      <c r="G599" s="7" t="s">
        <v>66</v>
      </c>
      <c r="H599" s="7">
        <v>1.0</v>
      </c>
      <c r="I599" s="7">
        <v>2.0</v>
      </c>
      <c r="J599" s="7">
        <v>1.0</v>
      </c>
      <c r="K599" s="7" t="s">
        <v>42</v>
      </c>
      <c r="L599" s="9" t="str">
        <f>VLOOKUP(K599, 'Alphabetical by species code'!A:B, 2, FALSE)</f>
        <v>Centaurea melitensis</v>
      </c>
      <c r="M599" s="9" t="str">
        <f>VLOOKUP(L599, 'Alphabetical by species code'!B:C, 2, FALSE)</f>
        <v>Non-Native</v>
      </c>
    </row>
    <row r="600">
      <c r="A600" s="7">
        <v>7.0</v>
      </c>
      <c r="B600" s="7">
        <v>2025.0</v>
      </c>
      <c r="C600" s="10">
        <v>45764.0</v>
      </c>
      <c r="D600" s="7" t="s">
        <v>69</v>
      </c>
      <c r="E600" s="7" t="s">
        <v>26</v>
      </c>
      <c r="F600" s="7">
        <v>1.0</v>
      </c>
      <c r="G600" s="7" t="s">
        <v>66</v>
      </c>
      <c r="H600" s="7">
        <v>1.0</v>
      </c>
      <c r="I600" s="7">
        <v>3.0</v>
      </c>
      <c r="J600" s="7">
        <v>1.5</v>
      </c>
      <c r="K600" s="7" t="s">
        <v>28</v>
      </c>
      <c r="L600" s="9" t="str">
        <f>VLOOKUP(K600, 'Alphabetical by species code'!A:B, 2, FALSE)</f>
        <v>Litter</v>
      </c>
      <c r="M600" s="9" t="str">
        <f>VLOOKUP(L600, 'Alphabetical by species code'!B:C, 2, FALSE)</f>
        <v>Ground Cover</v>
      </c>
    </row>
    <row r="601">
      <c r="A601" s="7">
        <v>7.0</v>
      </c>
      <c r="B601" s="7">
        <v>2025.0</v>
      </c>
      <c r="C601" s="10">
        <v>45764.0</v>
      </c>
      <c r="D601" s="7" t="s">
        <v>69</v>
      </c>
      <c r="E601" s="7" t="s">
        <v>26</v>
      </c>
      <c r="F601" s="7">
        <v>1.0</v>
      </c>
      <c r="G601" s="7" t="s">
        <v>66</v>
      </c>
      <c r="H601" s="7">
        <v>1.0</v>
      </c>
      <c r="I601" s="7">
        <v>3.0</v>
      </c>
      <c r="J601" s="7">
        <v>1.5</v>
      </c>
      <c r="K601" s="7" t="s">
        <v>35</v>
      </c>
      <c r="L601" s="9" t="str">
        <f>VLOOKUP(K601, 'Alphabetical by species code'!A:B, 2, FALSE)</f>
        <v>Deinandra fasciculata</v>
      </c>
      <c r="M601" s="9" t="str">
        <f>VLOOKUP(L601, 'Alphabetical by species code'!B:C, 2, FALSE)</f>
        <v>Native</v>
      </c>
    </row>
    <row r="602">
      <c r="A602" s="7">
        <v>7.0</v>
      </c>
      <c r="B602" s="7">
        <v>2025.0</v>
      </c>
      <c r="C602" s="10">
        <v>45764.0</v>
      </c>
      <c r="D602" s="7" t="s">
        <v>69</v>
      </c>
      <c r="E602" s="7" t="s">
        <v>26</v>
      </c>
      <c r="F602" s="7">
        <v>1.0</v>
      </c>
      <c r="G602" s="7" t="s">
        <v>66</v>
      </c>
      <c r="H602" s="7">
        <v>1.0</v>
      </c>
      <c r="I602" s="7">
        <v>3.0</v>
      </c>
      <c r="J602" s="7">
        <v>1.5</v>
      </c>
      <c r="K602" s="7" t="s">
        <v>42</v>
      </c>
      <c r="L602" s="9" t="str">
        <f>VLOOKUP(K602, 'Alphabetical by species code'!A:B, 2, FALSE)</f>
        <v>Centaurea melitensis</v>
      </c>
      <c r="M602" s="9" t="str">
        <f>VLOOKUP(L602, 'Alphabetical by species code'!B:C, 2, FALSE)</f>
        <v>Non-Native</v>
      </c>
    </row>
    <row r="603">
      <c r="A603" s="7">
        <v>7.0</v>
      </c>
      <c r="B603" s="7">
        <v>2025.0</v>
      </c>
      <c r="C603" s="10">
        <v>45764.0</v>
      </c>
      <c r="D603" s="7" t="s">
        <v>69</v>
      </c>
      <c r="E603" s="7" t="s">
        <v>26</v>
      </c>
      <c r="F603" s="7">
        <v>1.0</v>
      </c>
      <c r="G603" s="7" t="s">
        <v>66</v>
      </c>
      <c r="H603" s="7">
        <v>1.0</v>
      </c>
      <c r="I603" s="7">
        <v>3.0</v>
      </c>
      <c r="J603" s="7">
        <v>1.5</v>
      </c>
      <c r="K603" s="7" t="s">
        <v>49</v>
      </c>
      <c r="L603" s="9" t="str">
        <f>VLOOKUP(K603, 'Alphabetical by species code'!A:B, 2, FALSE)</f>
        <v>Anagallis arvensis</v>
      </c>
      <c r="M603" s="9" t="str">
        <f>VLOOKUP(L603, 'Alphabetical by species code'!B:C, 2, FALSE)</f>
        <v>Non-Native</v>
      </c>
    </row>
    <row r="604">
      <c r="A604" s="7">
        <v>7.0</v>
      </c>
      <c r="B604" s="7">
        <v>2025.0</v>
      </c>
      <c r="C604" s="10">
        <v>45764.0</v>
      </c>
      <c r="D604" s="7" t="s">
        <v>69</v>
      </c>
      <c r="E604" s="7" t="s">
        <v>26</v>
      </c>
      <c r="F604" s="7">
        <v>1.0</v>
      </c>
      <c r="G604" s="7" t="s">
        <v>66</v>
      </c>
      <c r="H604" s="7">
        <v>1.0</v>
      </c>
      <c r="I604" s="7">
        <v>4.0</v>
      </c>
      <c r="J604" s="7">
        <v>2.0</v>
      </c>
      <c r="K604" s="7" t="s">
        <v>41</v>
      </c>
      <c r="L604" s="9" t="str">
        <f>VLOOKUP(K604, 'Alphabetical by species code'!A:B, 2, FALSE)</f>
        <v>Stem</v>
      </c>
      <c r="M604" s="9" t="str">
        <f>VLOOKUP(L604, 'Alphabetical by species code'!B:C, 2, FALSE)</f>
        <v>Ground Cover</v>
      </c>
    </row>
    <row r="605">
      <c r="A605" s="7">
        <v>7.0</v>
      </c>
      <c r="B605" s="7">
        <v>2025.0</v>
      </c>
      <c r="C605" s="10">
        <v>45764.0</v>
      </c>
      <c r="D605" s="7" t="s">
        <v>69</v>
      </c>
      <c r="E605" s="7" t="s">
        <v>26</v>
      </c>
      <c r="F605" s="7">
        <v>1.0</v>
      </c>
      <c r="G605" s="7" t="s">
        <v>66</v>
      </c>
      <c r="H605" s="7">
        <v>1.0</v>
      </c>
      <c r="I605" s="7">
        <v>4.0</v>
      </c>
      <c r="J605" s="7">
        <v>2.0</v>
      </c>
      <c r="K605" s="7" t="s">
        <v>30</v>
      </c>
      <c r="L605" s="9" t="str">
        <f>VLOOKUP(K605, 'Alphabetical by species code'!A:B, 2, FALSE)</f>
        <v>Erodium moschatum</v>
      </c>
      <c r="M605" s="9" t="str">
        <f>VLOOKUP(L605, 'Alphabetical by species code'!B:C, 2, FALSE)</f>
        <v>Non-Native</v>
      </c>
    </row>
    <row r="606">
      <c r="A606" s="7">
        <v>7.0</v>
      </c>
      <c r="B606" s="7">
        <v>2025.0</v>
      </c>
      <c r="C606" s="10">
        <v>45764.0</v>
      </c>
      <c r="D606" s="7" t="s">
        <v>69</v>
      </c>
      <c r="E606" s="7" t="s">
        <v>26</v>
      </c>
      <c r="F606" s="7">
        <v>1.0</v>
      </c>
      <c r="G606" s="7" t="s">
        <v>66</v>
      </c>
      <c r="H606" s="7">
        <v>1.0</v>
      </c>
      <c r="I606" s="7">
        <v>5.0</v>
      </c>
      <c r="J606" s="7">
        <v>3.0</v>
      </c>
      <c r="K606" s="7" t="s">
        <v>51</v>
      </c>
      <c r="L606" s="9" t="str">
        <f>VLOOKUP(K606, 'Alphabetical by species code'!A:B, 2, FALSE)</f>
        <v>Bareground</v>
      </c>
      <c r="M606" s="9" t="str">
        <f>VLOOKUP(L606, 'Alphabetical by species code'!B:C, 2, FALSE)</f>
        <v>Ground Cover</v>
      </c>
    </row>
    <row r="607">
      <c r="A607" s="7">
        <v>7.0</v>
      </c>
      <c r="B607" s="7">
        <v>2025.0</v>
      </c>
      <c r="C607" s="10">
        <v>45764.0</v>
      </c>
      <c r="D607" s="7" t="s">
        <v>69</v>
      </c>
      <c r="E607" s="7" t="s">
        <v>26</v>
      </c>
      <c r="F607" s="7">
        <v>1.0</v>
      </c>
      <c r="G607" s="7" t="s">
        <v>66</v>
      </c>
      <c r="H607" s="7">
        <v>1.0</v>
      </c>
      <c r="I607" s="7">
        <v>5.0</v>
      </c>
      <c r="J607" s="7">
        <v>3.0</v>
      </c>
      <c r="K607" s="7" t="s">
        <v>37</v>
      </c>
      <c r="L607" s="9" t="str">
        <f>VLOOKUP(K607, 'Alphabetical by species code'!A:B, 2, FALSE)</f>
        <v>Sonchus oleraceus</v>
      </c>
      <c r="M607" s="9" t="str">
        <f>VLOOKUP(L607, 'Alphabetical by species code'!B:C, 2, FALSE)</f>
        <v>Non-Native</v>
      </c>
    </row>
    <row r="608">
      <c r="A608" s="7">
        <v>7.0</v>
      </c>
      <c r="B608" s="7">
        <v>2025.0</v>
      </c>
      <c r="C608" s="10">
        <v>45764.0</v>
      </c>
      <c r="D608" s="7" t="s">
        <v>69</v>
      </c>
      <c r="E608" s="7" t="s">
        <v>26</v>
      </c>
      <c r="F608" s="7">
        <v>1.0</v>
      </c>
      <c r="G608" s="7" t="s">
        <v>66</v>
      </c>
      <c r="H608" s="7">
        <v>1.0</v>
      </c>
      <c r="I608" s="7">
        <v>6.0</v>
      </c>
      <c r="J608" s="7">
        <v>3.5</v>
      </c>
      <c r="K608" s="7" t="s">
        <v>28</v>
      </c>
      <c r="L608" s="9" t="str">
        <f>VLOOKUP(K608, 'Alphabetical by species code'!A:B, 2, FALSE)</f>
        <v>Litter</v>
      </c>
      <c r="M608" s="9" t="str">
        <f>VLOOKUP(L608, 'Alphabetical by species code'!B:C, 2, FALSE)</f>
        <v>Ground Cover</v>
      </c>
    </row>
    <row r="609">
      <c r="A609" s="7">
        <v>7.0</v>
      </c>
      <c r="B609" s="7">
        <v>2025.0</v>
      </c>
      <c r="C609" s="10">
        <v>45764.0</v>
      </c>
      <c r="D609" s="7" t="s">
        <v>69</v>
      </c>
      <c r="E609" s="7" t="s">
        <v>26</v>
      </c>
      <c r="F609" s="7">
        <v>1.0</v>
      </c>
      <c r="G609" s="7" t="s">
        <v>66</v>
      </c>
      <c r="H609" s="7">
        <v>1.0</v>
      </c>
      <c r="I609" s="7">
        <v>6.0</v>
      </c>
      <c r="J609" s="7">
        <v>3.5</v>
      </c>
      <c r="K609" s="7" t="s">
        <v>31</v>
      </c>
      <c r="L609" s="9" t="str">
        <f>VLOOKUP(K609, 'Alphabetical by species code'!A:B, 2, FALSE)</f>
        <v>Festuca myuros</v>
      </c>
      <c r="M609" s="9" t="str">
        <f>VLOOKUP(L609, 'Alphabetical by species code'!B:C, 2, FALSE)</f>
        <v>Non-Native</v>
      </c>
    </row>
    <row r="610">
      <c r="A610" s="7">
        <v>7.0</v>
      </c>
      <c r="B610" s="7">
        <v>2025.0</v>
      </c>
      <c r="C610" s="10">
        <v>45764.0</v>
      </c>
      <c r="D610" s="7" t="s">
        <v>69</v>
      </c>
      <c r="E610" s="7" t="s">
        <v>26</v>
      </c>
      <c r="F610" s="7">
        <v>1.0</v>
      </c>
      <c r="G610" s="7" t="s">
        <v>66</v>
      </c>
      <c r="H610" s="7">
        <v>1.0</v>
      </c>
      <c r="I610" s="7">
        <v>6.0</v>
      </c>
      <c r="J610" s="7">
        <v>3.5</v>
      </c>
      <c r="K610" s="7" t="s">
        <v>35</v>
      </c>
      <c r="L610" s="9" t="str">
        <f>VLOOKUP(K610, 'Alphabetical by species code'!A:B, 2, FALSE)</f>
        <v>Deinandra fasciculata</v>
      </c>
      <c r="M610" s="9" t="str">
        <f>VLOOKUP(L610, 'Alphabetical by species code'!B:C, 2, FALSE)</f>
        <v>Native</v>
      </c>
    </row>
    <row r="611">
      <c r="A611" s="7">
        <v>7.0</v>
      </c>
      <c r="B611" s="7">
        <v>2025.0</v>
      </c>
      <c r="C611" s="10">
        <v>45764.0</v>
      </c>
      <c r="D611" s="7" t="s">
        <v>69</v>
      </c>
      <c r="E611" s="7" t="s">
        <v>26</v>
      </c>
      <c r="F611" s="7">
        <v>1.0</v>
      </c>
      <c r="G611" s="7" t="s">
        <v>66</v>
      </c>
      <c r="H611" s="7">
        <v>1.0</v>
      </c>
      <c r="I611" s="7">
        <v>7.0</v>
      </c>
      <c r="J611" s="7">
        <v>4.0</v>
      </c>
      <c r="K611" s="7" t="s">
        <v>51</v>
      </c>
      <c r="L611" s="9" t="str">
        <f>VLOOKUP(K611, 'Alphabetical by species code'!A:B, 2, FALSE)</f>
        <v>Bareground</v>
      </c>
      <c r="M611" s="9" t="str">
        <f>VLOOKUP(L611, 'Alphabetical by species code'!B:C, 2, FALSE)</f>
        <v>Ground Cover</v>
      </c>
    </row>
    <row r="612">
      <c r="A612" s="7">
        <v>7.0</v>
      </c>
      <c r="B612" s="7">
        <v>2025.0</v>
      </c>
      <c r="C612" s="10">
        <v>45764.0</v>
      </c>
      <c r="D612" s="7" t="s">
        <v>69</v>
      </c>
      <c r="E612" s="7" t="s">
        <v>26</v>
      </c>
      <c r="F612" s="7">
        <v>1.0</v>
      </c>
      <c r="G612" s="7" t="s">
        <v>66</v>
      </c>
      <c r="H612" s="7">
        <v>1.0</v>
      </c>
      <c r="I612" s="7">
        <v>7.0</v>
      </c>
      <c r="J612" s="7">
        <v>4.0</v>
      </c>
      <c r="K612" s="7" t="s">
        <v>35</v>
      </c>
      <c r="L612" s="9" t="str">
        <f>VLOOKUP(K612, 'Alphabetical by species code'!A:B, 2, FALSE)</f>
        <v>Deinandra fasciculata</v>
      </c>
      <c r="M612" s="9" t="str">
        <f>VLOOKUP(L612, 'Alphabetical by species code'!B:C, 2, FALSE)</f>
        <v>Native</v>
      </c>
    </row>
    <row r="613">
      <c r="A613" s="7">
        <v>7.0</v>
      </c>
      <c r="B613" s="7">
        <v>2025.0</v>
      </c>
      <c r="C613" s="10">
        <v>45764.0</v>
      </c>
      <c r="D613" s="7" t="s">
        <v>69</v>
      </c>
      <c r="E613" s="7" t="s">
        <v>26</v>
      </c>
      <c r="F613" s="7">
        <v>1.0</v>
      </c>
      <c r="G613" s="7" t="s">
        <v>66</v>
      </c>
      <c r="H613" s="7">
        <v>1.0</v>
      </c>
      <c r="I613" s="7">
        <v>7.0</v>
      </c>
      <c r="J613" s="7">
        <v>4.0</v>
      </c>
      <c r="K613" s="7" t="s">
        <v>34</v>
      </c>
      <c r="L613" s="9" t="str">
        <f>VLOOKUP(K613, 'Alphabetical by species code'!A:B, 2, FALSE)</f>
        <v>Erodium cicutarium</v>
      </c>
      <c r="M613" s="9" t="str">
        <f>VLOOKUP(L613, 'Alphabetical by species code'!B:C, 2, FALSE)</f>
        <v>Non-Native</v>
      </c>
    </row>
    <row r="614">
      <c r="A614" s="7">
        <v>7.0</v>
      </c>
      <c r="B614" s="7">
        <v>2025.0</v>
      </c>
      <c r="C614" s="10">
        <v>45764.0</v>
      </c>
      <c r="D614" s="7" t="s">
        <v>69</v>
      </c>
      <c r="E614" s="7" t="s">
        <v>26</v>
      </c>
      <c r="F614" s="7">
        <v>1.0</v>
      </c>
      <c r="G614" s="7" t="s">
        <v>66</v>
      </c>
      <c r="H614" s="7">
        <v>1.0</v>
      </c>
      <c r="I614" s="7">
        <v>8.0</v>
      </c>
      <c r="J614" s="7">
        <v>5.0</v>
      </c>
      <c r="K614" s="7" t="s">
        <v>28</v>
      </c>
      <c r="L614" s="9" t="str">
        <f>VLOOKUP(K614, 'Alphabetical by species code'!A:B, 2, FALSE)</f>
        <v>Litter</v>
      </c>
      <c r="M614" s="9" t="str">
        <f>VLOOKUP(L614, 'Alphabetical by species code'!B:C, 2, FALSE)</f>
        <v>Ground Cover</v>
      </c>
    </row>
    <row r="615">
      <c r="A615" s="7">
        <v>7.0</v>
      </c>
      <c r="B615" s="7">
        <v>2025.0</v>
      </c>
      <c r="C615" s="10">
        <v>45764.0</v>
      </c>
      <c r="D615" s="7" t="s">
        <v>69</v>
      </c>
      <c r="E615" s="7" t="s">
        <v>26</v>
      </c>
      <c r="F615" s="7">
        <v>1.0</v>
      </c>
      <c r="G615" s="7" t="s">
        <v>66</v>
      </c>
      <c r="H615" s="7">
        <v>1.0</v>
      </c>
      <c r="I615" s="7">
        <v>8.0</v>
      </c>
      <c r="J615" s="7">
        <v>5.0</v>
      </c>
      <c r="K615" s="7" t="s">
        <v>49</v>
      </c>
      <c r="L615" s="9" t="str">
        <f>VLOOKUP(K615, 'Alphabetical by species code'!A:B, 2, FALSE)</f>
        <v>Anagallis arvensis</v>
      </c>
      <c r="M615" s="9" t="str">
        <f>VLOOKUP(L615, 'Alphabetical by species code'!B:C, 2, FALSE)</f>
        <v>Non-Native</v>
      </c>
    </row>
    <row r="616">
      <c r="A616" s="7">
        <v>7.0</v>
      </c>
      <c r="B616" s="7">
        <v>2025.0</v>
      </c>
      <c r="C616" s="10">
        <v>45764.0</v>
      </c>
      <c r="D616" s="7" t="s">
        <v>69</v>
      </c>
      <c r="E616" s="7" t="s">
        <v>26</v>
      </c>
      <c r="F616" s="7">
        <v>1.0</v>
      </c>
      <c r="G616" s="7" t="s">
        <v>66</v>
      </c>
      <c r="H616" s="7">
        <v>1.0</v>
      </c>
      <c r="I616" s="7">
        <v>8.0</v>
      </c>
      <c r="J616" s="7">
        <v>5.0</v>
      </c>
      <c r="K616" s="7" t="s">
        <v>48</v>
      </c>
      <c r="L616" s="9" t="str">
        <f>VLOOKUP(K616, 'Alphabetical by species code'!A:B, 2, FALSE)</f>
        <v>Sonchus asper</v>
      </c>
      <c r="M616" s="9" t="str">
        <f>VLOOKUP(L616, 'Alphabetical by species code'!B:C, 2, FALSE)</f>
        <v>Non-Native</v>
      </c>
    </row>
    <row r="617">
      <c r="A617" s="7">
        <v>7.0</v>
      </c>
      <c r="B617" s="7">
        <v>2025.0</v>
      </c>
      <c r="C617" s="10">
        <v>45764.0</v>
      </c>
      <c r="D617" s="7" t="s">
        <v>69</v>
      </c>
      <c r="E617" s="7" t="s">
        <v>26</v>
      </c>
      <c r="F617" s="7">
        <v>1.0</v>
      </c>
      <c r="G617" s="7" t="s">
        <v>66</v>
      </c>
      <c r="H617" s="7">
        <v>1.0</v>
      </c>
      <c r="I617" s="7">
        <v>9.0</v>
      </c>
      <c r="J617" s="7">
        <v>7.0</v>
      </c>
      <c r="K617" s="7" t="s">
        <v>41</v>
      </c>
      <c r="L617" s="9" t="str">
        <f>VLOOKUP(K617, 'Alphabetical by species code'!A:B, 2, FALSE)</f>
        <v>Stem</v>
      </c>
      <c r="M617" s="9" t="str">
        <f>VLOOKUP(L617, 'Alphabetical by species code'!B:C, 2, FALSE)</f>
        <v>Ground Cover</v>
      </c>
    </row>
    <row r="618">
      <c r="A618" s="7">
        <v>7.0</v>
      </c>
      <c r="B618" s="7">
        <v>2025.0</v>
      </c>
      <c r="C618" s="10">
        <v>45764.0</v>
      </c>
      <c r="D618" s="7" t="s">
        <v>69</v>
      </c>
      <c r="E618" s="7" t="s">
        <v>26</v>
      </c>
      <c r="F618" s="7">
        <v>1.0</v>
      </c>
      <c r="G618" s="7" t="s">
        <v>66</v>
      </c>
      <c r="H618" s="7">
        <v>1.0</v>
      </c>
      <c r="I618" s="7">
        <v>9.0</v>
      </c>
      <c r="J618" s="7">
        <v>7.0</v>
      </c>
      <c r="K618" s="7" t="s">
        <v>31</v>
      </c>
      <c r="L618" s="9" t="str">
        <f>VLOOKUP(K618, 'Alphabetical by species code'!A:B, 2, FALSE)</f>
        <v>Festuca myuros</v>
      </c>
      <c r="M618" s="9" t="str">
        <f>VLOOKUP(L618, 'Alphabetical by species code'!B:C, 2, FALSE)</f>
        <v>Non-Native</v>
      </c>
    </row>
    <row r="619">
      <c r="A619" s="7">
        <v>7.0</v>
      </c>
      <c r="B619" s="7">
        <v>2025.0</v>
      </c>
      <c r="C619" s="10">
        <v>45764.0</v>
      </c>
      <c r="D619" s="7" t="s">
        <v>69</v>
      </c>
      <c r="E619" s="7" t="s">
        <v>26</v>
      </c>
      <c r="F619" s="7">
        <v>1.0</v>
      </c>
      <c r="G619" s="7" t="s">
        <v>66</v>
      </c>
      <c r="H619" s="7">
        <v>1.0</v>
      </c>
      <c r="I619" s="7">
        <v>9.0</v>
      </c>
      <c r="J619" s="7">
        <v>7.0</v>
      </c>
      <c r="K619" s="7" t="s">
        <v>34</v>
      </c>
      <c r="L619" s="9" t="str">
        <f>VLOOKUP(K619, 'Alphabetical by species code'!A:B, 2, FALSE)</f>
        <v>Erodium cicutarium</v>
      </c>
      <c r="M619" s="9" t="str">
        <f>VLOOKUP(L619, 'Alphabetical by species code'!B:C, 2, FALSE)</f>
        <v>Non-Native</v>
      </c>
    </row>
    <row r="620">
      <c r="A620" s="7">
        <v>7.0</v>
      </c>
      <c r="B620" s="7">
        <v>2025.0</v>
      </c>
      <c r="C620" s="10">
        <v>45764.0</v>
      </c>
      <c r="D620" s="7" t="s">
        <v>69</v>
      </c>
      <c r="E620" s="7" t="s">
        <v>26</v>
      </c>
      <c r="F620" s="7">
        <v>1.0</v>
      </c>
      <c r="G620" s="7" t="s">
        <v>66</v>
      </c>
      <c r="H620" s="7">
        <v>1.0</v>
      </c>
      <c r="I620" s="7">
        <v>10.0</v>
      </c>
      <c r="J620" s="7">
        <v>8.0</v>
      </c>
      <c r="K620" s="7" t="s">
        <v>28</v>
      </c>
      <c r="L620" s="9" t="str">
        <f>VLOOKUP(K620, 'Alphabetical by species code'!A:B, 2, FALSE)</f>
        <v>Litter</v>
      </c>
      <c r="M620" s="9" t="str">
        <f>VLOOKUP(L620, 'Alphabetical by species code'!B:C, 2, FALSE)</f>
        <v>Ground Cover</v>
      </c>
    </row>
    <row r="621">
      <c r="A621" s="7">
        <v>7.0</v>
      </c>
      <c r="B621" s="7">
        <v>2025.0</v>
      </c>
      <c r="C621" s="10">
        <v>45764.0</v>
      </c>
      <c r="D621" s="7" t="s">
        <v>69</v>
      </c>
      <c r="E621" s="7" t="s">
        <v>26</v>
      </c>
      <c r="F621" s="7">
        <v>1.0</v>
      </c>
      <c r="G621" s="7" t="s">
        <v>66</v>
      </c>
      <c r="H621" s="7">
        <v>1.0</v>
      </c>
      <c r="I621" s="7">
        <v>10.0</v>
      </c>
      <c r="J621" s="7">
        <v>8.0</v>
      </c>
      <c r="K621" s="7" t="s">
        <v>30</v>
      </c>
      <c r="L621" s="9" t="str">
        <f>VLOOKUP(K621, 'Alphabetical by species code'!A:B, 2, FALSE)</f>
        <v>Erodium moschatum</v>
      </c>
      <c r="M621" s="9" t="str">
        <f>VLOOKUP(L621, 'Alphabetical by species code'!B:C, 2, FALSE)</f>
        <v>Non-Native</v>
      </c>
    </row>
    <row r="622">
      <c r="A622" s="7">
        <v>7.0</v>
      </c>
      <c r="B622" s="7">
        <v>2025.0</v>
      </c>
      <c r="C622" s="10">
        <v>45764.0</v>
      </c>
      <c r="D622" s="7" t="s">
        <v>69</v>
      </c>
      <c r="E622" s="7" t="s">
        <v>26</v>
      </c>
      <c r="F622" s="7">
        <v>1.0</v>
      </c>
      <c r="G622" s="7" t="s">
        <v>66</v>
      </c>
      <c r="H622" s="7">
        <v>1.0</v>
      </c>
      <c r="I622" s="7">
        <v>11.0</v>
      </c>
      <c r="J622" s="7">
        <v>8.5</v>
      </c>
      <c r="K622" s="7" t="s">
        <v>28</v>
      </c>
      <c r="L622" s="9" t="str">
        <f>VLOOKUP(K622, 'Alphabetical by species code'!A:B, 2, FALSE)</f>
        <v>Litter</v>
      </c>
      <c r="M622" s="9" t="str">
        <f>VLOOKUP(L622, 'Alphabetical by species code'!B:C, 2, FALSE)</f>
        <v>Ground Cover</v>
      </c>
    </row>
    <row r="623">
      <c r="A623" s="7">
        <v>7.0</v>
      </c>
      <c r="B623" s="7">
        <v>2025.0</v>
      </c>
      <c r="C623" s="10">
        <v>45764.0</v>
      </c>
      <c r="D623" s="7" t="s">
        <v>69</v>
      </c>
      <c r="E623" s="7" t="s">
        <v>26</v>
      </c>
      <c r="F623" s="7">
        <v>1.0</v>
      </c>
      <c r="G623" s="7" t="s">
        <v>66</v>
      </c>
      <c r="H623" s="7">
        <v>1.0</v>
      </c>
      <c r="I623" s="7">
        <v>11.0</v>
      </c>
      <c r="J623" s="7">
        <v>8.5</v>
      </c>
      <c r="K623" s="7" t="s">
        <v>34</v>
      </c>
      <c r="L623" s="9" t="str">
        <f>VLOOKUP(K623, 'Alphabetical by species code'!A:B, 2, FALSE)</f>
        <v>Erodium cicutarium</v>
      </c>
      <c r="M623" s="9" t="str">
        <f>VLOOKUP(L623, 'Alphabetical by species code'!B:C, 2, FALSE)</f>
        <v>Non-Native</v>
      </c>
    </row>
    <row r="624">
      <c r="A624" s="7">
        <v>7.0</v>
      </c>
      <c r="B624" s="7">
        <v>2025.0</v>
      </c>
      <c r="C624" s="10">
        <v>45764.0</v>
      </c>
      <c r="D624" s="7" t="s">
        <v>69</v>
      </c>
      <c r="E624" s="7" t="s">
        <v>26</v>
      </c>
      <c r="F624" s="7">
        <v>1.0</v>
      </c>
      <c r="G624" s="7" t="s">
        <v>66</v>
      </c>
      <c r="H624" s="7">
        <v>1.0</v>
      </c>
      <c r="I624" s="7">
        <v>11.0</v>
      </c>
      <c r="J624" s="7">
        <v>8.5</v>
      </c>
      <c r="K624" s="7" t="s">
        <v>35</v>
      </c>
      <c r="L624" s="9" t="str">
        <f>VLOOKUP(K624, 'Alphabetical by species code'!A:B, 2, FALSE)</f>
        <v>Deinandra fasciculata</v>
      </c>
      <c r="M624" s="9" t="str">
        <f>VLOOKUP(L624, 'Alphabetical by species code'!B:C, 2, FALSE)</f>
        <v>Native</v>
      </c>
    </row>
    <row r="625">
      <c r="A625" s="7">
        <v>7.0</v>
      </c>
      <c r="B625" s="7">
        <v>2025.0</v>
      </c>
      <c r="C625" s="10">
        <v>45764.0</v>
      </c>
      <c r="D625" s="7" t="s">
        <v>69</v>
      </c>
      <c r="E625" s="7" t="s">
        <v>26</v>
      </c>
      <c r="F625" s="7">
        <v>1.0</v>
      </c>
      <c r="G625" s="7" t="s">
        <v>66</v>
      </c>
      <c r="H625" s="7">
        <v>1.0</v>
      </c>
      <c r="I625" s="7">
        <v>11.0</v>
      </c>
      <c r="J625" s="7">
        <v>8.5</v>
      </c>
      <c r="K625" s="7" t="s">
        <v>48</v>
      </c>
      <c r="L625" s="9" t="str">
        <f>VLOOKUP(K625, 'Alphabetical by species code'!A:B, 2, FALSE)</f>
        <v>Sonchus asper</v>
      </c>
      <c r="M625" s="9" t="str">
        <f>VLOOKUP(L625, 'Alphabetical by species code'!B:C, 2, FALSE)</f>
        <v>Non-Native</v>
      </c>
    </row>
    <row r="626">
      <c r="A626" s="7">
        <v>7.0</v>
      </c>
      <c r="B626" s="7">
        <v>2025.0</v>
      </c>
      <c r="C626" s="10">
        <v>45764.0</v>
      </c>
      <c r="D626" s="7" t="s">
        <v>69</v>
      </c>
      <c r="E626" s="7" t="s">
        <v>26</v>
      </c>
      <c r="F626" s="7">
        <v>1.0</v>
      </c>
      <c r="G626" s="7" t="s">
        <v>66</v>
      </c>
      <c r="H626" s="7">
        <v>1.0</v>
      </c>
      <c r="I626" s="7">
        <v>12.0</v>
      </c>
      <c r="J626" s="7">
        <v>9.0</v>
      </c>
      <c r="K626" s="7" t="s">
        <v>28</v>
      </c>
      <c r="L626" s="9" t="str">
        <f>VLOOKUP(K626, 'Alphabetical by species code'!A:B, 2, FALSE)</f>
        <v>Litter</v>
      </c>
      <c r="M626" s="9" t="str">
        <f>VLOOKUP(L626, 'Alphabetical by species code'!B:C, 2, FALSE)</f>
        <v>Ground Cover</v>
      </c>
    </row>
    <row r="627">
      <c r="A627" s="7">
        <v>7.0</v>
      </c>
      <c r="B627" s="7">
        <v>2025.0</v>
      </c>
      <c r="C627" s="10">
        <v>45764.0</v>
      </c>
      <c r="D627" s="7" t="s">
        <v>69</v>
      </c>
      <c r="E627" s="7" t="s">
        <v>26</v>
      </c>
      <c r="F627" s="7">
        <v>1.0</v>
      </c>
      <c r="G627" s="7" t="s">
        <v>66</v>
      </c>
      <c r="H627" s="7">
        <v>1.0</v>
      </c>
      <c r="I627" s="7">
        <v>12.0</v>
      </c>
      <c r="J627" s="7">
        <v>9.0</v>
      </c>
      <c r="K627" s="7" t="s">
        <v>35</v>
      </c>
      <c r="L627" s="9" t="str">
        <f>VLOOKUP(K627, 'Alphabetical by species code'!A:B, 2, FALSE)</f>
        <v>Deinandra fasciculata</v>
      </c>
      <c r="M627" s="9" t="str">
        <f>VLOOKUP(L627, 'Alphabetical by species code'!B:C, 2, FALSE)</f>
        <v>Native</v>
      </c>
    </row>
    <row r="628">
      <c r="A628" s="7">
        <v>7.0</v>
      </c>
      <c r="B628" s="7">
        <v>2025.0</v>
      </c>
      <c r="C628" s="10">
        <v>45764.0</v>
      </c>
      <c r="D628" s="7" t="s">
        <v>69</v>
      </c>
      <c r="E628" s="7" t="s">
        <v>26</v>
      </c>
      <c r="F628" s="7">
        <v>1.0</v>
      </c>
      <c r="G628" s="7" t="s">
        <v>66</v>
      </c>
      <c r="H628" s="7">
        <v>1.0</v>
      </c>
      <c r="I628" s="7">
        <v>12.0</v>
      </c>
      <c r="J628" s="7">
        <v>9.0</v>
      </c>
      <c r="K628" s="7" t="s">
        <v>43</v>
      </c>
      <c r="L628" s="9" t="str">
        <f>VLOOKUP(K628, 'Alphabetical by species code'!A:B, 2, FALSE)</f>
        <v>Uropappus lindleyi</v>
      </c>
      <c r="M628" s="9" t="str">
        <f>VLOOKUP(L628, 'Alphabetical by species code'!B:C, 2, FALSE)</f>
        <v>Native</v>
      </c>
    </row>
    <row r="629">
      <c r="A629" s="7">
        <v>7.0</v>
      </c>
      <c r="B629" s="7">
        <v>2025.0</v>
      </c>
      <c r="C629" s="10">
        <v>45764.0</v>
      </c>
      <c r="D629" s="7" t="s">
        <v>69</v>
      </c>
      <c r="E629" s="7" t="s">
        <v>26</v>
      </c>
      <c r="F629" s="7">
        <v>1.0</v>
      </c>
      <c r="G629" s="7" t="s">
        <v>66</v>
      </c>
      <c r="H629" s="7">
        <v>1.0</v>
      </c>
      <c r="I629" s="7">
        <v>13.0</v>
      </c>
      <c r="J629" s="7">
        <v>10.0</v>
      </c>
      <c r="K629" s="7" t="s">
        <v>38</v>
      </c>
      <c r="L629" s="9" t="str">
        <f>VLOOKUP(K629, 'Alphabetical by species code'!A:B, 2, FALSE)</f>
        <v>Thatch</v>
      </c>
      <c r="M629" s="9" t="str">
        <f>VLOOKUP(L629, 'Alphabetical by species code'!B:C, 2, FALSE)</f>
        <v>Ground Cover</v>
      </c>
    </row>
    <row r="630">
      <c r="A630" s="7">
        <v>7.0</v>
      </c>
      <c r="B630" s="7">
        <v>2025.0</v>
      </c>
      <c r="C630" s="10">
        <v>45764.0</v>
      </c>
      <c r="D630" s="7" t="s">
        <v>69</v>
      </c>
      <c r="E630" s="7" t="s">
        <v>26</v>
      </c>
      <c r="F630" s="7">
        <v>1.0</v>
      </c>
      <c r="G630" s="7" t="s">
        <v>66</v>
      </c>
      <c r="H630" s="7">
        <v>1.0</v>
      </c>
      <c r="I630" s="7">
        <v>13.0</v>
      </c>
      <c r="J630" s="7">
        <v>10.0</v>
      </c>
      <c r="K630" s="7" t="s">
        <v>70</v>
      </c>
      <c r="L630" s="9" t="str">
        <f>VLOOKUP(K630, 'Alphabetical by species code'!A:B, 2, FALSE)</f>
        <v>Lupinus succulentus</v>
      </c>
      <c r="M630" s="9" t="str">
        <f>VLOOKUP(L630, 'Alphabetical by species code'!B:C, 2, FALSE)</f>
        <v>Native</v>
      </c>
    </row>
    <row r="631">
      <c r="A631" s="7">
        <v>7.0</v>
      </c>
      <c r="B631" s="7">
        <v>2025.0</v>
      </c>
      <c r="C631" s="10">
        <v>45764.0</v>
      </c>
      <c r="D631" s="7" t="s">
        <v>69</v>
      </c>
      <c r="E631" s="7" t="s">
        <v>26</v>
      </c>
      <c r="F631" s="7">
        <v>1.0</v>
      </c>
      <c r="G631" s="7" t="s">
        <v>66</v>
      </c>
      <c r="H631" s="7">
        <v>1.0</v>
      </c>
      <c r="I631" s="7">
        <v>13.0</v>
      </c>
      <c r="J631" s="7">
        <v>10.0</v>
      </c>
      <c r="K631" s="7" t="s">
        <v>35</v>
      </c>
      <c r="L631" s="9" t="str">
        <f>VLOOKUP(K631, 'Alphabetical by species code'!A:B, 2, FALSE)</f>
        <v>Deinandra fasciculata</v>
      </c>
      <c r="M631" s="9" t="str">
        <f>VLOOKUP(L631, 'Alphabetical by species code'!B:C, 2, FALSE)</f>
        <v>Native</v>
      </c>
    </row>
    <row r="632">
      <c r="A632" s="7">
        <v>7.0</v>
      </c>
      <c r="B632" s="7">
        <v>2025.0</v>
      </c>
      <c r="C632" s="10">
        <v>45764.0</v>
      </c>
      <c r="D632" s="7" t="s">
        <v>69</v>
      </c>
      <c r="E632" s="7" t="s">
        <v>26</v>
      </c>
      <c r="F632" s="7">
        <v>1.0</v>
      </c>
      <c r="G632" s="7" t="s">
        <v>66</v>
      </c>
      <c r="H632" s="7">
        <v>1.0</v>
      </c>
      <c r="I632" s="7">
        <v>14.0</v>
      </c>
      <c r="J632" s="7">
        <v>11.0</v>
      </c>
      <c r="K632" s="7" t="s">
        <v>28</v>
      </c>
      <c r="L632" s="9" t="str">
        <f>VLOOKUP(K632, 'Alphabetical by species code'!A:B, 2, FALSE)</f>
        <v>Litter</v>
      </c>
      <c r="M632" s="9" t="str">
        <f>VLOOKUP(L632, 'Alphabetical by species code'!B:C, 2, FALSE)</f>
        <v>Ground Cover</v>
      </c>
    </row>
    <row r="633">
      <c r="A633" s="7">
        <v>7.0</v>
      </c>
      <c r="B633" s="7">
        <v>2025.0</v>
      </c>
      <c r="C633" s="10">
        <v>45764.0</v>
      </c>
      <c r="D633" s="7" t="s">
        <v>69</v>
      </c>
      <c r="E633" s="7" t="s">
        <v>26</v>
      </c>
      <c r="F633" s="7">
        <v>1.0</v>
      </c>
      <c r="G633" s="7" t="s">
        <v>66</v>
      </c>
      <c r="H633" s="7">
        <v>1.0</v>
      </c>
      <c r="I633" s="7">
        <v>14.0</v>
      </c>
      <c r="J633" s="7">
        <v>11.0</v>
      </c>
      <c r="K633" s="7" t="s">
        <v>30</v>
      </c>
      <c r="L633" s="9" t="str">
        <f>VLOOKUP(K633, 'Alphabetical by species code'!A:B, 2, FALSE)</f>
        <v>Erodium moschatum</v>
      </c>
      <c r="M633" s="9" t="str">
        <f>VLOOKUP(L633, 'Alphabetical by species code'!B:C, 2, FALSE)</f>
        <v>Non-Native</v>
      </c>
    </row>
    <row r="634">
      <c r="A634" s="7">
        <v>7.0</v>
      </c>
      <c r="B634" s="7">
        <v>2025.0</v>
      </c>
      <c r="C634" s="10">
        <v>45764.0</v>
      </c>
      <c r="D634" s="7" t="s">
        <v>69</v>
      </c>
      <c r="E634" s="7" t="s">
        <v>26</v>
      </c>
      <c r="F634" s="7">
        <v>1.0</v>
      </c>
      <c r="G634" s="7" t="s">
        <v>66</v>
      </c>
      <c r="H634" s="7">
        <v>1.0</v>
      </c>
      <c r="I634" s="7">
        <v>15.0</v>
      </c>
      <c r="J634" s="7">
        <v>12.0</v>
      </c>
      <c r="K634" s="7" t="s">
        <v>28</v>
      </c>
      <c r="L634" s="9" t="str">
        <f>VLOOKUP(K634, 'Alphabetical by species code'!A:B, 2, FALSE)</f>
        <v>Litter</v>
      </c>
      <c r="M634" s="9" t="str">
        <f>VLOOKUP(L634, 'Alphabetical by species code'!B:C, 2, FALSE)</f>
        <v>Ground Cover</v>
      </c>
    </row>
    <row r="635">
      <c r="A635" s="7">
        <v>7.0</v>
      </c>
      <c r="B635" s="7">
        <v>2025.0</v>
      </c>
      <c r="C635" s="10">
        <v>45764.0</v>
      </c>
      <c r="D635" s="7" t="s">
        <v>69</v>
      </c>
      <c r="E635" s="7" t="s">
        <v>26</v>
      </c>
      <c r="F635" s="7">
        <v>1.0</v>
      </c>
      <c r="G635" s="7" t="s">
        <v>66</v>
      </c>
      <c r="H635" s="7">
        <v>1.0</v>
      </c>
      <c r="I635" s="7">
        <v>15.0</v>
      </c>
      <c r="J635" s="7">
        <v>12.0</v>
      </c>
      <c r="K635" s="7" t="s">
        <v>40</v>
      </c>
      <c r="L635" s="9" t="str">
        <f>VLOOKUP(K635, 'Alphabetical by species code'!A:B, 2, FALSE)</f>
        <v>Cylindropuntia prolifera</v>
      </c>
      <c r="M635" s="9" t="str">
        <f>VLOOKUP(L635, 'Alphabetical by species code'!B:C, 2, FALSE)</f>
        <v>Native</v>
      </c>
    </row>
    <row r="636">
      <c r="A636" s="7">
        <v>7.0</v>
      </c>
      <c r="B636" s="7">
        <v>2025.0</v>
      </c>
      <c r="C636" s="10">
        <v>45764.0</v>
      </c>
      <c r="D636" s="7" t="s">
        <v>69</v>
      </c>
      <c r="E636" s="7" t="s">
        <v>26</v>
      </c>
      <c r="F636" s="7">
        <v>1.0</v>
      </c>
      <c r="G636" s="7" t="s">
        <v>66</v>
      </c>
      <c r="H636" s="7">
        <v>2.0</v>
      </c>
      <c r="I636" s="7">
        <v>1.0</v>
      </c>
      <c r="J636" s="7">
        <v>0.0</v>
      </c>
      <c r="K636" s="7" t="s">
        <v>51</v>
      </c>
      <c r="L636" s="9" t="str">
        <f>VLOOKUP(K636, 'Alphabetical by species code'!A:B, 2, FALSE)</f>
        <v>Bareground</v>
      </c>
      <c r="M636" s="9" t="str">
        <f>VLOOKUP(L636, 'Alphabetical by species code'!B:C, 2, FALSE)</f>
        <v>Ground Cover</v>
      </c>
    </row>
    <row r="637">
      <c r="A637" s="7">
        <v>7.0</v>
      </c>
      <c r="B637" s="7">
        <v>2025.0</v>
      </c>
      <c r="C637" s="10">
        <v>45764.0</v>
      </c>
      <c r="D637" s="7" t="s">
        <v>69</v>
      </c>
      <c r="E637" s="7" t="s">
        <v>26</v>
      </c>
      <c r="F637" s="7">
        <v>1.0</v>
      </c>
      <c r="G637" s="7" t="s">
        <v>66</v>
      </c>
      <c r="H637" s="7">
        <v>2.0</v>
      </c>
      <c r="I637" s="7">
        <v>1.0</v>
      </c>
      <c r="J637" s="7">
        <v>0.0</v>
      </c>
      <c r="K637" s="7" t="s">
        <v>34</v>
      </c>
      <c r="L637" s="9" t="str">
        <f>VLOOKUP(K637, 'Alphabetical by species code'!A:B, 2, FALSE)</f>
        <v>Erodium cicutarium</v>
      </c>
      <c r="M637" s="9" t="str">
        <f>VLOOKUP(L637, 'Alphabetical by species code'!B:C, 2, FALSE)</f>
        <v>Non-Native</v>
      </c>
    </row>
    <row r="638">
      <c r="A638" s="7">
        <v>7.0</v>
      </c>
      <c r="B638" s="7">
        <v>2025.0</v>
      </c>
      <c r="C638" s="10">
        <v>45764.0</v>
      </c>
      <c r="D638" s="7" t="s">
        <v>69</v>
      </c>
      <c r="E638" s="7" t="s">
        <v>26</v>
      </c>
      <c r="F638" s="7">
        <v>1.0</v>
      </c>
      <c r="G638" s="7" t="s">
        <v>66</v>
      </c>
      <c r="H638" s="7">
        <v>2.0</v>
      </c>
      <c r="I638" s="7">
        <v>2.0</v>
      </c>
      <c r="J638" s="7">
        <v>1.0</v>
      </c>
      <c r="K638" s="7" t="s">
        <v>28</v>
      </c>
      <c r="L638" s="9" t="str">
        <f>VLOOKUP(K638, 'Alphabetical by species code'!A:B, 2, FALSE)</f>
        <v>Litter</v>
      </c>
      <c r="M638" s="9" t="str">
        <f>VLOOKUP(L638, 'Alphabetical by species code'!B:C, 2, FALSE)</f>
        <v>Ground Cover</v>
      </c>
    </row>
    <row r="639">
      <c r="A639" s="7">
        <v>7.0</v>
      </c>
      <c r="B639" s="7">
        <v>2025.0</v>
      </c>
      <c r="C639" s="10">
        <v>45764.0</v>
      </c>
      <c r="D639" s="7" t="s">
        <v>69</v>
      </c>
      <c r="E639" s="7" t="s">
        <v>26</v>
      </c>
      <c r="F639" s="7">
        <v>1.0</v>
      </c>
      <c r="G639" s="7" t="s">
        <v>66</v>
      </c>
      <c r="H639" s="7">
        <v>2.0</v>
      </c>
      <c r="I639" s="7">
        <v>2.0</v>
      </c>
      <c r="J639" s="7">
        <v>1.0</v>
      </c>
      <c r="K639" s="7" t="s">
        <v>30</v>
      </c>
      <c r="L639" s="9" t="str">
        <f>VLOOKUP(K639, 'Alphabetical by species code'!A:B, 2, FALSE)</f>
        <v>Erodium moschatum</v>
      </c>
      <c r="M639" s="9" t="str">
        <f>VLOOKUP(L639, 'Alphabetical by species code'!B:C, 2, FALSE)</f>
        <v>Non-Native</v>
      </c>
    </row>
    <row r="640">
      <c r="A640" s="7">
        <v>7.0</v>
      </c>
      <c r="B640" s="7">
        <v>2025.0</v>
      </c>
      <c r="C640" s="10">
        <v>45764.0</v>
      </c>
      <c r="D640" s="7" t="s">
        <v>69</v>
      </c>
      <c r="E640" s="7" t="s">
        <v>26</v>
      </c>
      <c r="F640" s="7">
        <v>1.0</v>
      </c>
      <c r="G640" s="7" t="s">
        <v>66</v>
      </c>
      <c r="H640" s="7">
        <v>2.0</v>
      </c>
      <c r="I640" s="7">
        <v>2.0</v>
      </c>
      <c r="J640" s="7">
        <v>1.0</v>
      </c>
      <c r="K640" s="7" t="s">
        <v>33</v>
      </c>
      <c r="L640" s="9" t="str">
        <f>VLOOKUP(K640, 'Alphabetical by species code'!A:B, 2, FALSE)</f>
        <v>Unknown non-native grass</v>
      </c>
      <c r="M640" s="9" t="str">
        <f>VLOOKUP(L640, 'Alphabetical by species code'!B:C, 2, FALSE)</f>
        <v/>
      </c>
    </row>
    <row r="641">
      <c r="A641" s="7">
        <v>7.0</v>
      </c>
      <c r="B641" s="7">
        <v>2025.0</v>
      </c>
      <c r="C641" s="10">
        <v>45764.0</v>
      </c>
      <c r="D641" s="7" t="s">
        <v>69</v>
      </c>
      <c r="E641" s="7" t="s">
        <v>26</v>
      </c>
      <c r="F641" s="7">
        <v>1.0</v>
      </c>
      <c r="G641" s="7" t="s">
        <v>66</v>
      </c>
      <c r="H641" s="7">
        <v>2.0</v>
      </c>
      <c r="I641" s="7">
        <v>3.0</v>
      </c>
      <c r="J641" s="7">
        <v>1.5</v>
      </c>
      <c r="K641" s="7" t="s">
        <v>51</v>
      </c>
      <c r="L641" s="9" t="str">
        <f>VLOOKUP(K641, 'Alphabetical by species code'!A:B, 2, FALSE)</f>
        <v>Bareground</v>
      </c>
      <c r="M641" s="9" t="str">
        <f>VLOOKUP(L641, 'Alphabetical by species code'!B:C, 2, FALSE)</f>
        <v>Ground Cover</v>
      </c>
    </row>
    <row r="642">
      <c r="A642" s="7">
        <v>7.0</v>
      </c>
      <c r="B642" s="7">
        <v>2025.0</v>
      </c>
      <c r="C642" s="10">
        <v>45764.0</v>
      </c>
      <c r="D642" s="7" t="s">
        <v>69</v>
      </c>
      <c r="E642" s="7" t="s">
        <v>26</v>
      </c>
      <c r="F642" s="7">
        <v>1.0</v>
      </c>
      <c r="G642" s="7" t="s">
        <v>66</v>
      </c>
      <c r="H642" s="7">
        <v>2.0</v>
      </c>
      <c r="I642" s="7">
        <v>3.0</v>
      </c>
      <c r="J642" s="7">
        <v>1.5</v>
      </c>
      <c r="K642" s="7" t="s">
        <v>35</v>
      </c>
      <c r="L642" s="9" t="str">
        <f>VLOOKUP(K642, 'Alphabetical by species code'!A:B, 2, FALSE)</f>
        <v>Deinandra fasciculata</v>
      </c>
      <c r="M642" s="9" t="str">
        <f>VLOOKUP(L642, 'Alphabetical by species code'!B:C, 2, FALSE)</f>
        <v>Native</v>
      </c>
    </row>
    <row r="643">
      <c r="A643" s="7">
        <v>7.0</v>
      </c>
      <c r="B643" s="7">
        <v>2025.0</v>
      </c>
      <c r="C643" s="10">
        <v>45764.0</v>
      </c>
      <c r="D643" s="7" t="s">
        <v>69</v>
      </c>
      <c r="E643" s="7" t="s">
        <v>26</v>
      </c>
      <c r="F643" s="7">
        <v>1.0</v>
      </c>
      <c r="G643" s="7" t="s">
        <v>66</v>
      </c>
      <c r="H643" s="7">
        <v>2.0</v>
      </c>
      <c r="I643" s="7">
        <v>4.0</v>
      </c>
      <c r="J643" s="7">
        <v>2.0</v>
      </c>
      <c r="K643" s="7" t="s">
        <v>28</v>
      </c>
      <c r="L643" s="9" t="str">
        <f>VLOOKUP(K643, 'Alphabetical by species code'!A:B, 2, FALSE)</f>
        <v>Litter</v>
      </c>
      <c r="M643" s="9" t="str">
        <f>VLOOKUP(L643, 'Alphabetical by species code'!B:C, 2, FALSE)</f>
        <v>Ground Cover</v>
      </c>
    </row>
    <row r="644">
      <c r="A644" s="7">
        <v>7.0</v>
      </c>
      <c r="B644" s="7">
        <v>2025.0</v>
      </c>
      <c r="C644" s="10">
        <v>45764.0</v>
      </c>
      <c r="D644" s="7" t="s">
        <v>69</v>
      </c>
      <c r="E644" s="7" t="s">
        <v>26</v>
      </c>
      <c r="F644" s="7">
        <v>1.0</v>
      </c>
      <c r="G644" s="7" t="s">
        <v>66</v>
      </c>
      <c r="H644" s="7">
        <v>2.0</v>
      </c>
      <c r="I644" s="7">
        <v>4.0</v>
      </c>
      <c r="J644" s="7">
        <v>2.0</v>
      </c>
      <c r="K644" s="7" t="s">
        <v>31</v>
      </c>
      <c r="L644" s="9" t="str">
        <f>VLOOKUP(K644, 'Alphabetical by species code'!A:B, 2, FALSE)</f>
        <v>Festuca myuros</v>
      </c>
      <c r="M644" s="9" t="str">
        <f>VLOOKUP(L644, 'Alphabetical by species code'!B:C, 2, FALSE)</f>
        <v>Non-Native</v>
      </c>
    </row>
    <row r="645">
      <c r="A645" s="7">
        <v>7.0</v>
      </c>
      <c r="B645" s="7">
        <v>2025.0</v>
      </c>
      <c r="C645" s="10">
        <v>45764.0</v>
      </c>
      <c r="D645" s="7" t="s">
        <v>69</v>
      </c>
      <c r="E645" s="7" t="s">
        <v>26</v>
      </c>
      <c r="F645" s="7">
        <v>1.0</v>
      </c>
      <c r="G645" s="7" t="s">
        <v>66</v>
      </c>
      <c r="H645" s="7">
        <v>2.0</v>
      </c>
      <c r="I645" s="7">
        <v>5.0</v>
      </c>
      <c r="J645" s="7">
        <v>3.0</v>
      </c>
      <c r="K645" s="7" t="s">
        <v>28</v>
      </c>
      <c r="L645" s="9" t="str">
        <f>VLOOKUP(K645, 'Alphabetical by species code'!A:B, 2, FALSE)</f>
        <v>Litter</v>
      </c>
      <c r="M645" s="9" t="str">
        <f>VLOOKUP(L645, 'Alphabetical by species code'!B:C, 2, FALSE)</f>
        <v>Ground Cover</v>
      </c>
    </row>
    <row r="646">
      <c r="A646" s="7">
        <v>7.0</v>
      </c>
      <c r="B646" s="7">
        <v>2025.0</v>
      </c>
      <c r="C646" s="10">
        <v>45764.0</v>
      </c>
      <c r="D646" s="7" t="s">
        <v>69</v>
      </c>
      <c r="E646" s="7" t="s">
        <v>26</v>
      </c>
      <c r="F646" s="7">
        <v>1.0</v>
      </c>
      <c r="G646" s="7" t="s">
        <v>66</v>
      </c>
      <c r="H646" s="7">
        <v>2.0</v>
      </c>
      <c r="I646" s="7">
        <v>5.0</v>
      </c>
      <c r="J646" s="7">
        <v>3.0</v>
      </c>
      <c r="K646" s="7" t="s">
        <v>30</v>
      </c>
      <c r="L646" s="9" t="str">
        <f>VLOOKUP(K646, 'Alphabetical by species code'!A:B, 2, FALSE)</f>
        <v>Erodium moschatum</v>
      </c>
      <c r="M646" s="9" t="str">
        <f>VLOOKUP(L646, 'Alphabetical by species code'!B:C, 2, FALSE)</f>
        <v>Non-Native</v>
      </c>
    </row>
    <row r="647">
      <c r="A647" s="7">
        <v>7.0</v>
      </c>
      <c r="B647" s="7">
        <v>2025.0</v>
      </c>
      <c r="C647" s="10">
        <v>45764.0</v>
      </c>
      <c r="D647" s="7" t="s">
        <v>69</v>
      </c>
      <c r="E647" s="7" t="s">
        <v>26</v>
      </c>
      <c r="F647" s="7">
        <v>1.0</v>
      </c>
      <c r="G647" s="7" t="s">
        <v>66</v>
      </c>
      <c r="H647" s="7">
        <v>2.0</v>
      </c>
      <c r="I647" s="7">
        <v>6.0</v>
      </c>
      <c r="J647" s="7">
        <v>3.5</v>
      </c>
      <c r="K647" s="7" t="s">
        <v>28</v>
      </c>
      <c r="L647" s="9" t="str">
        <f>VLOOKUP(K647, 'Alphabetical by species code'!A:B, 2, FALSE)</f>
        <v>Litter</v>
      </c>
      <c r="M647" s="9" t="str">
        <f>VLOOKUP(L647, 'Alphabetical by species code'!B:C, 2, FALSE)</f>
        <v>Ground Cover</v>
      </c>
    </row>
    <row r="648">
      <c r="A648" s="7">
        <v>7.0</v>
      </c>
      <c r="B648" s="7">
        <v>2025.0</v>
      </c>
      <c r="C648" s="10">
        <v>45764.0</v>
      </c>
      <c r="D648" s="7" t="s">
        <v>69</v>
      </c>
      <c r="E648" s="7" t="s">
        <v>26</v>
      </c>
      <c r="F648" s="7">
        <v>1.0</v>
      </c>
      <c r="G648" s="7" t="s">
        <v>66</v>
      </c>
      <c r="H648" s="7">
        <v>2.0</v>
      </c>
      <c r="I648" s="7">
        <v>6.0</v>
      </c>
      <c r="J648" s="7">
        <v>3.5</v>
      </c>
      <c r="K648" s="7" t="s">
        <v>35</v>
      </c>
      <c r="L648" s="9" t="str">
        <f>VLOOKUP(K648, 'Alphabetical by species code'!A:B, 2, FALSE)</f>
        <v>Deinandra fasciculata</v>
      </c>
      <c r="M648" s="9" t="str">
        <f>VLOOKUP(L648, 'Alphabetical by species code'!B:C, 2, FALSE)</f>
        <v>Native</v>
      </c>
    </row>
    <row r="649">
      <c r="A649" s="7">
        <v>7.0</v>
      </c>
      <c r="B649" s="7">
        <v>2025.0</v>
      </c>
      <c r="C649" s="10">
        <v>45764.0</v>
      </c>
      <c r="D649" s="7" t="s">
        <v>69</v>
      </c>
      <c r="E649" s="7" t="s">
        <v>26</v>
      </c>
      <c r="F649" s="7">
        <v>1.0</v>
      </c>
      <c r="G649" s="7" t="s">
        <v>66</v>
      </c>
      <c r="H649" s="7">
        <v>2.0</v>
      </c>
      <c r="I649" s="7">
        <v>7.0</v>
      </c>
      <c r="J649" s="7">
        <v>4.0</v>
      </c>
      <c r="K649" s="7" t="s">
        <v>28</v>
      </c>
      <c r="L649" s="9" t="str">
        <f>VLOOKUP(K649, 'Alphabetical by species code'!A:B, 2, FALSE)</f>
        <v>Litter</v>
      </c>
      <c r="M649" s="9" t="str">
        <f>VLOOKUP(L649, 'Alphabetical by species code'!B:C, 2, FALSE)</f>
        <v>Ground Cover</v>
      </c>
    </row>
    <row r="650">
      <c r="A650" s="7">
        <v>7.0</v>
      </c>
      <c r="B650" s="7">
        <v>2025.0</v>
      </c>
      <c r="C650" s="10">
        <v>45764.0</v>
      </c>
      <c r="D650" s="7" t="s">
        <v>69</v>
      </c>
      <c r="E650" s="7" t="s">
        <v>26</v>
      </c>
      <c r="F650" s="7">
        <v>1.0</v>
      </c>
      <c r="G650" s="7" t="s">
        <v>66</v>
      </c>
      <c r="H650" s="7">
        <v>2.0</v>
      </c>
      <c r="I650" s="7">
        <v>7.0</v>
      </c>
      <c r="J650" s="7">
        <v>4.0</v>
      </c>
      <c r="K650" s="7" t="s">
        <v>30</v>
      </c>
      <c r="L650" s="9" t="str">
        <f>VLOOKUP(K650, 'Alphabetical by species code'!A:B, 2, FALSE)</f>
        <v>Erodium moschatum</v>
      </c>
      <c r="M650" s="9" t="str">
        <f>VLOOKUP(L650, 'Alphabetical by species code'!B:C, 2, FALSE)</f>
        <v>Non-Native</v>
      </c>
    </row>
    <row r="651">
      <c r="A651" s="7">
        <v>7.0</v>
      </c>
      <c r="B651" s="7">
        <v>2025.0</v>
      </c>
      <c r="C651" s="10">
        <v>45764.0</v>
      </c>
      <c r="D651" s="7" t="s">
        <v>69</v>
      </c>
      <c r="E651" s="7" t="s">
        <v>26</v>
      </c>
      <c r="F651" s="7">
        <v>1.0</v>
      </c>
      <c r="G651" s="7" t="s">
        <v>66</v>
      </c>
      <c r="H651" s="7">
        <v>2.0</v>
      </c>
      <c r="I651" s="7">
        <v>8.0</v>
      </c>
      <c r="J651" s="7">
        <v>5.0</v>
      </c>
      <c r="K651" s="7" t="s">
        <v>28</v>
      </c>
      <c r="L651" s="9" t="str">
        <f>VLOOKUP(K651, 'Alphabetical by species code'!A:B, 2, FALSE)</f>
        <v>Litter</v>
      </c>
      <c r="M651" s="9" t="str">
        <f>VLOOKUP(L651, 'Alphabetical by species code'!B:C, 2, FALSE)</f>
        <v>Ground Cover</v>
      </c>
    </row>
    <row r="652">
      <c r="A652" s="7">
        <v>7.0</v>
      </c>
      <c r="B652" s="7">
        <v>2025.0</v>
      </c>
      <c r="C652" s="10">
        <v>45764.0</v>
      </c>
      <c r="D652" s="7" t="s">
        <v>69</v>
      </c>
      <c r="E652" s="7" t="s">
        <v>26</v>
      </c>
      <c r="F652" s="7">
        <v>1.0</v>
      </c>
      <c r="G652" s="7" t="s">
        <v>66</v>
      </c>
      <c r="H652" s="7">
        <v>2.0</v>
      </c>
      <c r="I652" s="7">
        <v>8.0</v>
      </c>
      <c r="J652" s="7">
        <v>5.0</v>
      </c>
      <c r="K652" s="7" t="s">
        <v>30</v>
      </c>
      <c r="L652" s="9" t="str">
        <f>VLOOKUP(K652, 'Alphabetical by species code'!A:B, 2, FALSE)</f>
        <v>Erodium moschatum</v>
      </c>
      <c r="M652" s="9" t="str">
        <f>VLOOKUP(L652, 'Alphabetical by species code'!B:C, 2, FALSE)</f>
        <v>Non-Native</v>
      </c>
    </row>
    <row r="653">
      <c r="A653" s="7">
        <v>7.0</v>
      </c>
      <c r="B653" s="7">
        <v>2025.0</v>
      </c>
      <c r="C653" s="10">
        <v>45764.0</v>
      </c>
      <c r="D653" s="7" t="s">
        <v>69</v>
      </c>
      <c r="E653" s="7" t="s">
        <v>26</v>
      </c>
      <c r="F653" s="7">
        <v>1.0</v>
      </c>
      <c r="G653" s="7" t="s">
        <v>66</v>
      </c>
      <c r="H653" s="7">
        <v>2.0</v>
      </c>
      <c r="I653" s="7">
        <v>8.0</v>
      </c>
      <c r="J653" s="7">
        <v>5.0</v>
      </c>
      <c r="K653" s="7" t="s">
        <v>37</v>
      </c>
      <c r="L653" s="9" t="str">
        <f>VLOOKUP(K653, 'Alphabetical by species code'!A:B, 2, FALSE)</f>
        <v>Sonchus oleraceus</v>
      </c>
      <c r="M653" s="9" t="str">
        <f>VLOOKUP(L653, 'Alphabetical by species code'!B:C, 2, FALSE)</f>
        <v>Non-Native</v>
      </c>
    </row>
    <row r="654">
      <c r="A654" s="7">
        <v>7.0</v>
      </c>
      <c r="B654" s="7">
        <v>2025.0</v>
      </c>
      <c r="C654" s="10">
        <v>45764.0</v>
      </c>
      <c r="D654" s="7" t="s">
        <v>69</v>
      </c>
      <c r="E654" s="7" t="s">
        <v>26</v>
      </c>
      <c r="F654" s="7">
        <v>1.0</v>
      </c>
      <c r="G654" s="7" t="s">
        <v>66</v>
      </c>
      <c r="H654" s="7">
        <v>2.0</v>
      </c>
      <c r="I654" s="7">
        <v>9.0</v>
      </c>
      <c r="J654" s="7">
        <v>7.0</v>
      </c>
      <c r="K654" s="7" t="s">
        <v>28</v>
      </c>
      <c r="L654" s="9" t="str">
        <f>VLOOKUP(K654, 'Alphabetical by species code'!A:B, 2, FALSE)</f>
        <v>Litter</v>
      </c>
      <c r="M654" s="9" t="str">
        <f>VLOOKUP(L654, 'Alphabetical by species code'!B:C, 2, FALSE)</f>
        <v>Ground Cover</v>
      </c>
    </row>
    <row r="655">
      <c r="A655" s="7">
        <v>7.0</v>
      </c>
      <c r="B655" s="7">
        <v>2025.0</v>
      </c>
      <c r="C655" s="10">
        <v>45764.0</v>
      </c>
      <c r="D655" s="7" t="s">
        <v>69</v>
      </c>
      <c r="E655" s="7" t="s">
        <v>26</v>
      </c>
      <c r="F655" s="7">
        <v>1.0</v>
      </c>
      <c r="G655" s="7" t="s">
        <v>66</v>
      </c>
      <c r="H655" s="7">
        <v>2.0</v>
      </c>
      <c r="I655" s="7">
        <v>9.0</v>
      </c>
      <c r="J655" s="7">
        <v>7.0</v>
      </c>
      <c r="K655" s="7" t="s">
        <v>42</v>
      </c>
      <c r="L655" s="9" t="str">
        <f>VLOOKUP(K655, 'Alphabetical by species code'!A:B, 2, FALSE)</f>
        <v>Centaurea melitensis</v>
      </c>
      <c r="M655" s="9" t="str">
        <f>VLOOKUP(L655, 'Alphabetical by species code'!B:C, 2, FALSE)</f>
        <v>Non-Native</v>
      </c>
    </row>
    <row r="656">
      <c r="A656" s="7">
        <v>7.0</v>
      </c>
      <c r="B656" s="7">
        <v>2025.0</v>
      </c>
      <c r="C656" s="10">
        <v>45764.0</v>
      </c>
      <c r="D656" s="7" t="s">
        <v>69</v>
      </c>
      <c r="E656" s="7" t="s">
        <v>26</v>
      </c>
      <c r="F656" s="7">
        <v>1.0</v>
      </c>
      <c r="G656" s="7" t="s">
        <v>66</v>
      </c>
      <c r="H656" s="7">
        <v>2.0</v>
      </c>
      <c r="I656" s="7">
        <v>9.0</v>
      </c>
      <c r="J656" s="7">
        <v>7.0</v>
      </c>
      <c r="K656" s="7" t="s">
        <v>43</v>
      </c>
      <c r="L656" s="9" t="str">
        <f>VLOOKUP(K656, 'Alphabetical by species code'!A:B, 2, FALSE)</f>
        <v>Uropappus lindleyi</v>
      </c>
      <c r="M656" s="9" t="str">
        <f>VLOOKUP(L656, 'Alphabetical by species code'!B:C, 2, FALSE)</f>
        <v>Native</v>
      </c>
    </row>
    <row r="657">
      <c r="A657" s="7">
        <v>7.0</v>
      </c>
      <c r="B657" s="7">
        <v>2025.0</v>
      </c>
      <c r="C657" s="10">
        <v>45764.0</v>
      </c>
      <c r="D657" s="7" t="s">
        <v>69</v>
      </c>
      <c r="E657" s="7" t="s">
        <v>26</v>
      </c>
      <c r="F657" s="7">
        <v>1.0</v>
      </c>
      <c r="G657" s="7" t="s">
        <v>66</v>
      </c>
      <c r="H657" s="7">
        <v>2.0</v>
      </c>
      <c r="I657" s="7">
        <v>9.0</v>
      </c>
      <c r="J657" s="7">
        <v>7.0</v>
      </c>
      <c r="K657" s="7" t="s">
        <v>30</v>
      </c>
      <c r="L657" s="9" t="str">
        <f>VLOOKUP(K657, 'Alphabetical by species code'!A:B, 2, FALSE)</f>
        <v>Erodium moschatum</v>
      </c>
      <c r="M657" s="9" t="str">
        <f>VLOOKUP(L657, 'Alphabetical by species code'!B:C, 2, FALSE)</f>
        <v>Non-Native</v>
      </c>
    </row>
    <row r="658">
      <c r="A658" s="7">
        <v>7.0</v>
      </c>
      <c r="B658" s="7">
        <v>2025.0</v>
      </c>
      <c r="C658" s="10">
        <v>45764.0</v>
      </c>
      <c r="D658" s="7" t="s">
        <v>69</v>
      </c>
      <c r="E658" s="7" t="s">
        <v>26</v>
      </c>
      <c r="F658" s="7">
        <v>1.0</v>
      </c>
      <c r="G658" s="7" t="s">
        <v>66</v>
      </c>
      <c r="H658" s="7">
        <v>2.0</v>
      </c>
      <c r="I658" s="7">
        <v>10.0</v>
      </c>
      <c r="J658" s="7">
        <v>8.0</v>
      </c>
      <c r="K658" s="7" t="s">
        <v>28</v>
      </c>
      <c r="L658" s="9" t="str">
        <f>VLOOKUP(K658, 'Alphabetical by species code'!A:B, 2, FALSE)</f>
        <v>Litter</v>
      </c>
      <c r="M658" s="9" t="str">
        <f>VLOOKUP(L658, 'Alphabetical by species code'!B:C, 2, FALSE)</f>
        <v>Ground Cover</v>
      </c>
    </row>
    <row r="659">
      <c r="A659" s="7">
        <v>7.0</v>
      </c>
      <c r="B659" s="7">
        <v>2025.0</v>
      </c>
      <c r="C659" s="10">
        <v>45764.0</v>
      </c>
      <c r="D659" s="7" t="s">
        <v>69</v>
      </c>
      <c r="E659" s="7" t="s">
        <v>26</v>
      </c>
      <c r="F659" s="7">
        <v>1.0</v>
      </c>
      <c r="G659" s="7" t="s">
        <v>66</v>
      </c>
      <c r="H659" s="7">
        <v>2.0</v>
      </c>
      <c r="I659" s="7">
        <v>10.0</v>
      </c>
      <c r="J659" s="7">
        <v>8.0</v>
      </c>
      <c r="K659" s="7" t="s">
        <v>30</v>
      </c>
      <c r="L659" s="9" t="str">
        <f>VLOOKUP(K659, 'Alphabetical by species code'!A:B, 2, FALSE)</f>
        <v>Erodium moschatum</v>
      </c>
      <c r="M659" s="9" t="str">
        <f>VLOOKUP(L659, 'Alphabetical by species code'!B:C, 2, FALSE)</f>
        <v>Non-Native</v>
      </c>
    </row>
    <row r="660">
      <c r="A660" s="7">
        <v>7.0</v>
      </c>
      <c r="B660" s="7">
        <v>2025.0</v>
      </c>
      <c r="C660" s="10">
        <v>45764.0</v>
      </c>
      <c r="D660" s="7" t="s">
        <v>69</v>
      </c>
      <c r="E660" s="7" t="s">
        <v>26</v>
      </c>
      <c r="F660" s="7">
        <v>1.0</v>
      </c>
      <c r="G660" s="7" t="s">
        <v>66</v>
      </c>
      <c r="H660" s="7">
        <v>2.0</v>
      </c>
      <c r="I660" s="7">
        <v>10.0</v>
      </c>
      <c r="J660" s="7">
        <v>8.0</v>
      </c>
      <c r="K660" s="7" t="s">
        <v>39</v>
      </c>
      <c r="L660" s="9" t="str">
        <f>VLOOKUP(K660, 'Alphabetical by species code'!A:B, 2, FALSE)</f>
        <v>Stephanomeria diegensis</v>
      </c>
      <c r="M660" s="9" t="str">
        <f>VLOOKUP(L660, 'Alphabetical by species code'!B:C, 2, FALSE)</f>
        <v>Native</v>
      </c>
    </row>
    <row r="661">
      <c r="A661" s="7">
        <v>7.0</v>
      </c>
      <c r="B661" s="7">
        <v>2025.0</v>
      </c>
      <c r="C661" s="10">
        <v>45764.0</v>
      </c>
      <c r="D661" s="7" t="s">
        <v>69</v>
      </c>
      <c r="E661" s="7" t="s">
        <v>26</v>
      </c>
      <c r="F661" s="7">
        <v>1.0</v>
      </c>
      <c r="G661" s="7" t="s">
        <v>66</v>
      </c>
      <c r="H661" s="7">
        <v>2.0</v>
      </c>
      <c r="I661" s="7">
        <v>11.0</v>
      </c>
      <c r="J661" s="7">
        <v>8.5</v>
      </c>
      <c r="K661" s="7" t="s">
        <v>28</v>
      </c>
      <c r="L661" s="9" t="str">
        <f>VLOOKUP(K661, 'Alphabetical by species code'!A:B, 2, FALSE)</f>
        <v>Litter</v>
      </c>
      <c r="M661" s="9" t="str">
        <f>VLOOKUP(L661, 'Alphabetical by species code'!B:C, 2, FALSE)</f>
        <v>Ground Cover</v>
      </c>
    </row>
    <row r="662">
      <c r="A662" s="7">
        <v>7.0</v>
      </c>
      <c r="B662" s="7">
        <v>2025.0</v>
      </c>
      <c r="C662" s="10">
        <v>45764.0</v>
      </c>
      <c r="D662" s="7" t="s">
        <v>69</v>
      </c>
      <c r="E662" s="7" t="s">
        <v>26</v>
      </c>
      <c r="F662" s="7">
        <v>1.0</v>
      </c>
      <c r="G662" s="7" t="s">
        <v>66</v>
      </c>
      <c r="H662" s="7">
        <v>2.0</v>
      </c>
      <c r="I662" s="7">
        <v>11.0</v>
      </c>
      <c r="J662" s="7">
        <v>8.5</v>
      </c>
      <c r="K662" s="7" t="s">
        <v>42</v>
      </c>
      <c r="L662" s="9" t="str">
        <f>VLOOKUP(K662, 'Alphabetical by species code'!A:B, 2, FALSE)</f>
        <v>Centaurea melitensis</v>
      </c>
      <c r="M662" s="9" t="str">
        <f>VLOOKUP(L662, 'Alphabetical by species code'!B:C, 2, FALSE)</f>
        <v>Non-Native</v>
      </c>
    </row>
    <row r="663">
      <c r="A663" s="7">
        <v>7.0</v>
      </c>
      <c r="B663" s="7">
        <v>2025.0</v>
      </c>
      <c r="C663" s="10">
        <v>45764.0</v>
      </c>
      <c r="D663" s="7" t="s">
        <v>69</v>
      </c>
      <c r="E663" s="7" t="s">
        <v>26</v>
      </c>
      <c r="F663" s="7">
        <v>1.0</v>
      </c>
      <c r="G663" s="7" t="s">
        <v>66</v>
      </c>
      <c r="H663" s="7">
        <v>2.0</v>
      </c>
      <c r="I663" s="7">
        <v>11.0</v>
      </c>
      <c r="J663" s="7">
        <v>8.5</v>
      </c>
      <c r="K663" s="7" t="s">
        <v>36</v>
      </c>
      <c r="L663" s="9" t="str">
        <f>VLOOKUP(K663, 'Alphabetical by species code'!A:B, 2, FALSE)</f>
        <v>Bromus madritensis</v>
      </c>
      <c r="M663" s="9" t="str">
        <f>VLOOKUP(L663, 'Alphabetical by species code'!B:C, 2, FALSE)</f>
        <v>Non-Native</v>
      </c>
    </row>
    <row r="664">
      <c r="A664" s="7">
        <v>7.0</v>
      </c>
      <c r="B664" s="7">
        <v>2025.0</v>
      </c>
      <c r="C664" s="10">
        <v>45764.0</v>
      </c>
      <c r="D664" s="7" t="s">
        <v>69</v>
      </c>
      <c r="E664" s="7" t="s">
        <v>26</v>
      </c>
      <c r="F664" s="7">
        <v>1.0</v>
      </c>
      <c r="G664" s="7" t="s">
        <v>66</v>
      </c>
      <c r="H664" s="7">
        <v>2.0</v>
      </c>
      <c r="I664" s="7">
        <v>12.0</v>
      </c>
      <c r="J664" s="7">
        <v>9.0</v>
      </c>
      <c r="K664" s="7" t="s">
        <v>28</v>
      </c>
      <c r="L664" s="9" t="str">
        <f>VLOOKUP(K664, 'Alphabetical by species code'!A:B, 2, FALSE)</f>
        <v>Litter</v>
      </c>
      <c r="M664" s="9" t="str">
        <f>VLOOKUP(L664, 'Alphabetical by species code'!B:C, 2, FALSE)</f>
        <v>Ground Cover</v>
      </c>
    </row>
    <row r="665">
      <c r="A665" s="7">
        <v>7.0</v>
      </c>
      <c r="B665" s="7">
        <v>2025.0</v>
      </c>
      <c r="C665" s="10">
        <v>45764.0</v>
      </c>
      <c r="D665" s="7" t="s">
        <v>69</v>
      </c>
      <c r="E665" s="7" t="s">
        <v>26</v>
      </c>
      <c r="F665" s="7">
        <v>1.0</v>
      </c>
      <c r="G665" s="7" t="s">
        <v>66</v>
      </c>
      <c r="H665" s="7">
        <v>2.0</v>
      </c>
      <c r="I665" s="7">
        <v>12.0</v>
      </c>
      <c r="J665" s="7">
        <v>9.0</v>
      </c>
      <c r="K665" s="7" t="s">
        <v>35</v>
      </c>
      <c r="L665" s="9" t="str">
        <f>VLOOKUP(K665, 'Alphabetical by species code'!A:B, 2, FALSE)</f>
        <v>Deinandra fasciculata</v>
      </c>
      <c r="M665" s="9" t="str">
        <f>VLOOKUP(L665, 'Alphabetical by species code'!B:C, 2, FALSE)</f>
        <v>Native</v>
      </c>
    </row>
    <row r="666">
      <c r="A666" s="7">
        <v>7.0</v>
      </c>
      <c r="B666" s="7">
        <v>2025.0</v>
      </c>
      <c r="C666" s="10">
        <v>45764.0</v>
      </c>
      <c r="D666" s="7" t="s">
        <v>69</v>
      </c>
      <c r="E666" s="7" t="s">
        <v>26</v>
      </c>
      <c r="F666" s="7">
        <v>1.0</v>
      </c>
      <c r="G666" s="7" t="s">
        <v>66</v>
      </c>
      <c r="H666" s="7">
        <v>2.0</v>
      </c>
      <c r="I666" s="7">
        <v>12.0</v>
      </c>
      <c r="J666" s="7">
        <v>9.0</v>
      </c>
      <c r="K666" s="7" t="s">
        <v>32</v>
      </c>
      <c r="L666" s="9" t="str">
        <f>VLOOKUP(K666, 'Alphabetical by species code'!A:B, 2, FALSE)</f>
        <v>Medicago polymorpha</v>
      </c>
      <c r="M666" s="9" t="str">
        <f>VLOOKUP(L666, 'Alphabetical by species code'!B:C, 2, FALSE)</f>
        <v>Non-Native</v>
      </c>
    </row>
    <row r="667">
      <c r="A667" s="7">
        <v>7.0</v>
      </c>
      <c r="B667" s="7">
        <v>2025.0</v>
      </c>
      <c r="C667" s="10">
        <v>45764.0</v>
      </c>
      <c r="D667" s="7" t="s">
        <v>69</v>
      </c>
      <c r="E667" s="7" t="s">
        <v>26</v>
      </c>
      <c r="F667" s="7">
        <v>1.0</v>
      </c>
      <c r="G667" s="7" t="s">
        <v>66</v>
      </c>
      <c r="H667" s="7">
        <v>2.0</v>
      </c>
      <c r="I667" s="7">
        <v>13.0</v>
      </c>
      <c r="J667" s="7">
        <v>10.0</v>
      </c>
      <c r="K667" s="7" t="s">
        <v>28</v>
      </c>
      <c r="L667" s="9" t="str">
        <f>VLOOKUP(K667, 'Alphabetical by species code'!A:B, 2, FALSE)</f>
        <v>Litter</v>
      </c>
      <c r="M667" s="9" t="str">
        <f>VLOOKUP(L667, 'Alphabetical by species code'!B:C, 2, FALSE)</f>
        <v>Ground Cover</v>
      </c>
    </row>
    <row r="668">
      <c r="A668" s="7">
        <v>7.0</v>
      </c>
      <c r="B668" s="7">
        <v>2025.0</v>
      </c>
      <c r="C668" s="10">
        <v>45764.0</v>
      </c>
      <c r="D668" s="7" t="s">
        <v>69</v>
      </c>
      <c r="E668" s="7" t="s">
        <v>26</v>
      </c>
      <c r="F668" s="7">
        <v>1.0</v>
      </c>
      <c r="G668" s="7" t="s">
        <v>66</v>
      </c>
      <c r="H668" s="7">
        <v>2.0</v>
      </c>
      <c r="I668" s="7">
        <v>14.0</v>
      </c>
      <c r="J668" s="7">
        <v>11.0</v>
      </c>
      <c r="K668" s="7" t="s">
        <v>28</v>
      </c>
      <c r="L668" s="9" t="str">
        <f>VLOOKUP(K668, 'Alphabetical by species code'!A:B, 2, FALSE)</f>
        <v>Litter</v>
      </c>
      <c r="M668" s="9" t="str">
        <f>VLOOKUP(L668, 'Alphabetical by species code'!B:C, 2, FALSE)</f>
        <v>Ground Cover</v>
      </c>
    </row>
    <row r="669">
      <c r="A669" s="7">
        <v>7.0</v>
      </c>
      <c r="B669" s="7">
        <v>2025.0</v>
      </c>
      <c r="C669" s="10">
        <v>45764.0</v>
      </c>
      <c r="D669" s="7" t="s">
        <v>69</v>
      </c>
      <c r="E669" s="7" t="s">
        <v>26</v>
      </c>
      <c r="F669" s="7">
        <v>1.0</v>
      </c>
      <c r="G669" s="7" t="s">
        <v>66</v>
      </c>
      <c r="H669" s="7">
        <v>2.0</v>
      </c>
      <c r="I669" s="7">
        <v>14.0</v>
      </c>
      <c r="J669" s="7">
        <v>11.0</v>
      </c>
      <c r="K669" s="7" t="s">
        <v>35</v>
      </c>
      <c r="L669" s="9" t="str">
        <f>VLOOKUP(K669, 'Alphabetical by species code'!A:B, 2, FALSE)</f>
        <v>Deinandra fasciculata</v>
      </c>
      <c r="M669" s="9" t="str">
        <f>VLOOKUP(L669, 'Alphabetical by species code'!B:C, 2, FALSE)</f>
        <v>Native</v>
      </c>
    </row>
    <row r="670">
      <c r="A670" s="7">
        <v>7.0</v>
      </c>
      <c r="B670" s="7">
        <v>2025.0</v>
      </c>
      <c r="C670" s="10">
        <v>45764.0</v>
      </c>
      <c r="D670" s="7" t="s">
        <v>69</v>
      </c>
      <c r="E670" s="7" t="s">
        <v>26</v>
      </c>
      <c r="F670" s="7">
        <v>1.0</v>
      </c>
      <c r="G670" s="7" t="s">
        <v>66</v>
      </c>
      <c r="H670" s="7">
        <v>2.0</v>
      </c>
      <c r="I670" s="7">
        <v>14.0</v>
      </c>
      <c r="J670" s="7">
        <v>11.0</v>
      </c>
      <c r="K670" s="7" t="s">
        <v>32</v>
      </c>
      <c r="L670" s="9" t="str">
        <f>VLOOKUP(K670, 'Alphabetical by species code'!A:B, 2, FALSE)</f>
        <v>Medicago polymorpha</v>
      </c>
      <c r="M670" s="9" t="str">
        <f>VLOOKUP(L670, 'Alphabetical by species code'!B:C, 2, FALSE)</f>
        <v>Non-Native</v>
      </c>
    </row>
    <row r="671">
      <c r="A671" s="7">
        <v>7.0</v>
      </c>
      <c r="B671" s="7">
        <v>2025.0</v>
      </c>
      <c r="C671" s="10">
        <v>45764.0</v>
      </c>
      <c r="D671" s="7" t="s">
        <v>69</v>
      </c>
      <c r="E671" s="7" t="s">
        <v>26</v>
      </c>
      <c r="F671" s="7">
        <v>1.0</v>
      </c>
      <c r="G671" s="7" t="s">
        <v>66</v>
      </c>
      <c r="H671" s="7">
        <v>2.0</v>
      </c>
      <c r="I671" s="7">
        <v>14.0</v>
      </c>
      <c r="J671" s="7">
        <v>11.0</v>
      </c>
      <c r="K671" s="7" t="s">
        <v>43</v>
      </c>
      <c r="L671" s="9" t="str">
        <f>VLOOKUP(K671, 'Alphabetical by species code'!A:B, 2, FALSE)</f>
        <v>Uropappus lindleyi</v>
      </c>
      <c r="M671" s="9" t="str">
        <f>VLOOKUP(L671, 'Alphabetical by species code'!B:C, 2, FALSE)</f>
        <v>Native</v>
      </c>
    </row>
    <row r="672">
      <c r="A672" s="7">
        <v>7.0</v>
      </c>
      <c r="B672" s="7">
        <v>2025.0</v>
      </c>
      <c r="C672" s="10">
        <v>45764.0</v>
      </c>
      <c r="D672" s="7" t="s">
        <v>69</v>
      </c>
      <c r="E672" s="7" t="s">
        <v>26</v>
      </c>
      <c r="F672" s="7">
        <v>1.0</v>
      </c>
      <c r="G672" s="7" t="s">
        <v>66</v>
      </c>
      <c r="H672" s="7">
        <v>2.0</v>
      </c>
      <c r="I672" s="7">
        <v>15.0</v>
      </c>
      <c r="J672" s="7">
        <v>12.0</v>
      </c>
      <c r="K672" s="7" t="s">
        <v>28</v>
      </c>
      <c r="L672" s="9" t="str">
        <f>VLOOKUP(K672, 'Alphabetical by species code'!A:B, 2, FALSE)</f>
        <v>Litter</v>
      </c>
      <c r="M672" s="9" t="str">
        <f>VLOOKUP(L672, 'Alphabetical by species code'!B:C, 2, FALSE)</f>
        <v>Ground Cover</v>
      </c>
    </row>
    <row r="673">
      <c r="A673" s="7">
        <v>7.0</v>
      </c>
      <c r="B673" s="7">
        <v>2025.0</v>
      </c>
      <c r="C673" s="10">
        <v>45764.0</v>
      </c>
      <c r="D673" s="7" t="s">
        <v>69</v>
      </c>
      <c r="E673" s="7" t="s">
        <v>26</v>
      </c>
      <c r="F673" s="7">
        <v>1.0</v>
      </c>
      <c r="G673" s="7" t="s">
        <v>66</v>
      </c>
      <c r="H673" s="7">
        <v>2.0</v>
      </c>
      <c r="I673" s="7">
        <v>15.0</v>
      </c>
      <c r="J673" s="7">
        <v>12.0</v>
      </c>
      <c r="K673" s="7" t="s">
        <v>42</v>
      </c>
      <c r="L673" s="9" t="str">
        <f>VLOOKUP(K673, 'Alphabetical by species code'!A:B, 2, FALSE)</f>
        <v>Centaurea melitensis</v>
      </c>
      <c r="M673" s="9" t="str">
        <f>VLOOKUP(L673, 'Alphabetical by species code'!B:C, 2, FALSE)</f>
        <v>Non-Native</v>
      </c>
    </row>
    <row r="674">
      <c r="A674" s="7">
        <v>7.0</v>
      </c>
      <c r="B674" s="7">
        <v>2025.0</v>
      </c>
      <c r="C674" s="10">
        <v>45764.0</v>
      </c>
      <c r="D674" s="7" t="s">
        <v>69</v>
      </c>
      <c r="E674" s="7" t="s">
        <v>26</v>
      </c>
      <c r="F674" s="7">
        <v>1.0</v>
      </c>
      <c r="G674" s="7" t="s">
        <v>66</v>
      </c>
      <c r="H674" s="7">
        <v>2.0</v>
      </c>
      <c r="I674" s="7">
        <v>15.0</v>
      </c>
      <c r="J674" s="7">
        <v>12.0</v>
      </c>
      <c r="K674" s="7" t="s">
        <v>31</v>
      </c>
      <c r="L674" s="9" t="str">
        <f>VLOOKUP(K674, 'Alphabetical by species code'!A:B, 2, FALSE)</f>
        <v>Festuca myuros</v>
      </c>
      <c r="M674" s="9" t="str">
        <f>VLOOKUP(L674, 'Alphabetical by species code'!B:C, 2, FALSE)</f>
        <v>Non-Native</v>
      </c>
    </row>
    <row r="675">
      <c r="A675" s="7">
        <v>7.0</v>
      </c>
      <c r="B675" s="7">
        <v>2025.0</v>
      </c>
      <c r="C675" s="10">
        <v>45764.0</v>
      </c>
      <c r="D675" s="7" t="s">
        <v>69</v>
      </c>
      <c r="E675" s="7" t="s">
        <v>26</v>
      </c>
      <c r="F675" s="7">
        <v>1.0</v>
      </c>
      <c r="G675" s="7" t="s">
        <v>66</v>
      </c>
      <c r="H675" s="7">
        <v>2.0</v>
      </c>
      <c r="I675" s="7">
        <v>15.0</v>
      </c>
      <c r="J675" s="7">
        <v>12.0</v>
      </c>
      <c r="K675" s="7" t="s">
        <v>71</v>
      </c>
      <c r="L675" s="9" t="str">
        <f>VLOOKUP(K675, 'Alphabetical by species code'!A:B, 2, FALSE)</f>
        <v>Lasthenia californica</v>
      </c>
      <c r="M675" s="9" t="str">
        <f>VLOOKUP(L675, 'Alphabetical by species code'!B:C, 2, FALSE)</f>
        <v>Native</v>
      </c>
    </row>
    <row r="676">
      <c r="A676" s="7">
        <v>7.0</v>
      </c>
      <c r="B676" s="7">
        <v>2025.0</v>
      </c>
      <c r="C676" s="10">
        <v>45764.0</v>
      </c>
      <c r="D676" s="7" t="s">
        <v>69</v>
      </c>
      <c r="E676" s="7" t="s">
        <v>26</v>
      </c>
      <c r="F676" s="7">
        <v>1.0</v>
      </c>
      <c r="G676" s="7" t="s">
        <v>66</v>
      </c>
      <c r="H676" s="7">
        <v>2.0</v>
      </c>
      <c r="I676" s="7">
        <v>15.0</v>
      </c>
      <c r="J676" s="7">
        <v>12.0</v>
      </c>
      <c r="K676" s="7" t="s">
        <v>30</v>
      </c>
      <c r="L676" s="9" t="str">
        <f>VLOOKUP(K676, 'Alphabetical by species code'!A:B, 2, FALSE)</f>
        <v>Erodium moschatum</v>
      </c>
      <c r="M676" s="9" t="str">
        <f>VLOOKUP(L676, 'Alphabetical by species code'!B:C, 2, FALSE)</f>
        <v>Non-Native</v>
      </c>
    </row>
    <row r="677">
      <c r="A677" s="7">
        <v>8.0</v>
      </c>
      <c r="B677" s="7">
        <v>2025.0</v>
      </c>
      <c r="C677" s="10">
        <v>45764.0</v>
      </c>
      <c r="D677" s="7" t="s">
        <v>72</v>
      </c>
      <c r="E677" s="7" t="s">
        <v>26</v>
      </c>
      <c r="F677" s="7">
        <v>1.0</v>
      </c>
      <c r="G677" s="7" t="s">
        <v>63</v>
      </c>
      <c r="H677" s="7">
        <v>1.0</v>
      </c>
      <c r="I677" s="7">
        <v>1.0</v>
      </c>
      <c r="J677" s="7">
        <v>0.0</v>
      </c>
      <c r="K677" s="7" t="s">
        <v>28</v>
      </c>
      <c r="L677" s="9" t="str">
        <f>VLOOKUP(K677, 'Alphabetical by species code'!A:B, 2, FALSE)</f>
        <v>Litter</v>
      </c>
      <c r="M677" s="9" t="str">
        <f>VLOOKUP(L677, 'Alphabetical by species code'!B:C, 2, FALSE)</f>
        <v>Ground Cover</v>
      </c>
    </row>
    <row r="678">
      <c r="A678" s="7">
        <v>8.0</v>
      </c>
      <c r="B678" s="7">
        <v>2025.0</v>
      </c>
      <c r="C678" s="10">
        <v>45764.0</v>
      </c>
      <c r="D678" s="7" t="s">
        <v>72</v>
      </c>
      <c r="E678" s="7" t="s">
        <v>26</v>
      </c>
      <c r="F678" s="7">
        <v>1.0</v>
      </c>
      <c r="G678" s="7" t="s">
        <v>63</v>
      </c>
      <c r="H678" s="7">
        <v>1.0</v>
      </c>
      <c r="I678" s="7">
        <v>1.0</v>
      </c>
      <c r="J678" s="7">
        <v>0.0</v>
      </c>
      <c r="K678" s="7" t="s">
        <v>42</v>
      </c>
      <c r="L678" s="9" t="str">
        <f>VLOOKUP(K678, 'Alphabetical by species code'!A:B, 2, FALSE)</f>
        <v>Centaurea melitensis</v>
      </c>
      <c r="M678" s="9" t="str">
        <f>VLOOKUP(L678, 'Alphabetical by species code'!B:C, 2, FALSE)</f>
        <v>Non-Native</v>
      </c>
    </row>
    <row r="679">
      <c r="A679" s="7">
        <v>8.0</v>
      </c>
      <c r="B679" s="7">
        <v>2025.0</v>
      </c>
      <c r="C679" s="10">
        <v>45764.0</v>
      </c>
      <c r="D679" s="7" t="s">
        <v>72</v>
      </c>
      <c r="E679" s="7" t="s">
        <v>26</v>
      </c>
      <c r="F679" s="7">
        <v>1.0</v>
      </c>
      <c r="G679" s="7" t="s">
        <v>63</v>
      </c>
      <c r="H679" s="7">
        <v>1.0</v>
      </c>
      <c r="I679" s="7">
        <v>1.0</v>
      </c>
      <c r="J679" s="7">
        <v>0.0</v>
      </c>
      <c r="K679" s="7" t="s">
        <v>31</v>
      </c>
      <c r="L679" s="9" t="str">
        <f>VLOOKUP(K679, 'Alphabetical by species code'!A:B, 2, FALSE)</f>
        <v>Festuca myuros</v>
      </c>
      <c r="M679" s="9" t="str">
        <f>VLOOKUP(L679, 'Alphabetical by species code'!B:C, 2, FALSE)</f>
        <v>Non-Native</v>
      </c>
    </row>
    <row r="680">
      <c r="A680" s="7">
        <v>8.0</v>
      </c>
      <c r="B680" s="7">
        <v>2025.0</v>
      </c>
      <c r="C680" s="10">
        <v>45764.0</v>
      </c>
      <c r="D680" s="7" t="s">
        <v>72</v>
      </c>
      <c r="E680" s="7" t="s">
        <v>26</v>
      </c>
      <c r="F680" s="7">
        <v>1.0</v>
      </c>
      <c r="G680" s="7" t="s">
        <v>63</v>
      </c>
      <c r="H680" s="7">
        <v>1.0</v>
      </c>
      <c r="I680" s="7">
        <v>1.0</v>
      </c>
      <c r="J680" s="7">
        <v>0.0</v>
      </c>
      <c r="K680" s="7" t="s">
        <v>35</v>
      </c>
      <c r="L680" s="9" t="str">
        <f>VLOOKUP(K680, 'Alphabetical by species code'!A:B, 2, FALSE)</f>
        <v>Deinandra fasciculata</v>
      </c>
      <c r="M680" s="9" t="str">
        <f>VLOOKUP(L680, 'Alphabetical by species code'!B:C, 2, FALSE)</f>
        <v>Native</v>
      </c>
    </row>
    <row r="681">
      <c r="A681" s="7">
        <v>8.0</v>
      </c>
      <c r="B681" s="7">
        <v>2025.0</v>
      </c>
      <c r="C681" s="10">
        <v>45764.0</v>
      </c>
      <c r="D681" s="7" t="s">
        <v>72</v>
      </c>
      <c r="E681" s="7" t="s">
        <v>26</v>
      </c>
      <c r="F681" s="7">
        <v>1.0</v>
      </c>
      <c r="G681" s="7" t="s">
        <v>63</v>
      </c>
      <c r="H681" s="7">
        <v>1.0</v>
      </c>
      <c r="I681" s="7">
        <v>1.0</v>
      </c>
      <c r="J681" s="7">
        <v>0.0</v>
      </c>
      <c r="K681" s="7" t="s">
        <v>48</v>
      </c>
      <c r="L681" s="9" t="str">
        <f>VLOOKUP(K681, 'Alphabetical by species code'!A:B, 2, FALSE)</f>
        <v>Sonchus asper</v>
      </c>
      <c r="M681" s="9" t="str">
        <f>VLOOKUP(L681, 'Alphabetical by species code'!B:C, 2, FALSE)</f>
        <v>Non-Native</v>
      </c>
    </row>
    <row r="682">
      <c r="A682" s="7">
        <v>8.0</v>
      </c>
      <c r="B682" s="7">
        <v>2025.0</v>
      </c>
      <c r="C682" s="10">
        <v>45764.0</v>
      </c>
      <c r="D682" s="7" t="s">
        <v>72</v>
      </c>
      <c r="E682" s="7" t="s">
        <v>26</v>
      </c>
      <c r="F682" s="7">
        <v>1.0</v>
      </c>
      <c r="G682" s="7" t="s">
        <v>63</v>
      </c>
      <c r="H682" s="7">
        <v>1.0</v>
      </c>
      <c r="I682" s="7">
        <v>2.0</v>
      </c>
      <c r="J682" s="7">
        <v>1.0</v>
      </c>
      <c r="K682" s="7" t="s">
        <v>28</v>
      </c>
      <c r="L682" s="9" t="str">
        <f>VLOOKUP(K682, 'Alphabetical by species code'!A:B, 2, FALSE)</f>
        <v>Litter</v>
      </c>
      <c r="M682" s="9" t="str">
        <f>VLOOKUP(L682, 'Alphabetical by species code'!B:C, 2, FALSE)</f>
        <v>Ground Cover</v>
      </c>
    </row>
    <row r="683">
      <c r="A683" s="7">
        <v>8.0</v>
      </c>
      <c r="B683" s="7">
        <v>2025.0</v>
      </c>
      <c r="C683" s="10">
        <v>45764.0</v>
      </c>
      <c r="D683" s="7" t="s">
        <v>72</v>
      </c>
      <c r="E683" s="7" t="s">
        <v>26</v>
      </c>
      <c r="F683" s="7">
        <v>1.0</v>
      </c>
      <c r="G683" s="7" t="s">
        <v>63</v>
      </c>
      <c r="H683" s="7">
        <v>1.0</v>
      </c>
      <c r="I683" s="7">
        <v>2.0</v>
      </c>
      <c r="J683" s="7">
        <v>1.0</v>
      </c>
      <c r="K683" s="7" t="s">
        <v>32</v>
      </c>
      <c r="L683" s="9" t="str">
        <f>VLOOKUP(K683, 'Alphabetical by species code'!A:B, 2, FALSE)</f>
        <v>Medicago polymorpha</v>
      </c>
      <c r="M683" s="9" t="str">
        <f>VLOOKUP(L683, 'Alphabetical by species code'!B:C, 2, FALSE)</f>
        <v>Non-Native</v>
      </c>
    </row>
    <row r="684">
      <c r="A684" s="7">
        <v>8.0</v>
      </c>
      <c r="B684" s="7">
        <v>2025.0</v>
      </c>
      <c r="C684" s="10">
        <v>45764.0</v>
      </c>
      <c r="D684" s="7" t="s">
        <v>72</v>
      </c>
      <c r="E684" s="7" t="s">
        <v>26</v>
      </c>
      <c r="F684" s="7">
        <v>1.0</v>
      </c>
      <c r="G684" s="7" t="s">
        <v>63</v>
      </c>
      <c r="H684" s="7">
        <v>1.0</v>
      </c>
      <c r="I684" s="7">
        <v>2.0</v>
      </c>
      <c r="J684" s="7">
        <v>1.0</v>
      </c>
      <c r="K684" s="7" t="s">
        <v>42</v>
      </c>
      <c r="L684" s="9" t="str">
        <f>VLOOKUP(K684, 'Alphabetical by species code'!A:B, 2, FALSE)</f>
        <v>Centaurea melitensis</v>
      </c>
      <c r="M684" s="9" t="str">
        <f>VLOOKUP(L684, 'Alphabetical by species code'!B:C, 2, FALSE)</f>
        <v>Non-Native</v>
      </c>
    </row>
    <row r="685">
      <c r="A685" s="7">
        <v>8.0</v>
      </c>
      <c r="B685" s="7">
        <v>2025.0</v>
      </c>
      <c r="C685" s="10">
        <v>45764.0</v>
      </c>
      <c r="D685" s="7" t="s">
        <v>72</v>
      </c>
      <c r="E685" s="7" t="s">
        <v>26</v>
      </c>
      <c r="F685" s="7">
        <v>1.0</v>
      </c>
      <c r="G685" s="7" t="s">
        <v>63</v>
      </c>
      <c r="H685" s="7">
        <v>1.0</v>
      </c>
      <c r="I685" s="7">
        <v>3.0</v>
      </c>
      <c r="J685" s="7">
        <v>1.5</v>
      </c>
      <c r="K685" s="7" t="s">
        <v>28</v>
      </c>
      <c r="L685" s="9" t="str">
        <f>VLOOKUP(K685, 'Alphabetical by species code'!A:B, 2, FALSE)</f>
        <v>Litter</v>
      </c>
      <c r="M685" s="9" t="str">
        <f>VLOOKUP(L685, 'Alphabetical by species code'!B:C, 2, FALSE)</f>
        <v>Ground Cover</v>
      </c>
    </row>
    <row r="686">
      <c r="A686" s="7">
        <v>8.0</v>
      </c>
      <c r="B686" s="7">
        <v>2025.0</v>
      </c>
      <c r="C686" s="10">
        <v>45764.0</v>
      </c>
      <c r="D686" s="7" t="s">
        <v>72</v>
      </c>
      <c r="E686" s="7" t="s">
        <v>26</v>
      </c>
      <c r="F686" s="7">
        <v>1.0</v>
      </c>
      <c r="G686" s="7" t="s">
        <v>63</v>
      </c>
      <c r="H686" s="7">
        <v>1.0</v>
      </c>
      <c r="I686" s="7">
        <v>3.0</v>
      </c>
      <c r="J686" s="7">
        <v>1.5</v>
      </c>
      <c r="K686" s="7" t="s">
        <v>30</v>
      </c>
      <c r="L686" s="9" t="str">
        <f>VLOOKUP(K686, 'Alphabetical by species code'!A:B, 2, FALSE)</f>
        <v>Erodium moschatum</v>
      </c>
      <c r="M686" s="9" t="str">
        <f>VLOOKUP(L686, 'Alphabetical by species code'!B:C, 2, FALSE)</f>
        <v>Non-Native</v>
      </c>
    </row>
    <row r="687">
      <c r="A687" s="7">
        <v>8.0</v>
      </c>
      <c r="B687" s="7">
        <v>2025.0</v>
      </c>
      <c r="C687" s="10">
        <v>45764.0</v>
      </c>
      <c r="D687" s="7" t="s">
        <v>72</v>
      </c>
      <c r="E687" s="7" t="s">
        <v>26</v>
      </c>
      <c r="F687" s="7">
        <v>1.0</v>
      </c>
      <c r="G687" s="7" t="s">
        <v>63</v>
      </c>
      <c r="H687" s="7">
        <v>1.0</v>
      </c>
      <c r="I687" s="7">
        <v>4.0</v>
      </c>
      <c r="J687" s="7">
        <v>2.0</v>
      </c>
      <c r="K687" s="7" t="s">
        <v>28</v>
      </c>
      <c r="L687" s="9" t="str">
        <f>VLOOKUP(K687, 'Alphabetical by species code'!A:B, 2, FALSE)</f>
        <v>Litter</v>
      </c>
      <c r="M687" s="9" t="str">
        <f>VLOOKUP(L687, 'Alphabetical by species code'!B:C, 2, FALSE)</f>
        <v>Ground Cover</v>
      </c>
    </row>
    <row r="688">
      <c r="A688" s="7">
        <v>8.0</v>
      </c>
      <c r="B688" s="7">
        <v>2025.0</v>
      </c>
      <c r="C688" s="10">
        <v>45764.0</v>
      </c>
      <c r="D688" s="7" t="s">
        <v>72</v>
      </c>
      <c r="E688" s="7" t="s">
        <v>26</v>
      </c>
      <c r="F688" s="7">
        <v>1.0</v>
      </c>
      <c r="G688" s="7" t="s">
        <v>63</v>
      </c>
      <c r="H688" s="7">
        <v>1.0</v>
      </c>
      <c r="I688" s="7">
        <v>4.0</v>
      </c>
      <c r="J688" s="7">
        <v>2.0</v>
      </c>
      <c r="K688" s="7" t="s">
        <v>35</v>
      </c>
      <c r="L688" s="9" t="str">
        <f>VLOOKUP(K688, 'Alphabetical by species code'!A:B, 2, FALSE)</f>
        <v>Deinandra fasciculata</v>
      </c>
      <c r="M688" s="9" t="str">
        <f>VLOOKUP(L688, 'Alphabetical by species code'!B:C, 2, FALSE)</f>
        <v>Native</v>
      </c>
    </row>
    <row r="689">
      <c r="A689" s="7">
        <v>8.0</v>
      </c>
      <c r="B689" s="7">
        <v>2025.0</v>
      </c>
      <c r="C689" s="10">
        <v>45764.0</v>
      </c>
      <c r="D689" s="7" t="s">
        <v>72</v>
      </c>
      <c r="E689" s="7" t="s">
        <v>26</v>
      </c>
      <c r="F689" s="7">
        <v>1.0</v>
      </c>
      <c r="G689" s="7" t="s">
        <v>63</v>
      </c>
      <c r="H689" s="7">
        <v>1.0</v>
      </c>
      <c r="I689" s="7">
        <v>5.0</v>
      </c>
      <c r="J689" s="7">
        <v>3.0</v>
      </c>
      <c r="K689" s="7" t="s">
        <v>28</v>
      </c>
      <c r="L689" s="9" t="str">
        <f>VLOOKUP(K689, 'Alphabetical by species code'!A:B, 2, FALSE)</f>
        <v>Litter</v>
      </c>
      <c r="M689" s="9" t="str">
        <f>VLOOKUP(L689, 'Alphabetical by species code'!B:C, 2, FALSE)</f>
        <v>Ground Cover</v>
      </c>
    </row>
    <row r="690">
      <c r="A690" s="7">
        <v>8.0</v>
      </c>
      <c r="B690" s="7">
        <v>2025.0</v>
      </c>
      <c r="C690" s="10">
        <v>45764.0</v>
      </c>
      <c r="D690" s="7" t="s">
        <v>72</v>
      </c>
      <c r="E690" s="7" t="s">
        <v>26</v>
      </c>
      <c r="F690" s="7">
        <v>1.0</v>
      </c>
      <c r="G690" s="7" t="s">
        <v>63</v>
      </c>
      <c r="H690" s="7">
        <v>1.0</v>
      </c>
      <c r="I690" s="7">
        <v>6.0</v>
      </c>
      <c r="J690" s="7">
        <v>3.5</v>
      </c>
      <c r="K690" s="7" t="s">
        <v>28</v>
      </c>
      <c r="L690" s="9" t="str">
        <f>VLOOKUP(K690, 'Alphabetical by species code'!A:B, 2, FALSE)</f>
        <v>Litter</v>
      </c>
      <c r="M690" s="9" t="str">
        <f>VLOOKUP(L690, 'Alphabetical by species code'!B:C, 2, FALSE)</f>
        <v>Ground Cover</v>
      </c>
    </row>
    <row r="691">
      <c r="A691" s="7">
        <v>8.0</v>
      </c>
      <c r="B691" s="7">
        <v>2025.0</v>
      </c>
      <c r="C691" s="10">
        <v>45764.0</v>
      </c>
      <c r="D691" s="7" t="s">
        <v>72</v>
      </c>
      <c r="E691" s="7" t="s">
        <v>26</v>
      </c>
      <c r="F691" s="7">
        <v>1.0</v>
      </c>
      <c r="G691" s="7" t="s">
        <v>63</v>
      </c>
      <c r="H691" s="7">
        <v>1.0</v>
      </c>
      <c r="I691" s="7">
        <v>6.0</v>
      </c>
      <c r="J691" s="7">
        <v>3.5</v>
      </c>
      <c r="K691" s="7" t="s">
        <v>32</v>
      </c>
      <c r="L691" s="9" t="str">
        <f>VLOOKUP(K691, 'Alphabetical by species code'!A:B, 2, FALSE)</f>
        <v>Medicago polymorpha</v>
      </c>
      <c r="M691" s="9" t="str">
        <f>VLOOKUP(L691, 'Alphabetical by species code'!B:C, 2, FALSE)</f>
        <v>Non-Native</v>
      </c>
    </row>
    <row r="692">
      <c r="A692" s="7">
        <v>8.0</v>
      </c>
      <c r="B692" s="7">
        <v>2025.0</v>
      </c>
      <c r="C692" s="10">
        <v>45764.0</v>
      </c>
      <c r="D692" s="7" t="s">
        <v>72</v>
      </c>
      <c r="E692" s="7" t="s">
        <v>26</v>
      </c>
      <c r="F692" s="7">
        <v>1.0</v>
      </c>
      <c r="G692" s="7" t="s">
        <v>63</v>
      </c>
      <c r="H692" s="7">
        <v>1.0</v>
      </c>
      <c r="I692" s="7">
        <v>6.0</v>
      </c>
      <c r="J692" s="7">
        <v>3.5</v>
      </c>
      <c r="K692" s="7" t="s">
        <v>30</v>
      </c>
      <c r="L692" s="9" t="str">
        <f>VLOOKUP(K692, 'Alphabetical by species code'!A:B, 2, FALSE)</f>
        <v>Erodium moschatum</v>
      </c>
      <c r="M692" s="9" t="str">
        <f>VLOOKUP(L692, 'Alphabetical by species code'!B:C, 2, FALSE)</f>
        <v>Non-Native</v>
      </c>
    </row>
    <row r="693">
      <c r="A693" s="7">
        <v>8.0</v>
      </c>
      <c r="B693" s="7">
        <v>2025.0</v>
      </c>
      <c r="C693" s="10">
        <v>45764.0</v>
      </c>
      <c r="D693" s="7" t="s">
        <v>72</v>
      </c>
      <c r="E693" s="7" t="s">
        <v>26</v>
      </c>
      <c r="F693" s="7">
        <v>1.0</v>
      </c>
      <c r="G693" s="7" t="s">
        <v>63</v>
      </c>
      <c r="H693" s="7">
        <v>1.0</v>
      </c>
      <c r="I693" s="7">
        <v>6.0</v>
      </c>
      <c r="J693" s="7">
        <v>3.5</v>
      </c>
      <c r="K693" s="7" t="s">
        <v>35</v>
      </c>
      <c r="L693" s="9" t="str">
        <f>VLOOKUP(K693, 'Alphabetical by species code'!A:B, 2, FALSE)</f>
        <v>Deinandra fasciculata</v>
      </c>
      <c r="M693" s="9" t="str">
        <f>VLOOKUP(L693, 'Alphabetical by species code'!B:C, 2, FALSE)</f>
        <v>Native</v>
      </c>
    </row>
    <row r="694">
      <c r="A694" s="7">
        <v>8.0</v>
      </c>
      <c r="B694" s="7">
        <v>2025.0</v>
      </c>
      <c r="C694" s="10">
        <v>45764.0</v>
      </c>
      <c r="D694" s="7" t="s">
        <v>72</v>
      </c>
      <c r="E694" s="7" t="s">
        <v>26</v>
      </c>
      <c r="F694" s="7">
        <v>1.0</v>
      </c>
      <c r="G694" s="7" t="s">
        <v>63</v>
      </c>
      <c r="H694" s="7">
        <v>1.0</v>
      </c>
      <c r="I694" s="7">
        <v>7.0</v>
      </c>
      <c r="J694" s="7">
        <v>4.0</v>
      </c>
      <c r="K694" s="7" t="s">
        <v>28</v>
      </c>
      <c r="L694" s="9" t="str">
        <f>VLOOKUP(K694, 'Alphabetical by species code'!A:B, 2, FALSE)</f>
        <v>Litter</v>
      </c>
      <c r="M694" s="9" t="str">
        <f>VLOOKUP(L694, 'Alphabetical by species code'!B:C, 2, FALSE)</f>
        <v>Ground Cover</v>
      </c>
    </row>
    <row r="695">
      <c r="A695" s="7">
        <v>8.0</v>
      </c>
      <c r="B695" s="7">
        <v>2025.0</v>
      </c>
      <c r="C695" s="10">
        <v>45764.0</v>
      </c>
      <c r="D695" s="7" t="s">
        <v>72</v>
      </c>
      <c r="E695" s="7" t="s">
        <v>26</v>
      </c>
      <c r="F695" s="7">
        <v>1.0</v>
      </c>
      <c r="G695" s="7" t="s">
        <v>63</v>
      </c>
      <c r="H695" s="7">
        <v>1.0</v>
      </c>
      <c r="I695" s="7">
        <v>7.0</v>
      </c>
      <c r="J695" s="7">
        <v>4.0</v>
      </c>
      <c r="K695" s="7" t="s">
        <v>30</v>
      </c>
      <c r="L695" s="9" t="str">
        <f>VLOOKUP(K695, 'Alphabetical by species code'!A:B, 2, FALSE)</f>
        <v>Erodium moschatum</v>
      </c>
      <c r="M695" s="9" t="str">
        <f>VLOOKUP(L695, 'Alphabetical by species code'!B:C, 2, FALSE)</f>
        <v>Non-Native</v>
      </c>
    </row>
    <row r="696">
      <c r="A696" s="7">
        <v>8.0</v>
      </c>
      <c r="B696" s="7">
        <v>2025.0</v>
      </c>
      <c r="C696" s="10">
        <v>45764.0</v>
      </c>
      <c r="D696" s="7" t="s">
        <v>72</v>
      </c>
      <c r="E696" s="7" t="s">
        <v>26</v>
      </c>
      <c r="F696" s="7">
        <v>1.0</v>
      </c>
      <c r="G696" s="7" t="s">
        <v>63</v>
      </c>
      <c r="H696" s="7">
        <v>1.0</v>
      </c>
      <c r="I696" s="7">
        <v>7.0</v>
      </c>
      <c r="J696" s="7">
        <v>4.0</v>
      </c>
      <c r="K696" s="7" t="s">
        <v>37</v>
      </c>
      <c r="L696" s="9" t="str">
        <f>VLOOKUP(K696, 'Alphabetical by species code'!A:B, 2, FALSE)</f>
        <v>Sonchus oleraceus</v>
      </c>
      <c r="M696" s="9" t="str">
        <f>VLOOKUP(L696, 'Alphabetical by species code'!B:C, 2, FALSE)</f>
        <v>Non-Native</v>
      </c>
    </row>
    <row r="697">
      <c r="A697" s="7">
        <v>8.0</v>
      </c>
      <c r="B697" s="7">
        <v>2025.0</v>
      </c>
      <c r="C697" s="10">
        <v>45764.0</v>
      </c>
      <c r="D697" s="7" t="s">
        <v>72</v>
      </c>
      <c r="E697" s="7" t="s">
        <v>26</v>
      </c>
      <c r="F697" s="7">
        <v>1.0</v>
      </c>
      <c r="G697" s="7" t="s">
        <v>63</v>
      </c>
      <c r="H697" s="7">
        <v>1.0</v>
      </c>
      <c r="I697" s="7">
        <v>7.0</v>
      </c>
      <c r="J697" s="7">
        <v>4.0</v>
      </c>
      <c r="K697" s="7" t="s">
        <v>35</v>
      </c>
      <c r="L697" s="9" t="str">
        <f>VLOOKUP(K697, 'Alphabetical by species code'!A:B, 2, FALSE)</f>
        <v>Deinandra fasciculata</v>
      </c>
      <c r="M697" s="9" t="str">
        <f>VLOOKUP(L697, 'Alphabetical by species code'!B:C, 2, FALSE)</f>
        <v>Native</v>
      </c>
    </row>
    <row r="698">
      <c r="A698" s="7">
        <v>8.0</v>
      </c>
      <c r="B698" s="7">
        <v>2025.0</v>
      </c>
      <c r="C698" s="10">
        <v>45764.0</v>
      </c>
      <c r="D698" s="7" t="s">
        <v>72</v>
      </c>
      <c r="E698" s="7" t="s">
        <v>26</v>
      </c>
      <c r="F698" s="7">
        <v>1.0</v>
      </c>
      <c r="G698" s="7" t="s">
        <v>63</v>
      </c>
      <c r="H698" s="7">
        <v>1.0</v>
      </c>
      <c r="I698" s="7">
        <v>8.0</v>
      </c>
      <c r="J698" s="7">
        <v>5.0</v>
      </c>
      <c r="K698" s="7" t="s">
        <v>28</v>
      </c>
      <c r="L698" s="9" t="str">
        <f>VLOOKUP(K698, 'Alphabetical by species code'!A:B, 2, FALSE)</f>
        <v>Litter</v>
      </c>
      <c r="M698" s="9" t="str">
        <f>VLOOKUP(L698, 'Alphabetical by species code'!B:C, 2, FALSE)</f>
        <v>Ground Cover</v>
      </c>
    </row>
    <row r="699">
      <c r="A699" s="7">
        <v>8.0</v>
      </c>
      <c r="B699" s="7">
        <v>2025.0</v>
      </c>
      <c r="C699" s="10">
        <v>45764.0</v>
      </c>
      <c r="D699" s="7" t="s">
        <v>72</v>
      </c>
      <c r="E699" s="7" t="s">
        <v>26</v>
      </c>
      <c r="F699" s="7">
        <v>1.0</v>
      </c>
      <c r="G699" s="7" t="s">
        <v>63</v>
      </c>
      <c r="H699" s="7">
        <v>1.0</v>
      </c>
      <c r="I699" s="7">
        <v>8.0</v>
      </c>
      <c r="J699" s="7">
        <v>5.0</v>
      </c>
      <c r="K699" s="7" t="s">
        <v>30</v>
      </c>
      <c r="L699" s="9" t="str">
        <f>VLOOKUP(K699, 'Alphabetical by species code'!A:B, 2, FALSE)</f>
        <v>Erodium moschatum</v>
      </c>
      <c r="M699" s="9" t="str">
        <f>VLOOKUP(L699, 'Alphabetical by species code'!B:C, 2, FALSE)</f>
        <v>Non-Native</v>
      </c>
    </row>
    <row r="700">
      <c r="A700" s="7">
        <v>8.0</v>
      </c>
      <c r="B700" s="7">
        <v>2025.0</v>
      </c>
      <c r="C700" s="10">
        <v>45764.0</v>
      </c>
      <c r="D700" s="7" t="s">
        <v>72</v>
      </c>
      <c r="E700" s="7" t="s">
        <v>26</v>
      </c>
      <c r="F700" s="7">
        <v>1.0</v>
      </c>
      <c r="G700" s="7" t="s">
        <v>63</v>
      </c>
      <c r="H700" s="7">
        <v>1.0</v>
      </c>
      <c r="I700" s="7">
        <v>9.0</v>
      </c>
      <c r="J700" s="7">
        <v>7.0</v>
      </c>
      <c r="K700" s="7" t="s">
        <v>28</v>
      </c>
      <c r="L700" s="9" t="str">
        <f>VLOOKUP(K700, 'Alphabetical by species code'!A:B, 2, FALSE)</f>
        <v>Litter</v>
      </c>
      <c r="M700" s="9" t="str">
        <f>VLOOKUP(L700, 'Alphabetical by species code'!B:C, 2, FALSE)</f>
        <v>Ground Cover</v>
      </c>
    </row>
    <row r="701">
      <c r="A701" s="7">
        <v>8.0</v>
      </c>
      <c r="B701" s="7">
        <v>2025.0</v>
      </c>
      <c r="C701" s="10">
        <v>45764.0</v>
      </c>
      <c r="D701" s="7" t="s">
        <v>72</v>
      </c>
      <c r="E701" s="7" t="s">
        <v>26</v>
      </c>
      <c r="F701" s="7">
        <v>1.0</v>
      </c>
      <c r="G701" s="7" t="s">
        <v>63</v>
      </c>
      <c r="H701" s="7">
        <v>1.0</v>
      </c>
      <c r="I701" s="7">
        <v>9.0</v>
      </c>
      <c r="J701" s="7">
        <v>7.0</v>
      </c>
      <c r="K701" s="7" t="s">
        <v>36</v>
      </c>
      <c r="L701" s="9" t="str">
        <f>VLOOKUP(K701, 'Alphabetical by species code'!A:B, 2, FALSE)</f>
        <v>Bromus madritensis</v>
      </c>
      <c r="M701" s="9" t="str">
        <f>VLOOKUP(L701, 'Alphabetical by species code'!B:C, 2, FALSE)</f>
        <v>Non-Native</v>
      </c>
    </row>
    <row r="702">
      <c r="A702" s="7">
        <v>8.0</v>
      </c>
      <c r="B702" s="7">
        <v>2025.0</v>
      </c>
      <c r="C702" s="10">
        <v>45764.0</v>
      </c>
      <c r="D702" s="7" t="s">
        <v>72</v>
      </c>
      <c r="E702" s="7" t="s">
        <v>26</v>
      </c>
      <c r="F702" s="7">
        <v>1.0</v>
      </c>
      <c r="G702" s="7" t="s">
        <v>63</v>
      </c>
      <c r="H702" s="7">
        <v>1.0</v>
      </c>
      <c r="I702" s="7">
        <v>9.0</v>
      </c>
      <c r="J702" s="7">
        <v>7.0</v>
      </c>
      <c r="K702" s="7" t="s">
        <v>35</v>
      </c>
      <c r="L702" s="9" t="str">
        <f>VLOOKUP(K702, 'Alphabetical by species code'!A:B, 2, FALSE)</f>
        <v>Deinandra fasciculata</v>
      </c>
      <c r="M702" s="9" t="str">
        <f>VLOOKUP(L702, 'Alphabetical by species code'!B:C, 2, FALSE)</f>
        <v>Native</v>
      </c>
    </row>
    <row r="703">
      <c r="A703" s="7">
        <v>8.0</v>
      </c>
      <c r="B703" s="7">
        <v>2025.0</v>
      </c>
      <c r="C703" s="10">
        <v>45764.0</v>
      </c>
      <c r="D703" s="7" t="s">
        <v>72</v>
      </c>
      <c r="E703" s="7" t="s">
        <v>26</v>
      </c>
      <c r="F703" s="7">
        <v>1.0</v>
      </c>
      <c r="G703" s="7" t="s">
        <v>63</v>
      </c>
      <c r="H703" s="7">
        <v>1.0</v>
      </c>
      <c r="I703" s="7">
        <v>9.0</v>
      </c>
      <c r="J703" s="7">
        <v>7.0</v>
      </c>
      <c r="K703" s="7" t="s">
        <v>48</v>
      </c>
      <c r="L703" s="9" t="str">
        <f>VLOOKUP(K703, 'Alphabetical by species code'!A:B, 2, FALSE)</f>
        <v>Sonchus asper</v>
      </c>
      <c r="M703" s="9" t="str">
        <f>VLOOKUP(L703, 'Alphabetical by species code'!B:C, 2, FALSE)</f>
        <v>Non-Native</v>
      </c>
    </row>
    <row r="704">
      <c r="A704" s="7">
        <v>8.0</v>
      </c>
      <c r="B704" s="7">
        <v>2025.0</v>
      </c>
      <c r="C704" s="10">
        <v>45764.0</v>
      </c>
      <c r="D704" s="7" t="s">
        <v>72</v>
      </c>
      <c r="E704" s="7" t="s">
        <v>26</v>
      </c>
      <c r="F704" s="7">
        <v>1.0</v>
      </c>
      <c r="G704" s="7" t="s">
        <v>63</v>
      </c>
      <c r="H704" s="7">
        <v>1.0</v>
      </c>
      <c r="I704" s="7">
        <v>10.0</v>
      </c>
      <c r="J704" s="7">
        <v>8.0</v>
      </c>
      <c r="K704" s="7" t="s">
        <v>28</v>
      </c>
      <c r="L704" s="9" t="str">
        <f>VLOOKUP(K704, 'Alphabetical by species code'!A:B, 2, FALSE)</f>
        <v>Litter</v>
      </c>
      <c r="M704" s="9" t="str">
        <f>VLOOKUP(L704, 'Alphabetical by species code'!B:C, 2, FALSE)</f>
        <v>Ground Cover</v>
      </c>
    </row>
    <row r="705">
      <c r="A705" s="7">
        <v>8.0</v>
      </c>
      <c r="B705" s="7">
        <v>2025.0</v>
      </c>
      <c r="C705" s="10">
        <v>45764.0</v>
      </c>
      <c r="D705" s="7" t="s">
        <v>72</v>
      </c>
      <c r="E705" s="7" t="s">
        <v>26</v>
      </c>
      <c r="F705" s="7">
        <v>1.0</v>
      </c>
      <c r="G705" s="7" t="s">
        <v>63</v>
      </c>
      <c r="H705" s="7">
        <v>1.0</v>
      </c>
      <c r="I705" s="7">
        <v>10.0</v>
      </c>
      <c r="J705" s="7">
        <v>8.0</v>
      </c>
      <c r="K705" s="7" t="s">
        <v>37</v>
      </c>
      <c r="L705" s="9" t="str">
        <f>VLOOKUP(K705, 'Alphabetical by species code'!A:B, 2, FALSE)</f>
        <v>Sonchus oleraceus</v>
      </c>
      <c r="M705" s="9" t="str">
        <f>VLOOKUP(L705, 'Alphabetical by species code'!B:C, 2, FALSE)</f>
        <v>Non-Native</v>
      </c>
    </row>
    <row r="706">
      <c r="A706" s="7">
        <v>8.0</v>
      </c>
      <c r="B706" s="7">
        <v>2025.0</v>
      </c>
      <c r="C706" s="10">
        <v>45764.0</v>
      </c>
      <c r="D706" s="7" t="s">
        <v>72</v>
      </c>
      <c r="E706" s="7" t="s">
        <v>26</v>
      </c>
      <c r="F706" s="7">
        <v>1.0</v>
      </c>
      <c r="G706" s="7" t="s">
        <v>63</v>
      </c>
      <c r="H706" s="7">
        <v>1.0</v>
      </c>
      <c r="I706" s="7">
        <v>10.0</v>
      </c>
      <c r="J706" s="7">
        <v>8.0</v>
      </c>
      <c r="K706" s="7" t="s">
        <v>36</v>
      </c>
      <c r="L706" s="9" t="str">
        <f>VLOOKUP(K706, 'Alphabetical by species code'!A:B, 2, FALSE)</f>
        <v>Bromus madritensis</v>
      </c>
      <c r="M706" s="9" t="str">
        <f>VLOOKUP(L706, 'Alphabetical by species code'!B:C, 2, FALSE)</f>
        <v>Non-Native</v>
      </c>
    </row>
    <row r="707">
      <c r="A707" s="7">
        <v>8.0</v>
      </c>
      <c r="B707" s="7">
        <v>2025.0</v>
      </c>
      <c r="C707" s="10">
        <v>45764.0</v>
      </c>
      <c r="D707" s="7" t="s">
        <v>72</v>
      </c>
      <c r="E707" s="7" t="s">
        <v>26</v>
      </c>
      <c r="F707" s="7">
        <v>1.0</v>
      </c>
      <c r="G707" s="7" t="s">
        <v>63</v>
      </c>
      <c r="H707" s="7">
        <v>1.0</v>
      </c>
      <c r="I707" s="7">
        <v>11.0</v>
      </c>
      <c r="J707" s="7">
        <v>8.5</v>
      </c>
      <c r="K707" s="7" t="s">
        <v>28</v>
      </c>
      <c r="L707" s="9" t="str">
        <f>VLOOKUP(K707, 'Alphabetical by species code'!A:B, 2, FALSE)</f>
        <v>Litter</v>
      </c>
      <c r="M707" s="9" t="str">
        <f>VLOOKUP(L707, 'Alphabetical by species code'!B:C, 2, FALSE)</f>
        <v>Ground Cover</v>
      </c>
    </row>
    <row r="708">
      <c r="A708" s="7">
        <v>8.0</v>
      </c>
      <c r="B708" s="7">
        <v>2025.0</v>
      </c>
      <c r="C708" s="10">
        <v>45764.0</v>
      </c>
      <c r="D708" s="7" t="s">
        <v>72</v>
      </c>
      <c r="E708" s="7" t="s">
        <v>26</v>
      </c>
      <c r="F708" s="7">
        <v>1.0</v>
      </c>
      <c r="G708" s="7" t="s">
        <v>63</v>
      </c>
      <c r="H708" s="7">
        <v>1.0</v>
      </c>
      <c r="I708" s="7">
        <v>11.0</v>
      </c>
      <c r="J708" s="7">
        <v>8.5</v>
      </c>
      <c r="K708" s="7" t="s">
        <v>31</v>
      </c>
      <c r="L708" s="9" t="str">
        <f>VLOOKUP(K708, 'Alphabetical by species code'!A:B, 2, FALSE)</f>
        <v>Festuca myuros</v>
      </c>
      <c r="M708" s="9" t="str">
        <f>VLOOKUP(L708, 'Alphabetical by species code'!B:C, 2, FALSE)</f>
        <v>Non-Native</v>
      </c>
    </row>
    <row r="709">
      <c r="A709" s="7">
        <v>8.0</v>
      </c>
      <c r="B709" s="7">
        <v>2025.0</v>
      </c>
      <c r="C709" s="10">
        <v>45764.0</v>
      </c>
      <c r="D709" s="7" t="s">
        <v>72</v>
      </c>
      <c r="E709" s="7" t="s">
        <v>26</v>
      </c>
      <c r="F709" s="7">
        <v>1.0</v>
      </c>
      <c r="G709" s="7" t="s">
        <v>63</v>
      </c>
      <c r="H709" s="7">
        <v>1.0</v>
      </c>
      <c r="I709" s="7">
        <v>11.0</v>
      </c>
      <c r="J709" s="7">
        <v>8.5</v>
      </c>
      <c r="K709" s="7" t="s">
        <v>35</v>
      </c>
      <c r="L709" s="9" t="str">
        <f>VLOOKUP(K709, 'Alphabetical by species code'!A:B, 2, FALSE)</f>
        <v>Deinandra fasciculata</v>
      </c>
      <c r="M709" s="9" t="str">
        <f>VLOOKUP(L709, 'Alphabetical by species code'!B:C, 2, FALSE)</f>
        <v>Native</v>
      </c>
    </row>
    <row r="710">
      <c r="A710" s="7">
        <v>8.0</v>
      </c>
      <c r="B710" s="7">
        <v>2025.0</v>
      </c>
      <c r="C710" s="10">
        <v>45764.0</v>
      </c>
      <c r="D710" s="7" t="s">
        <v>72</v>
      </c>
      <c r="E710" s="7" t="s">
        <v>26</v>
      </c>
      <c r="F710" s="7">
        <v>1.0</v>
      </c>
      <c r="G710" s="7" t="s">
        <v>63</v>
      </c>
      <c r="H710" s="7">
        <v>1.0</v>
      </c>
      <c r="I710" s="7">
        <v>12.0</v>
      </c>
      <c r="J710" s="7">
        <v>9.0</v>
      </c>
      <c r="K710" s="7" t="s">
        <v>28</v>
      </c>
      <c r="L710" s="9" t="str">
        <f>VLOOKUP(K710, 'Alphabetical by species code'!A:B, 2, FALSE)</f>
        <v>Litter</v>
      </c>
      <c r="M710" s="9" t="str">
        <f>VLOOKUP(L710, 'Alphabetical by species code'!B:C, 2, FALSE)</f>
        <v>Ground Cover</v>
      </c>
    </row>
    <row r="711">
      <c r="A711" s="7">
        <v>8.0</v>
      </c>
      <c r="B711" s="7">
        <v>2025.0</v>
      </c>
      <c r="C711" s="10">
        <v>45764.0</v>
      </c>
      <c r="D711" s="7" t="s">
        <v>72</v>
      </c>
      <c r="E711" s="7" t="s">
        <v>26</v>
      </c>
      <c r="F711" s="7">
        <v>1.0</v>
      </c>
      <c r="G711" s="7" t="s">
        <v>63</v>
      </c>
      <c r="H711" s="7">
        <v>1.0</v>
      </c>
      <c r="I711" s="7">
        <v>12.0</v>
      </c>
      <c r="J711" s="7">
        <v>9.0</v>
      </c>
      <c r="K711" s="7" t="s">
        <v>48</v>
      </c>
      <c r="L711" s="9" t="str">
        <f>VLOOKUP(K711, 'Alphabetical by species code'!A:B, 2, FALSE)</f>
        <v>Sonchus asper</v>
      </c>
      <c r="M711" s="9" t="str">
        <f>VLOOKUP(L711, 'Alphabetical by species code'!B:C, 2, FALSE)</f>
        <v>Non-Native</v>
      </c>
    </row>
    <row r="712">
      <c r="A712" s="7">
        <v>8.0</v>
      </c>
      <c r="B712" s="7">
        <v>2025.0</v>
      </c>
      <c r="C712" s="10">
        <v>45764.0</v>
      </c>
      <c r="D712" s="7" t="s">
        <v>72</v>
      </c>
      <c r="E712" s="7" t="s">
        <v>26</v>
      </c>
      <c r="F712" s="7">
        <v>1.0</v>
      </c>
      <c r="G712" s="7" t="s">
        <v>63</v>
      </c>
      <c r="H712" s="7">
        <v>1.0</v>
      </c>
      <c r="I712" s="7">
        <v>13.0</v>
      </c>
      <c r="J712" s="7">
        <v>10.0</v>
      </c>
      <c r="K712" s="7" t="s">
        <v>28</v>
      </c>
      <c r="L712" s="9" t="str">
        <f>VLOOKUP(K712, 'Alphabetical by species code'!A:B, 2, FALSE)</f>
        <v>Litter</v>
      </c>
      <c r="M712" s="9" t="str">
        <f>VLOOKUP(L712, 'Alphabetical by species code'!B:C, 2, FALSE)</f>
        <v>Ground Cover</v>
      </c>
    </row>
    <row r="713">
      <c r="A713" s="7">
        <v>8.0</v>
      </c>
      <c r="B713" s="7">
        <v>2025.0</v>
      </c>
      <c r="C713" s="10">
        <v>45764.0</v>
      </c>
      <c r="D713" s="7" t="s">
        <v>72</v>
      </c>
      <c r="E713" s="7" t="s">
        <v>26</v>
      </c>
      <c r="F713" s="7">
        <v>1.0</v>
      </c>
      <c r="G713" s="7" t="s">
        <v>63</v>
      </c>
      <c r="H713" s="7">
        <v>1.0</v>
      </c>
      <c r="I713" s="7">
        <v>13.0</v>
      </c>
      <c r="J713" s="7">
        <v>10.0</v>
      </c>
      <c r="K713" s="7" t="s">
        <v>35</v>
      </c>
      <c r="L713" s="9" t="str">
        <f>VLOOKUP(K713, 'Alphabetical by species code'!A:B, 2, FALSE)</f>
        <v>Deinandra fasciculata</v>
      </c>
      <c r="M713" s="9" t="str">
        <f>VLOOKUP(L713, 'Alphabetical by species code'!B:C, 2, FALSE)</f>
        <v>Native</v>
      </c>
    </row>
    <row r="714">
      <c r="A714" s="7">
        <v>8.0</v>
      </c>
      <c r="B714" s="7">
        <v>2025.0</v>
      </c>
      <c r="C714" s="10">
        <v>45764.0</v>
      </c>
      <c r="D714" s="7" t="s">
        <v>72</v>
      </c>
      <c r="E714" s="7" t="s">
        <v>26</v>
      </c>
      <c r="F714" s="7">
        <v>1.0</v>
      </c>
      <c r="G714" s="7" t="s">
        <v>63</v>
      </c>
      <c r="H714" s="7">
        <v>1.0</v>
      </c>
      <c r="I714" s="7">
        <v>14.0</v>
      </c>
      <c r="J714" s="7">
        <v>11.0</v>
      </c>
      <c r="K714" s="7" t="s">
        <v>28</v>
      </c>
      <c r="L714" s="9" t="str">
        <f>VLOOKUP(K714, 'Alphabetical by species code'!A:B, 2, FALSE)</f>
        <v>Litter</v>
      </c>
      <c r="M714" s="9" t="str">
        <f>VLOOKUP(L714, 'Alphabetical by species code'!B:C, 2, FALSE)</f>
        <v>Ground Cover</v>
      </c>
    </row>
    <row r="715">
      <c r="A715" s="7">
        <v>8.0</v>
      </c>
      <c r="B715" s="7">
        <v>2025.0</v>
      </c>
      <c r="C715" s="10">
        <v>45764.0</v>
      </c>
      <c r="D715" s="7" t="s">
        <v>72</v>
      </c>
      <c r="E715" s="7" t="s">
        <v>26</v>
      </c>
      <c r="F715" s="7">
        <v>1.0</v>
      </c>
      <c r="G715" s="7" t="s">
        <v>63</v>
      </c>
      <c r="H715" s="7">
        <v>1.0</v>
      </c>
      <c r="I715" s="7">
        <v>14.0</v>
      </c>
      <c r="J715" s="7">
        <v>11.0</v>
      </c>
      <c r="K715" s="7" t="s">
        <v>36</v>
      </c>
      <c r="L715" s="9" t="str">
        <f>VLOOKUP(K715, 'Alphabetical by species code'!A:B, 2, FALSE)</f>
        <v>Bromus madritensis</v>
      </c>
      <c r="M715" s="9" t="str">
        <f>VLOOKUP(L715, 'Alphabetical by species code'!B:C, 2, FALSE)</f>
        <v>Non-Native</v>
      </c>
    </row>
    <row r="716">
      <c r="A716" s="7">
        <v>8.0</v>
      </c>
      <c r="B716" s="7">
        <v>2025.0</v>
      </c>
      <c r="C716" s="10">
        <v>45764.0</v>
      </c>
      <c r="D716" s="7" t="s">
        <v>72</v>
      </c>
      <c r="E716" s="7" t="s">
        <v>26</v>
      </c>
      <c r="F716" s="7">
        <v>1.0</v>
      </c>
      <c r="G716" s="7" t="s">
        <v>63</v>
      </c>
      <c r="H716" s="7">
        <v>1.0</v>
      </c>
      <c r="I716" s="7">
        <v>15.0</v>
      </c>
      <c r="J716" s="7">
        <v>12.0</v>
      </c>
      <c r="K716" s="7" t="s">
        <v>51</v>
      </c>
      <c r="L716" s="9" t="str">
        <f>VLOOKUP(K716, 'Alphabetical by species code'!A:B, 2, FALSE)</f>
        <v>Bareground</v>
      </c>
      <c r="M716" s="9" t="str">
        <f>VLOOKUP(L716, 'Alphabetical by species code'!B:C, 2, FALSE)</f>
        <v>Ground Cover</v>
      </c>
    </row>
    <row r="717">
      <c r="A717" s="7">
        <v>8.0</v>
      </c>
      <c r="B717" s="7">
        <v>2025.0</v>
      </c>
      <c r="C717" s="10">
        <v>45764.0</v>
      </c>
      <c r="D717" s="7" t="s">
        <v>72</v>
      </c>
      <c r="E717" s="7" t="s">
        <v>26</v>
      </c>
      <c r="F717" s="7">
        <v>1.0</v>
      </c>
      <c r="G717" s="7" t="s">
        <v>63</v>
      </c>
      <c r="H717" s="7">
        <v>2.0</v>
      </c>
      <c r="I717" s="7">
        <v>1.0</v>
      </c>
      <c r="J717" s="7">
        <v>0.0</v>
      </c>
      <c r="K717" s="7" t="s">
        <v>60</v>
      </c>
      <c r="L717" s="9" t="str">
        <f>VLOOKUP(K717, 'Alphabetical by species code'!A:B, 2, FALSE)</f>
        <v>Moss</v>
      </c>
      <c r="M717" s="9" t="str">
        <f>VLOOKUP(L717, 'Alphabetical by species code'!B:C, 2, FALSE)</f>
        <v>Ground Cover</v>
      </c>
    </row>
    <row r="718">
      <c r="A718" s="7">
        <v>8.0</v>
      </c>
      <c r="B718" s="7">
        <v>2025.0</v>
      </c>
      <c r="C718" s="10">
        <v>45764.0</v>
      </c>
      <c r="D718" s="7" t="s">
        <v>72</v>
      </c>
      <c r="E718" s="7" t="s">
        <v>26</v>
      </c>
      <c r="F718" s="7">
        <v>1.0</v>
      </c>
      <c r="G718" s="7" t="s">
        <v>63</v>
      </c>
      <c r="H718" s="7">
        <v>2.0</v>
      </c>
      <c r="I718" s="7">
        <v>1.0</v>
      </c>
      <c r="J718" s="7">
        <v>0.0</v>
      </c>
      <c r="K718" s="7" t="s">
        <v>40</v>
      </c>
      <c r="L718" s="9" t="str">
        <f>VLOOKUP(K718, 'Alphabetical by species code'!A:B, 2, FALSE)</f>
        <v>Cylindropuntia prolifera</v>
      </c>
      <c r="M718" s="9" t="str">
        <f>VLOOKUP(L718, 'Alphabetical by species code'!B:C, 2, FALSE)</f>
        <v>Native</v>
      </c>
    </row>
    <row r="719">
      <c r="A719" s="7">
        <v>8.0</v>
      </c>
      <c r="B719" s="7">
        <v>2025.0</v>
      </c>
      <c r="C719" s="10">
        <v>45764.0</v>
      </c>
      <c r="D719" s="7" t="s">
        <v>72</v>
      </c>
      <c r="E719" s="7" t="s">
        <v>26</v>
      </c>
      <c r="F719" s="7">
        <v>1.0</v>
      </c>
      <c r="G719" s="7" t="s">
        <v>63</v>
      </c>
      <c r="H719" s="7">
        <v>2.0</v>
      </c>
      <c r="I719" s="7">
        <v>1.0</v>
      </c>
      <c r="J719" s="7">
        <v>0.0</v>
      </c>
      <c r="K719" s="7" t="s">
        <v>37</v>
      </c>
      <c r="L719" s="9" t="str">
        <f>VLOOKUP(K719, 'Alphabetical by species code'!A:B, 2, FALSE)</f>
        <v>Sonchus oleraceus</v>
      </c>
      <c r="M719" s="9" t="str">
        <f>VLOOKUP(L719, 'Alphabetical by species code'!B:C, 2, FALSE)</f>
        <v>Non-Native</v>
      </c>
    </row>
    <row r="720">
      <c r="A720" s="7">
        <v>8.0</v>
      </c>
      <c r="B720" s="7">
        <v>2025.0</v>
      </c>
      <c r="C720" s="10">
        <v>45764.0</v>
      </c>
      <c r="D720" s="7" t="s">
        <v>72</v>
      </c>
      <c r="E720" s="7" t="s">
        <v>26</v>
      </c>
      <c r="F720" s="7">
        <v>1.0</v>
      </c>
      <c r="G720" s="7" t="s">
        <v>63</v>
      </c>
      <c r="H720" s="7">
        <v>2.0</v>
      </c>
      <c r="I720" s="7">
        <v>1.0</v>
      </c>
      <c r="J720" s="7">
        <v>0.0</v>
      </c>
      <c r="K720" s="7" t="s">
        <v>73</v>
      </c>
      <c r="L720" s="9" t="str">
        <f>VLOOKUP(K720, 'Alphabetical by species code'!A:B, 2, FALSE)</f>
        <v>Eriogonum fasciculatum</v>
      </c>
      <c r="M720" s="9" t="str">
        <f>VLOOKUP(L720, 'Alphabetical by species code'!B:C, 2, FALSE)</f>
        <v>Native</v>
      </c>
    </row>
    <row r="721">
      <c r="A721" s="7">
        <v>8.0</v>
      </c>
      <c r="B721" s="7">
        <v>2025.0</v>
      </c>
      <c r="C721" s="10">
        <v>45764.0</v>
      </c>
      <c r="D721" s="7" t="s">
        <v>72</v>
      </c>
      <c r="E721" s="7" t="s">
        <v>26</v>
      </c>
      <c r="F721" s="7">
        <v>1.0</v>
      </c>
      <c r="G721" s="7" t="s">
        <v>63</v>
      </c>
      <c r="H721" s="7">
        <v>2.0</v>
      </c>
      <c r="I721" s="7">
        <v>2.0</v>
      </c>
      <c r="J721" s="7">
        <v>1.0</v>
      </c>
      <c r="K721" s="7" t="s">
        <v>28</v>
      </c>
      <c r="L721" s="9" t="str">
        <f>VLOOKUP(K721, 'Alphabetical by species code'!A:B, 2, FALSE)</f>
        <v>Litter</v>
      </c>
      <c r="M721" s="9" t="str">
        <f>VLOOKUP(L721, 'Alphabetical by species code'!B:C, 2, FALSE)</f>
        <v>Ground Cover</v>
      </c>
    </row>
    <row r="722">
      <c r="A722" s="7">
        <v>8.0</v>
      </c>
      <c r="B722" s="7">
        <v>2025.0</v>
      </c>
      <c r="C722" s="10">
        <v>45764.0</v>
      </c>
      <c r="D722" s="7" t="s">
        <v>72</v>
      </c>
      <c r="E722" s="7" t="s">
        <v>26</v>
      </c>
      <c r="F722" s="7">
        <v>1.0</v>
      </c>
      <c r="G722" s="7" t="s">
        <v>63</v>
      </c>
      <c r="H722" s="7">
        <v>2.0</v>
      </c>
      <c r="I722" s="7">
        <v>2.0</v>
      </c>
      <c r="J722" s="7">
        <v>1.0</v>
      </c>
      <c r="K722" s="7" t="s">
        <v>32</v>
      </c>
      <c r="L722" s="9" t="str">
        <f>VLOOKUP(K722, 'Alphabetical by species code'!A:B, 2, FALSE)</f>
        <v>Medicago polymorpha</v>
      </c>
      <c r="M722" s="9" t="str">
        <f>VLOOKUP(L722, 'Alphabetical by species code'!B:C, 2, FALSE)</f>
        <v>Non-Native</v>
      </c>
    </row>
    <row r="723">
      <c r="A723" s="7">
        <v>8.0</v>
      </c>
      <c r="B723" s="7">
        <v>2025.0</v>
      </c>
      <c r="C723" s="10">
        <v>45764.0</v>
      </c>
      <c r="D723" s="7" t="s">
        <v>72</v>
      </c>
      <c r="E723" s="7" t="s">
        <v>26</v>
      </c>
      <c r="F723" s="7">
        <v>1.0</v>
      </c>
      <c r="G723" s="7" t="s">
        <v>63</v>
      </c>
      <c r="H723" s="7">
        <v>2.0</v>
      </c>
      <c r="I723" s="7">
        <v>2.0</v>
      </c>
      <c r="J723" s="7">
        <v>1.0</v>
      </c>
      <c r="K723" s="7" t="s">
        <v>34</v>
      </c>
      <c r="L723" s="9" t="str">
        <f>VLOOKUP(K723, 'Alphabetical by species code'!A:B, 2, FALSE)</f>
        <v>Erodium cicutarium</v>
      </c>
      <c r="M723" s="9" t="str">
        <f>VLOOKUP(L723, 'Alphabetical by species code'!B:C, 2, FALSE)</f>
        <v>Non-Native</v>
      </c>
    </row>
    <row r="724">
      <c r="A724" s="7">
        <v>8.0</v>
      </c>
      <c r="B724" s="7">
        <v>2025.0</v>
      </c>
      <c r="C724" s="10">
        <v>45764.0</v>
      </c>
      <c r="D724" s="7" t="s">
        <v>72</v>
      </c>
      <c r="E724" s="7" t="s">
        <v>26</v>
      </c>
      <c r="F724" s="7">
        <v>1.0</v>
      </c>
      <c r="G724" s="7" t="s">
        <v>63</v>
      </c>
      <c r="H724" s="7">
        <v>2.0</v>
      </c>
      <c r="I724" s="7">
        <v>3.0</v>
      </c>
      <c r="J724" s="7">
        <v>1.5</v>
      </c>
      <c r="K724" s="7" t="s">
        <v>28</v>
      </c>
      <c r="L724" s="9" t="str">
        <f>VLOOKUP(K724, 'Alphabetical by species code'!A:B, 2, FALSE)</f>
        <v>Litter</v>
      </c>
      <c r="M724" s="9" t="str">
        <f>VLOOKUP(L724, 'Alphabetical by species code'!B:C, 2, FALSE)</f>
        <v>Ground Cover</v>
      </c>
    </row>
    <row r="725">
      <c r="A725" s="7">
        <v>8.0</v>
      </c>
      <c r="B725" s="7">
        <v>2025.0</v>
      </c>
      <c r="C725" s="10">
        <v>45764.0</v>
      </c>
      <c r="D725" s="7" t="s">
        <v>72</v>
      </c>
      <c r="E725" s="7" t="s">
        <v>26</v>
      </c>
      <c r="F725" s="7">
        <v>1.0</v>
      </c>
      <c r="G725" s="7" t="s">
        <v>63</v>
      </c>
      <c r="H725" s="7">
        <v>2.0</v>
      </c>
      <c r="I725" s="7">
        <v>3.0</v>
      </c>
      <c r="J725" s="7">
        <v>1.5</v>
      </c>
      <c r="K725" s="7" t="s">
        <v>35</v>
      </c>
      <c r="L725" s="9" t="str">
        <f>VLOOKUP(K725, 'Alphabetical by species code'!A:B, 2, FALSE)</f>
        <v>Deinandra fasciculata</v>
      </c>
      <c r="M725" s="9" t="str">
        <f>VLOOKUP(L725, 'Alphabetical by species code'!B:C, 2, FALSE)</f>
        <v>Native</v>
      </c>
    </row>
    <row r="726">
      <c r="A726" s="7">
        <v>8.0</v>
      </c>
      <c r="B726" s="7">
        <v>2025.0</v>
      </c>
      <c r="C726" s="10">
        <v>45764.0</v>
      </c>
      <c r="D726" s="7" t="s">
        <v>72</v>
      </c>
      <c r="E726" s="7" t="s">
        <v>26</v>
      </c>
      <c r="F726" s="7">
        <v>1.0</v>
      </c>
      <c r="G726" s="7" t="s">
        <v>63</v>
      </c>
      <c r="H726" s="7">
        <v>2.0</v>
      </c>
      <c r="I726" s="7">
        <v>3.0</v>
      </c>
      <c r="J726" s="7">
        <v>1.5</v>
      </c>
      <c r="K726" s="7" t="s">
        <v>30</v>
      </c>
      <c r="L726" s="9" t="str">
        <f>VLOOKUP(K726, 'Alphabetical by species code'!A:B, 2, FALSE)</f>
        <v>Erodium moschatum</v>
      </c>
      <c r="M726" s="9" t="str">
        <f>VLOOKUP(L726, 'Alphabetical by species code'!B:C, 2, FALSE)</f>
        <v>Non-Native</v>
      </c>
    </row>
    <row r="727">
      <c r="A727" s="7">
        <v>8.0</v>
      </c>
      <c r="B727" s="7">
        <v>2025.0</v>
      </c>
      <c r="C727" s="10">
        <v>45764.0</v>
      </c>
      <c r="D727" s="7" t="s">
        <v>72</v>
      </c>
      <c r="E727" s="7" t="s">
        <v>26</v>
      </c>
      <c r="F727" s="7">
        <v>1.0</v>
      </c>
      <c r="G727" s="7" t="s">
        <v>63</v>
      </c>
      <c r="H727" s="7">
        <v>2.0</v>
      </c>
      <c r="I727" s="7">
        <v>4.0</v>
      </c>
      <c r="J727" s="7">
        <v>2.0</v>
      </c>
      <c r="K727" s="7" t="s">
        <v>28</v>
      </c>
      <c r="L727" s="9" t="str">
        <f>VLOOKUP(K727, 'Alphabetical by species code'!A:B, 2, FALSE)</f>
        <v>Litter</v>
      </c>
      <c r="M727" s="9" t="str">
        <f>VLOOKUP(L727, 'Alphabetical by species code'!B:C, 2, FALSE)</f>
        <v>Ground Cover</v>
      </c>
    </row>
    <row r="728">
      <c r="A728" s="7">
        <v>8.0</v>
      </c>
      <c r="B728" s="7">
        <v>2025.0</v>
      </c>
      <c r="C728" s="10">
        <v>45764.0</v>
      </c>
      <c r="D728" s="7" t="s">
        <v>72</v>
      </c>
      <c r="E728" s="7" t="s">
        <v>26</v>
      </c>
      <c r="F728" s="7">
        <v>1.0</v>
      </c>
      <c r="G728" s="7" t="s">
        <v>63</v>
      </c>
      <c r="H728" s="7">
        <v>2.0</v>
      </c>
      <c r="I728" s="7">
        <v>4.0</v>
      </c>
      <c r="J728" s="7">
        <v>2.0</v>
      </c>
      <c r="K728" s="7" t="s">
        <v>36</v>
      </c>
      <c r="L728" s="9" t="str">
        <f>VLOOKUP(K728, 'Alphabetical by species code'!A:B, 2, FALSE)</f>
        <v>Bromus madritensis</v>
      </c>
      <c r="M728" s="9" t="str">
        <f>VLOOKUP(L728, 'Alphabetical by species code'!B:C, 2, FALSE)</f>
        <v>Non-Native</v>
      </c>
    </row>
    <row r="729">
      <c r="A729" s="7">
        <v>8.0</v>
      </c>
      <c r="B729" s="7">
        <v>2025.0</v>
      </c>
      <c r="C729" s="10">
        <v>45764.0</v>
      </c>
      <c r="D729" s="7" t="s">
        <v>72</v>
      </c>
      <c r="E729" s="7" t="s">
        <v>26</v>
      </c>
      <c r="F729" s="7">
        <v>1.0</v>
      </c>
      <c r="G729" s="7" t="s">
        <v>63</v>
      </c>
      <c r="H729" s="7">
        <v>2.0</v>
      </c>
      <c r="I729" s="7">
        <v>5.0</v>
      </c>
      <c r="J729" s="7">
        <v>3.0</v>
      </c>
      <c r="K729" s="7" t="s">
        <v>51</v>
      </c>
      <c r="L729" s="9" t="str">
        <f>VLOOKUP(K729, 'Alphabetical by species code'!A:B, 2, FALSE)</f>
        <v>Bareground</v>
      </c>
      <c r="M729" s="9" t="str">
        <f>VLOOKUP(L729, 'Alphabetical by species code'!B:C, 2, FALSE)</f>
        <v>Ground Cover</v>
      </c>
    </row>
    <row r="730">
      <c r="A730" s="7">
        <v>8.0</v>
      </c>
      <c r="B730" s="7">
        <v>2025.0</v>
      </c>
      <c r="C730" s="10">
        <v>45764.0</v>
      </c>
      <c r="D730" s="7" t="s">
        <v>72</v>
      </c>
      <c r="E730" s="7" t="s">
        <v>26</v>
      </c>
      <c r="F730" s="7">
        <v>1.0</v>
      </c>
      <c r="G730" s="7" t="s">
        <v>63</v>
      </c>
      <c r="H730" s="7">
        <v>2.0</v>
      </c>
      <c r="I730" s="7">
        <v>5.0</v>
      </c>
      <c r="J730" s="7">
        <v>3.0</v>
      </c>
      <c r="K730" s="7" t="s">
        <v>36</v>
      </c>
      <c r="L730" s="9" t="str">
        <f>VLOOKUP(K730, 'Alphabetical by species code'!A:B, 2, FALSE)</f>
        <v>Bromus madritensis</v>
      </c>
      <c r="M730" s="9" t="str">
        <f>VLOOKUP(L730, 'Alphabetical by species code'!B:C, 2, FALSE)</f>
        <v>Non-Native</v>
      </c>
    </row>
    <row r="731">
      <c r="A731" s="7">
        <v>8.0</v>
      </c>
      <c r="B731" s="7">
        <v>2025.0</v>
      </c>
      <c r="C731" s="10">
        <v>45764.0</v>
      </c>
      <c r="D731" s="7" t="s">
        <v>72</v>
      </c>
      <c r="E731" s="7" t="s">
        <v>26</v>
      </c>
      <c r="F731" s="7">
        <v>1.0</v>
      </c>
      <c r="G731" s="7" t="s">
        <v>63</v>
      </c>
      <c r="H731" s="7">
        <v>2.0</v>
      </c>
      <c r="I731" s="7">
        <v>6.0</v>
      </c>
      <c r="J731" s="7">
        <v>3.5</v>
      </c>
      <c r="K731" s="7" t="s">
        <v>28</v>
      </c>
      <c r="L731" s="9" t="str">
        <f>VLOOKUP(K731, 'Alphabetical by species code'!A:B, 2, FALSE)</f>
        <v>Litter</v>
      </c>
      <c r="M731" s="9" t="str">
        <f>VLOOKUP(L731, 'Alphabetical by species code'!B:C, 2, FALSE)</f>
        <v>Ground Cover</v>
      </c>
    </row>
    <row r="732">
      <c r="A732" s="7">
        <v>8.0</v>
      </c>
      <c r="B732" s="7">
        <v>2025.0</v>
      </c>
      <c r="C732" s="10">
        <v>45764.0</v>
      </c>
      <c r="D732" s="7" t="s">
        <v>72</v>
      </c>
      <c r="E732" s="7" t="s">
        <v>26</v>
      </c>
      <c r="F732" s="7">
        <v>1.0</v>
      </c>
      <c r="G732" s="7" t="s">
        <v>63</v>
      </c>
      <c r="H732" s="7">
        <v>2.0</v>
      </c>
      <c r="I732" s="7">
        <v>6.0</v>
      </c>
      <c r="J732" s="7">
        <v>3.5</v>
      </c>
      <c r="K732" s="7" t="s">
        <v>36</v>
      </c>
      <c r="L732" s="9" t="str">
        <f>VLOOKUP(K732, 'Alphabetical by species code'!A:B, 2, FALSE)</f>
        <v>Bromus madritensis</v>
      </c>
      <c r="M732" s="9" t="str">
        <f>VLOOKUP(L732, 'Alphabetical by species code'!B:C, 2, FALSE)</f>
        <v>Non-Native</v>
      </c>
    </row>
    <row r="733">
      <c r="A733" s="7">
        <v>8.0</v>
      </c>
      <c r="B733" s="7">
        <v>2025.0</v>
      </c>
      <c r="C733" s="10">
        <v>45764.0</v>
      </c>
      <c r="D733" s="7" t="s">
        <v>72</v>
      </c>
      <c r="E733" s="7" t="s">
        <v>26</v>
      </c>
      <c r="F733" s="7">
        <v>1.0</v>
      </c>
      <c r="G733" s="7" t="s">
        <v>63</v>
      </c>
      <c r="H733" s="7">
        <v>2.0</v>
      </c>
      <c r="I733" s="7">
        <v>7.0</v>
      </c>
      <c r="J733" s="7">
        <v>4.0</v>
      </c>
      <c r="K733" s="7" t="s">
        <v>28</v>
      </c>
      <c r="L733" s="9" t="str">
        <f>VLOOKUP(K733, 'Alphabetical by species code'!A:B, 2, FALSE)</f>
        <v>Litter</v>
      </c>
      <c r="M733" s="9" t="str">
        <f>VLOOKUP(L733, 'Alphabetical by species code'!B:C, 2, FALSE)</f>
        <v>Ground Cover</v>
      </c>
    </row>
    <row r="734">
      <c r="A734" s="7">
        <v>8.0</v>
      </c>
      <c r="B734" s="7">
        <v>2025.0</v>
      </c>
      <c r="C734" s="10">
        <v>45764.0</v>
      </c>
      <c r="D734" s="7" t="s">
        <v>72</v>
      </c>
      <c r="E734" s="7" t="s">
        <v>26</v>
      </c>
      <c r="F734" s="7">
        <v>1.0</v>
      </c>
      <c r="G734" s="7" t="s">
        <v>63</v>
      </c>
      <c r="H734" s="7">
        <v>2.0</v>
      </c>
      <c r="I734" s="7">
        <v>7.0</v>
      </c>
      <c r="J734" s="7">
        <v>4.0</v>
      </c>
      <c r="K734" s="7" t="s">
        <v>36</v>
      </c>
      <c r="L734" s="9" t="str">
        <f>VLOOKUP(K734, 'Alphabetical by species code'!A:B, 2, FALSE)</f>
        <v>Bromus madritensis</v>
      </c>
      <c r="M734" s="9" t="str">
        <f>VLOOKUP(L734, 'Alphabetical by species code'!B:C, 2, FALSE)</f>
        <v>Non-Native</v>
      </c>
    </row>
    <row r="735">
      <c r="A735" s="7">
        <v>8.0</v>
      </c>
      <c r="B735" s="7">
        <v>2025.0</v>
      </c>
      <c r="C735" s="10">
        <v>45764.0</v>
      </c>
      <c r="D735" s="7" t="s">
        <v>72</v>
      </c>
      <c r="E735" s="7" t="s">
        <v>26</v>
      </c>
      <c r="F735" s="7">
        <v>1.0</v>
      </c>
      <c r="G735" s="7" t="s">
        <v>63</v>
      </c>
      <c r="H735" s="7">
        <v>2.0</v>
      </c>
      <c r="I735" s="7">
        <v>8.0</v>
      </c>
      <c r="J735" s="7">
        <v>5.0</v>
      </c>
      <c r="K735" s="7" t="s">
        <v>28</v>
      </c>
      <c r="L735" s="9" t="str">
        <f>VLOOKUP(K735, 'Alphabetical by species code'!A:B, 2, FALSE)</f>
        <v>Litter</v>
      </c>
      <c r="M735" s="9" t="str">
        <f>VLOOKUP(L735, 'Alphabetical by species code'!B:C, 2, FALSE)</f>
        <v>Ground Cover</v>
      </c>
    </row>
    <row r="736">
      <c r="A736" s="7">
        <v>8.0</v>
      </c>
      <c r="B736" s="7">
        <v>2025.0</v>
      </c>
      <c r="C736" s="10">
        <v>45764.0</v>
      </c>
      <c r="D736" s="7" t="s">
        <v>72</v>
      </c>
      <c r="E736" s="7" t="s">
        <v>26</v>
      </c>
      <c r="F736" s="7">
        <v>1.0</v>
      </c>
      <c r="G736" s="7" t="s">
        <v>63</v>
      </c>
      <c r="H736" s="7">
        <v>2.0</v>
      </c>
      <c r="I736" s="7">
        <v>8.0</v>
      </c>
      <c r="J736" s="7">
        <v>5.0</v>
      </c>
      <c r="K736" s="7" t="s">
        <v>35</v>
      </c>
      <c r="L736" s="9" t="str">
        <f>VLOOKUP(K736, 'Alphabetical by species code'!A:B, 2, FALSE)</f>
        <v>Deinandra fasciculata</v>
      </c>
      <c r="M736" s="9" t="str">
        <f>VLOOKUP(L736, 'Alphabetical by species code'!B:C, 2, FALSE)</f>
        <v>Native</v>
      </c>
    </row>
    <row r="737">
      <c r="A737" s="7">
        <v>8.0</v>
      </c>
      <c r="B737" s="7">
        <v>2025.0</v>
      </c>
      <c r="C737" s="10">
        <v>45764.0</v>
      </c>
      <c r="D737" s="7" t="s">
        <v>72</v>
      </c>
      <c r="E737" s="7" t="s">
        <v>26</v>
      </c>
      <c r="F737" s="7">
        <v>1.0</v>
      </c>
      <c r="G737" s="7" t="s">
        <v>63</v>
      </c>
      <c r="H737" s="7">
        <v>2.0</v>
      </c>
      <c r="I737" s="7">
        <v>8.0</v>
      </c>
      <c r="J737" s="7">
        <v>5.0</v>
      </c>
      <c r="K737" s="7" t="s">
        <v>36</v>
      </c>
      <c r="L737" s="9" t="str">
        <f>VLOOKUP(K737, 'Alphabetical by species code'!A:B, 2, FALSE)</f>
        <v>Bromus madritensis</v>
      </c>
      <c r="M737" s="9" t="str">
        <f>VLOOKUP(L737, 'Alphabetical by species code'!B:C, 2, FALSE)</f>
        <v>Non-Native</v>
      </c>
    </row>
    <row r="738">
      <c r="A738" s="7">
        <v>8.0</v>
      </c>
      <c r="B738" s="7">
        <v>2025.0</v>
      </c>
      <c r="C738" s="10">
        <v>45764.0</v>
      </c>
      <c r="D738" s="7" t="s">
        <v>72</v>
      </c>
      <c r="E738" s="7" t="s">
        <v>26</v>
      </c>
      <c r="F738" s="7">
        <v>1.0</v>
      </c>
      <c r="G738" s="7" t="s">
        <v>63</v>
      </c>
      <c r="H738" s="7">
        <v>2.0</v>
      </c>
      <c r="I738" s="7">
        <v>9.0</v>
      </c>
      <c r="J738" s="7">
        <v>7.0</v>
      </c>
      <c r="K738" s="7" t="s">
        <v>28</v>
      </c>
      <c r="L738" s="9" t="str">
        <f>VLOOKUP(K738, 'Alphabetical by species code'!A:B, 2, FALSE)</f>
        <v>Litter</v>
      </c>
      <c r="M738" s="9" t="str">
        <f>VLOOKUP(L738, 'Alphabetical by species code'!B:C, 2, FALSE)</f>
        <v>Ground Cover</v>
      </c>
    </row>
    <row r="739">
      <c r="A739" s="7">
        <v>8.0</v>
      </c>
      <c r="B739" s="7">
        <v>2025.0</v>
      </c>
      <c r="C739" s="10">
        <v>45764.0</v>
      </c>
      <c r="D739" s="7" t="s">
        <v>72</v>
      </c>
      <c r="E739" s="7" t="s">
        <v>26</v>
      </c>
      <c r="F739" s="7">
        <v>1.0</v>
      </c>
      <c r="G739" s="7" t="s">
        <v>63</v>
      </c>
      <c r="H739" s="7">
        <v>2.0</v>
      </c>
      <c r="I739" s="7">
        <v>9.0</v>
      </c>
      <c r="J739" s="7">
        <v>7.0</v>
      </c>
      <c r="K739" s="7" t="s">
        <v>35</v>
      </c>
      <c r="L739" s="9" t="str">
        <f>VLOOKUP(K739, 'Alphabetical by species code'!A:B, 2, FALSE)</f>
        <v>Deinandra fasciculata</v>
      </c>
      <c r="M739" s="9" t="str">
        <f>VLOOKUP(L739, 'Alphabetical by species code'!B:C, 2, FALSE)</f>
        <v>Native</v>
      </c>
    </row>
    <row r="740">
      <c r="A740" s="7">
        <v>8.0</v>
      </c>
      <c r="B740" s="7">
        <v>2025.0</v>
      </c>
      <c r="C740" s="10">
        <v>45764.0</v>
      </c>
      <c r="D740" s="7" t="s">
        <v>72</v>
      </c>
      <c r="E740" s="7" t="s">
        <v>26</v>
      </c>
      <c r="F740" s="7">
        <v>1.0</v>
      </c>
      <c r="G740" s="7" t="s">
        <v>63</v>
      </c>
      <c r="H740" s="7">
        <v>2.0</v>
      </c>
      <c r="I740" s="7">
        <v>9.0</v>
      </c>
      <c r="J740" s="7">
        <v>7.0</v>
      </c>
      <c r="K740" s="7" t="s">
        <v>43</v>
      </c>
      <c r="L740" s="9" t="str">
        <f>VLOOKUP(K740, 'Alphabetical by species code'!A:B, 2, FALSE)</f>
        <v>Uropappus lindleyi</v>
      </c>
      <c r="M740" s="9" t="str">
        <f>VLOOKUP(L740, 'Alphabetical by species code'!B:C, 2, FALSE)</f>
        <v>Native</v>
      </c>
    </row>
    <row r="741">
      <c r="A741" s="7">
        <v>8.0</v>
      </c>
      <c r="B741" s="7">
        <v>2025.0</v>
      </c>
      <c r="C741" s="10">
        <v>45764.0</v>
      </c>
      <c r="D741" s="7" t="s">
        <v>72</v>
      </c>
      <c r="E741" s="7" t="s">
        <v>26</v>
      </c>
      <c r="F741" s="7">
        <v>1.0</v>
      </c>
      <c r="G741" s="7" t="s">
        <v>63</v>
      </c>
      <c r="H741" s="7">
        <v>2.0</v>
      </c>
      <c r="I741" s="7">
        <v>9.0</v>
      </c>
      <c r="J741" s="7">
        <v>7.0</v>
      </c>
      <c r="K741" s="7" t="s">
        <v>37</v>
      </c>
      <c r="L741" s="9" t="str">
        <f>VLOOKUP(K741, 'Alphabetical by species code'!A:B, 2, FALSE)</f>
        <v>Sonchus oleraceus</v>
      </c>
      <c r="M741" s="9" t="str">
        <f>VLOOKUP(L741, 'Alphabetical by species code'!B:C, 2, FALSE)</f>
        <v>Non-Native</v>
      </c>
    </row>
    <row r="742">
      <c r="A742" s="7">
        <v>8.0</v>
      </c>
      <c r="B742" s="7">
        <v>2025.0</v>
      </c>
      <c r="C742" s="10">
        <v>45764.0</v>
      </c>
      <c r="D742" s="7" t="s">
        <v>72</v>
      </c>
      <c r="E742" s="7" t="s">
        <v>26</v>
      </c>
      <c r="F742" s="7">
        <v>1.0</v>
      </c>
      <c r="G742" s="7" t="s">
        <v>63</v>
      </c>
      <c r="H742" s="7">
        <v>2.0</v>
      </c>
      <c r="I742" s="7">
        <v>10.0</v>
      </c>
      <c r="J742" s="7">
        <v>8.0</v>
      </c>
      <c r="K742" s="7" t="s">
        <v>28</v>
      </c>
      <c r="L742" s="9" t="str">
        <f>VLOOKUP(K742, 'Alphabetical by species code'!A:B, 2, FALSE)</f>
        <v>Litter</v>
      </c>
      <c r="M742" s="9" t="str">
        <f>VLOOKUP(L742, 'Alphabetical by species code'!B:C, 2, FALSE)</f>
        <v>Ground Cover</v>
      </c>
    </row>
    <row r="743">
      <c r="A743" s="7">
        <v>8.0</v>
      </c>
      <c r="B743" s="7">
        <v>2025.0</v>
      </c>
      <c r="C743" s="10">
        <v>45764.0</v>
      </c>
      <c r="D743" s="7" t="s">
        <v>72</v>
      </c>
      <c r="E743" s="7" t="s">
        <v>26</v>
      </c>
      <c r="F743" s="7">
        <v>1.0</v>
      </c>
      <c r="G743" s="7" t="s">
        <v>63</v>
      </c>
      <c r="H743" s="7">
        <v>2.0</v>
      </c>
      <c r="I743" s="7">
        <v>10.0</v>
      </c>
      <c r="J743" s="7">
        <v>8.0</v>
      </c>
      <c r="K743" s="7" t="s">
        <v>35</v>
      </c>
      <c r="L743" s="9" t="str">
        <f>VLOOKUP(K743, 'Alphabetical by species code'!A:B, 2, FALSE)</f>
        <v>Deinandra fasciculata</v>
      </c>
      <c r="M743" s="9" t="str">
        <f>VLOOKUP(L743, 'Alphabetical by species code'!B:C, 2, FALSE)</f>
        <v>Native</v>
      </c>
    </row>
    <row r="744">
      <c r="A744" s="7">
        <v>8.0</v>
      </c>
      <c r="B744" s="7">
        <v>2025.0</v>
      </c>
      <c r="C744" s="10">
        <v>45764.0</v>
      </c>
      <c r="D744" s="7" t="s">
        <v>72</v>
      </c>
      <c r="E744" s="7" t="s">
        <v>26</v>
      </c>
      <c r="F744" s="7">
        <v>1.0</v>
      </c>
      <c r="G744" s="7" t="s">
        <v>63</v>
      </c>
      <c r="H744" s="7">
        <v>2.0</v>
      </c>
      <c r="I744" s="7">
        <v>10.0</v>
      </c>
      <c r="J744" s="7">
        <v>8.0</v>
      </c>
      <c r="K744" s="7" t="s">
        <v>65</v>
      </c>
      <c r="L744" s="9" t="str">
        <f>VLOOKUP(K744, 'Alphabetical by species code'!A:B, 2, FALSE)</f>
        <v>Cryptantha intermedia</v>
      </c>
      <c r="M744" s="9" t="str">
        <f>VLOOKUP(L744, 'Alphabetical by species code'!B:C, 2, FALSE)</f>
        <v>Native</v>
      </c>
    </row>
    <row r="745">
      <c r="A745" s="7">
        <v>8.0</v>
      </c>
      <c r="B745" s="7">
        <v>2025.0</v>
      </c>
      <c r="C745" s="10">
        <v>45764.0</v>
      </c>
      <c r="D745" s="7" t="s">
        <v>72</v>
      </c>
      <c r="E745" s="7" t="s">
        <v>26</v>
      </c>
      <c r="F745" s="7">
        <v>1.0</v>
      </c>
      <c r="G745" s="7" t="s">
        <v>63</v>
      </c>
      <c r="H745" s="7">
        <v>2.0</v>
      </c>
      <c r="I745" s="7">
        <v>11.0</v>
      </c>
      <c r="J745" s="7">
        <v>8.5</v>
      </c>
      <c r="K745" s="7" t="s">
        <v>28</v>
      </c>
      <c r="L745" s="9" t="str">
        <f>VLOOKUP(K745, 'Alphabetical by species code'!A:B, 2, FALSE)</f>
        <v>Litter</v>
      </c>
      <c r="M745" s="9" t="str">
        <f>VLOOKUP(L745, 'Alphabetical by species code'!B:C, 2, FALSE)</f>
        <v>Ground Cover</v>
      </c>
    </row>
    <row r="746">
      <c r="A746" s="7">
        <v>8.0</v>
      </c>
      <c r="B746" s="7">
        <v>2025.0</v>
      </c>
      <c r="C746" s="10">
        <v>45764.0</v>
      </c>
      <c r="D746" s="7" t="s">
        <v>72</v>
      </c>
      <c r="E746" s="7" t="s">
        <v>26</v>
      </c>
      <c r="F746" s="7">
        <v>1.0</v>
      </c>
      <c r="G746" s="7" t="s">
        <v>63</v>
      </c>
      <c r="H746" s="7">
        <v>2.0</v>
      </c>
      <c r="I746" s="7">
        <v>11.0</v>
      </c>
      <c r="J746" s="7">
        <v>8.5</v>
      </c>
      <c r="K746" s="7" t="s">
        <v>35</v>
      </c>
      <c r="L746" s="9" t="str">
        <f>VLOOKUP(K746, 'Alphabetical by species code'!A:B, 2, FALSE)</f>
        <v>Deinandra fasciculata</v>
      </c>
      <c r="M746" s="9" t="str">
        <f>VLOOKUP(L746, 'Alphabetical by species code'!B:C, 2, FALSE)</f>
        <v>Native</v>
      </c>
    </row>
    <row r="747">
      <c r="A747" s="7">
        <v>8.0</v>
      </c>
      <c r="B747" s="7">
        <v>2025.0</v>
      </c>
      <c r="C747" s="10">
        <v>45764.0</v>
      </c>
      <c r="D747" s="7" t="s">
        <v>72</v>
      </c>
      <c r="E747" s="7" t="s">
        <v>26</v>
      </c>
      <c r="F747" s="7">
        <v>1.0</v>
      </c>
      <c r="G747" s="7" t="s">
        <v>63</v>
      </c>
      <c r="H747" s="7">
        <v>2.0</v>
      </c>
      <c r="I747" s="7">
        <v>12.0</v>
      </c>
      <c r="J747" s="7">
        <v>9.0</v>
      </c>
      <c r="K747" s="7" t="s">
        <v>28</v>
      </c>
      <c r="L747" s="9" t="str">
        <f>VLOOKUP(K747, 'Alphabetical by species code'!A:B, 2, FALSE)</f>
        <v>Litter</v>
      </c>
      <c r="M747" s="9" t="str">
        <f>VLOOKUP(L747, 'Alphabetical by species code'!B:C, 2, FALSE)</f>
        <v>Ground Cover</v>
      </c>
    </row>
    <row r="748">
      <c r="A748" s="7">
        <v>8.0</v>
      </c>
      <c r="B748" s="7">
        <v>2025.0</v>
      </c>
      <c r="C748" s="10">
        <v>45764.0</v>
      </c>
      <c r="D748" s="7" t="s">
        <v>72</v>
      </c>
      <c r="E748" s="7" t="s">
        <v>26</v>
      </c>
      <c r="F748" s="7">
        <v>1.0</v>
      </c>
      <c r="G748" s="7" t="s">
        <v>63</v>
      </c>
      <c r="H748" s="7">
        <v>2.0</v>
      </c>
      <c r="I748" s="7">
        <v>12.0</v>
      </c>
      <c r="J748" s="7">
        <v>9.0</v>
      </c>
      <c r="K748" s="7" t="s">
        <v>48</v>
      </c>
      <c r="L748" s="9" t="str">
        <f>VLOOKUP(K748, 'Alphabetical by species code'!A:B, 2, FALSE)</f>
        <v>Sonchus asper</v>
      </c>
      <c r="M748" s="9" t="str">
        <f>VLOOKUP(L748, 'Alphabetical by species code'!B:C, 2, FALSE)</f>
        <v>Non-Native</v>
      </c>
    </row>
    <row r="749">
      <c r="A749" s="7">
        <v>8.0</v>
      </c>
      <c r="B749" s="7">
        <v>2025.0</v>
      </c>
      <c r="C749" s="10">
        <v>45764.0</v>
      </c>
      <c r="D749" s="7" t="s">
        <v>72</v>
      </c>
      <c r="E749" s="7" t="s">
        <v>26</v>
      </c>
      <c r="F749" s="7">
        <v>1.0</v>
      </c>
      <c r="G749" s="7" t="s">
        <v>63</v>
      </c>
      <c r="H749" s="7">
        <v>2.0</v>
      </c>
      <c r="I749" s="7">
        <v>12.0</v>
      </c>
      <c r="J749" s="7">
        <v>9.0</v>
      </c>
      <c r="K749" s="7" t="s">
        <v>35</v>
      </c>
      <c r="L749" s="9" t="str">
        <f>VLOOKUP(K749, 'Alphabetical by species code'!A:B, 2, FALSE)</f>
        <v>Deinandra fasciculata</v>
      </c>
      <c r="M749" s="9" t="str">
        <f>VLOOKUP(L749, 'Alphabetical by species code'!B:C, 2, FALSE)</f>
        <v>Native</v>
      </c>
    </row>
    <row r="750">
      <c r="A750" s="7">
        <v>8.0</v>
      </c>
      <c r="B750" s="7">
        <v>2025.0</v>
      </c>
      <c r="C750" s="10">
        <v>45764.0</v>
      </c>
      <c r="D750" s="7" t="s">
        <v>72</v>
      </c>
      <c r="E750" s="7" t="s">
        <v>26</v>
      </c>
      <c r="F750" s="7">
        <v>1.0</v>
      </c>
      <c r="G750" s="7" t="s">
        <v>63</v>
      </c>
      <c r="H750" s="7">
        <v>2.0</v>
      </c>
      <c r="I750" s="7">
        <v>12.0</v>
      </c>
      <c r="J750" s="7">
        <v>9.0</v>
      </c>
      <c r="K750" s="7" t="s">
        <v>31</v>
      </c>
      <c r="L750" s="9" t="str">
        <f>VLOOKUP(K750, 'Alphabetical by species code'!A:B, 2, FALSE)</f>
        <v>Festuca myuros</v>
      </c>
      <c r="M750" s="9" t="str">
        <f>VLOOKUP(L750, 'Alphabetical by species code'!B:C, 2, FALSE)</f>
        <v>Non-Native</v>
      </c>
    </row>
    <row r="751">
      <c r="A751" s="7">
        <v>8.0</v>
      </c>
      <c r="B751" s="7">
        <v>2025.0</v>
      </c>
      <c r="C751" s="10">
        <v>45764.0</v>
      </c>
      <c r="D751" s="7" t="s">
        <v>72</v>
      </c>
      <c r="E751" s="7" t="s">
        <v>26</v>
      </c>
      <c r="F751" s="7">
        <v>1.0</v>
      </c>
      <c r="G751" s="7" t="s">
        <v>63</v>
      </c>
      <c r="H751" s="7">
        <v>2.0</v>
      </c>
      <c r="I751" s="7">
        <v>13.0</v>
      </c>
      <c r="J751" s="7">
        <v>10.0</v>
      </c>
      <c r="K751" s="7" t="s">
        <v>28</v>
      </c>
      <c r="L751" s="9" t="str">
        <f>VLOOKUP(K751, 'Alphabetical by species code'!A:B, 2, FALSE)</f>
        <v>Litter</v>
      </c>
      <c r="M751" s="9" t="str">
        <f>VLOOKUP(L751, 'Alphabetical by species code'!B:C, 2, FALSE)</f>
        <v>Ground Cover</v>
      </c>
    </row>
    <row r="752">
      <c r="A752" s="7">
        <v>8.0</v>
      </c>
      <c r="B752" s="7">
        <v>2025.0</v>
      </c>
      <c r="C752" s="10">
        <v>45764.0</v>
      </c>
      <c r="D752" s="7" t="s">
        <v>72</v>
      </c>
      <c r="E752" s="7" t="s">
        <v>26</v>
      </c>
      <c r="F752" s="7">
        <v>1.0</v>
      </c>
      <c r="G752" s="7" t="s">
        <v>63</v>
      </c>
      <c r="H752" s="7">
        <v>2.0</v>
      </c>
      <c r="I752" s="7">
        <v>13.0</v>
      </c>
      <c r="J752" s="7">
        <v>10.0</v>
      </c>
      <c r="K752" s="7" t="s">
        <v>35</v>
      </c>
      <c r="L752" s="9" t="str">
        <f>VLOOKUP(K752, 'Alphabetical by species code'!A:B, 2, FALSE)</f>
        <v>Deinandra fasciculata</v>
      </c>
      <c r="M752" s="9" t="str">
        <f>VLOOKUP(L752, 'Alphabetical by species code'!B:C, 2, FALSE)</f>
        <v>Native</v>
      </c>
    </row>
    <row r="753">
      <c r="A753" s="7">
        <v>8.0</v>
      </c>
      <c r="B753" s="7">
        <v>2025.0</v>
      </c>
      <c r="C753" s="10">
        <v>45764.0</v>
      </c>
      <c r="D753" s="7" t="s">
        <v>72</v>
      </c>
      <c r="E753" s="7" t="s">
        <v>26</v>
      </c>
      <c r="F753" s="7">
        <v>1.0</v>
      </c>
      <c r="G753" s="7" t="s">
        <v>63</v>
      </c>
      <c r="H753" s="7">
        <v>2.0</v>
      </c>
      <c r="I753" s="7">
        <v>13.0</v>
      </c>
      <c r="J753" s="7">
        <v>10.0</v>
      </c>
      <c r="K753" s="7" t="s">
        <v>31</v>
      </c>
      <c r="L753" s="9" t="str">
        <f>VLOOKUP(K753, 'Alphabetical by species code'!A:B, 2, FALSE)</f>
        <v>Festuca myuros</v>
      </c>
      <c r="M753" s="9" t="str">
        <f>VLOOKUP(L753, 'Alphabetical by species code'!B:C, 2, FALSE)</f>
        <v>Non-Native</v>
      </c>
    </row>
    <row r="754">
      <c r="A754" s="7">
        <v>8.0</v>
      </c>
      <c r="B754" s="7">
        <v>2025.0</v>
      </c>
      <c r="C754" s="10">
        <v>45764.0</v>
      </c>
      <c r="D754" s="7" t="s">
        <v>72</v>
      </c>
      <c r="E754" s="7" t="s">
        <v>26</v>
      </c>
      <c r="F754" s="7">
        <v>1.0</v>
      </c>
      <c r="G754" s="7" t="s">
        <v>63</v>
      </c>
      <c r="H754" s="7">
        <v>2.0</v>
      </c>
      <c r="I754" s="7">
        <v>14.0</v>
      </c>
      <c r="J754" s="7">
        <v>11.0</v>
      </c>
      <c r="K754" s="7" t="s">
        <v>51</v>
      </c>
      <c r="L754" s="9" t="str">
        <f>VLOOKUP(K754, 'Alphabetical by species code'!A:B, 2, FALSE)</f>
        <v>Bareground</v>
      </c>
      <c r="M754" s="9" t="str">
        <f>VLOOKUP(L754, 'Alphabetical by species code'!B:C, 2, FALSE)</f>
        <v>Ground Cover</v>
      </c>
    </row>
    <row r="755">
      <c r="A755" s="7">
        <v>8.0</v>
      </c>
      <c r="B755" s="7">
        <v>2025.0</v>
      </c>
      <c r="C755" s="10">
        <v>45764.0</v>
      </c>
      <c r="D755" s="7" t="s">
        <v>72</v>
      </c>
      <c r="E755" s="7" t="s">
        <v>26</v>
      </c>
      <c r="F755" s="7">
        <v>1.0</v>
      </c>
      <c r="G755" s="7" t="s">
        <v>63</v>
      </c>
      <c r="H755" s="7">
        <v>2.0</v>
      </c>
      <c r="I755" s="7">
        <v>14.0</v>
      </c>
      <c r="J755" s="7">
        <v>11.0</v>
      </c>
      <c r="K755" s="7" t="s">
        <v>35</v>
      </c>
      <c r="L755" s="9" t="str">
        <f>VLOOKUP(K755, 'Alphabetical by species code'!A:B, 2, FALSE)</f>
        <v>Deinandra fasciculata</v>
      </c>
      <c r="M755" s="9" t="str">
        <f>VLOOKUP(L755, 'Alphabetical by species code'!B:C, 2, FALSE)</f>
        <v>Native</v>
      </c>
    </row>
    <row r="756">
      <c r="A756" s="7">
        <v>8.0</v>
      </c>
      <c r="B756" s="7">
        <v>2025.0</v>
      </c>
      <c r="C756" s="10">
        <v>45764.0</v>
      </c>
      <c r="D756" s="7" t="s">
        <v>72</v>
      </c>
      <c r="E756" s="7" t="s">
        <v>26</v>
      </c>
      <c r="F756" s="7">
        <v>1.0</v>
      </c>
      <c r="G756" s="7" t="s">
        <v>63</v>
      </c>
      <c r="H756" s="7">
        <v>2.0</v>
      </c>
      <c r="I756" s="7">
        <v>14.0</v>
      </c>
      <c r="J756" s="7">
        <v>11.0</v>
      </c>
      <c r="K756" s="7" t="s">
        <v>31</v>
      </c>
      <c r="L756" s="9" t="str">
        <f>VLOOKUP(K756, 'Alphabetical by species code'!A:B, 2, FALSE)</f>
        <v>Festuca myuros</v>
      </c>
      <c r="M756" s="9" t="str">
        <f>VLOOKUP(L756, 'Alphabetical by species code'!B:C, 2, FALSE)</f>
        <v>Non-Native</v>
      </c>
    </row>
    <row r="757">
      <c r="A757" s="7">
        <v>8.0</v>
      </c>
      <c r="B757" s="7">
        <v>2025.0</v>
      </c>
      <c r="C757" s="10">
        <v>45764.0</v>
      </c>
      <c r="D757" s="7" t="s">
        <v>72</v>
      </c>
      <c r="E757" s="7" t="s">
        <v>26</v>
      </c>
      <c r="F757" s="7">
        <v>1.0</v>
      </c>
      <c r="G757" s="7" t="s">
        <v>63</v>
      </c>
      <c r="H757" s="7">
        <v>2.0</v>
      </c>
      <c r="I757" s="7">
        <v>15.0</v>
      </c>
      <c r="J757" s="7">
        <v>12.0</v>
      </c>
      <c r="K757" s="7" t="s">
        <v>28</v>
      </c>
      <c r="L757" s="9" t="str">
        <f>VLOOKUP(K757, 'Alphabetical by species code'!A:B, 2, FALSE)</f>
        <v>Litter</v>
      </c>
      <c r="M757" s="9" t="str">
        <f>VLOOKUP(L757, 'Alphabetical by species code'!B:C, 2, FALSE)</f>
        <v>Ground Cover</v>
      </c>
    </row>
    <row r="758">
      <c r="A758" s="7">
        <v>8.0</v>
      </c>
      <c r="B758" s="7">
        <v>2025.0</v>
      </c>
      <c r="C758" s="10">
        <v>45764.0</v>
      </c>
      <c r="D758" s="7" t="s">
        <v>72</v>
      </c>
      <c r="E758" s="7" t="s">
        <v>26</v>
      </c>
      <c r="F758" s="7">
        <v>1.0</v>
      </c>
      <c r="G758" s="7" t="s">
        <v>63</v>
      </c>
      <c r="H758" s="7">
        <v>2.0</v>
      </c>
      <c r="I758" s="7">
        <v>15.0</v>
      </c>
      <c r="J758" s="7">
        <v>12.0</v>
      </c>
      <c r="K758" s="7" t="s">
        <v>31</v>
      </c>
      <c r="L758" s="9" t="str">
        <f>VLOOKUP(K758, 'Alphabetical by species code'!A:B, 2, FALSE)</f>
        <v>Festuca myuros</v>
      </c>
      <c r="M758" s="9" t="str">
        <f>VLOOKUP(L758, 'Alphabetical by species code'!B:C, 2, FALSE)</f>
        <v>Non-Native</v>
      </c>
    </row>
    <row r="759">
      <c r="A759" s="7">
        <v>8.0</v>
      </c>
      <c r="B759" s="7">
        <v>2025.0</v>
      </c>
      <c r="C759" s="10">
        <v>45764.0</v>
      </c>
      <c r="D759" s="7" t="s">
        <v>72</v>
      </c>
      <c r="E759" s="7" t="s">
        <v>26</v>
      </c>
      <c r="F759" s="7">
        <v>1.0</v>
      </c>
      <c r="G759" s="7" t="s">
        <v>63</v>
      </c>
      <c r="H759" s="7">
        <v>2.0</v>
      </c>
      <c r="I759" s="7">
        <v>15.0</v>
      </c>
      <c r="J759" s="7">
        <v>12.0</v>
      </c>
      <c r="K759" s="7" t="s">
        <v>43</v>
      </c>
      <c r="L759" s="9" t="str">
        <f>VLOOKUP(K759, 'Alphabetical by species code'!A:B, 2, FALSE)</f>
        <v>Uropappus lindleyi</v>
      </c>
      <c r="M759" s="9" t="str">
        <f>VLOOKUP(L759, 'Alphabetical by species code'!B:C, 2, FALSE)</f>
        <v>Native</v>
      </c>
    </row>
    <row r="760">
      <c r="A760" s="7">
        <v>9.0</v>
      </c>
      <c r="B760" s="7">
        <v>2025.0</v>
      </c>
      <c r="C760" s="10">
        <v>45764.0</v>
      </c>
      <c r="D760" s="7" t="s">
        <v>74</v>
      </c>
      <c r="E760" s="7" t="s">
        <v>75</v>
      </c>
      <c r="F760" s="7">
        <v>1.0</v>
      </c>
      <c r="G760" s="7" t="s">
        <v>27</v>
      </c>
      <c r="H760" s="7">
        <v>1.0</v>
      </c>
      <c r="I760" s="7">
        <v>1.0</v>
      </c>
      <c r="J760" s="7">
        <v>0.0</v>
      </c>
      <c r="K760" s="7" t="s">
        <v>60</v>
      </c>
      <c r="L760" s="9" t="str">
        <f>VLOOKUP(K760, 'Alphabetical by species code'!A:B, 2, FALSE)</f>
        <v>Moss</v>
      </c>
      <c r="M760" s="9" t="str">
        <f>VLOOKUP(L760, 'Alphabetical by species code'!B:C, 2, FALSE)</f>
        <v>Ground Cover</v>
      </c>
    </row>
    <row r="761">
      <c r="A761" s="7">
        <v>9.0</v>
      </c>
      <c r="B761" s="7">
        <v>2025.0</v>
      </c>
      <c r="C761" s="10">
        <v>45764.0</v>
      </c>
      <c r="D761" s="7" t="s">
        <v>74</v>
      </c>
      <c r="E761" s="7" t="s">
        <v>75</v>
      </c>
      <c r="F761" s="7">
        <v>1.0</v>
      </c>
      <c r="G761" s="7" t="s">
        <v>27</v>
      </c>
      <c r="H761" s="7">
        <v>1.0</v>
      </c>
      <c r="I761" s="7">
        <v>1.0</v>
      </c>
      <c r="J761" s="7">
        <v>0.0</v>
      </c>
      <c r="K761" s="7" t="s">
        <v>29</v>
      </c>
      <c r="L761" s="9" t="str">
        <f>VLOOKUP(K761, 'Alphabetical by species code'!A:B, 2, FALSE)</f>
        <v>Opuntia littoralis</v>
      </c>
      <c r="M761" s="9" t="str">
        <f>VLOOKUP(L761, 'Alphabetical by species code'!B:C, 2, FALSE)</f>
        <v>Native</v>
      </c>
    </row>
    <row r="762">
      <c r="A762" s="7">
        <v>9.0</v>
      </c>
      <c r="B762" s="7">
        <v>2025.0</v>
      </c>
      <c r="C762" s="10">
        <v>45764.0</v>
      </c>
      <c r="D762" s="7" t="s">
        <v>74</v>
      </c>
      <c r="E762" s="7" t="s">
        <v>75</v>
      </c>
      <c r="F762" s="7">
        <v>1.0</v>
      </c>
      <c r="G762" s="7" t="s">
        <v>27</v>
      </c>
      <c r="H762" s="7">
        <v>1.0</v>
      </c>
      <c r="I762" s="7">
        <v>2.0</v>
      </c>
      <c r="J762" s="7">
        <v>0.5</v>
      </c>
      <c r="K762" s="7" t="s">
        <v>41</v>
      </c>
      <c r="L762" s="9" t="str">
        <f>VLOOKUP(K762, 'Alphabetical by species code'!A:B, 2, FALSE)</f>
        <v>Stem</v>
      </c>
      <c r="M762" s="9" t="str">
        <f>VLOOKUP(L762, 'Alphabetical by species code'!B:C, 2, FALSE)</f>
        <v>Ground Cover</v>
      </c>
    </row>
    <row r="763">
      <c r="A763" s="7">
        <v>9.0</v>
      </c>
      <c r="B763" s="7">
        <v>2025.0</v>
      </c>
      <c r="C763" s="10">
        <v>45764.0</v>
      </c>
      <c r="D763" s="7" t="s">
        <v>74</v>
      </c>
      <c r="E763" s="7" t="s">
        <v>75</v>
      </c>
      <c r="F763" s="7">
        <v>1.0</v>
      </c>
      <c r="G763" s="7" t="s">
        <v>27</v>
      </c>
      <c r="H763" s="7">
        <v>1.0</v>
      </c>
      <c r="I763" s="7">
        <v>2.0</v>
      </c>
      <c r="J763" s="7">
        <v>0.5</v>
      </c>
      <c r="K763" s="7" t="s">
        <v>29</v>
      </c>
      <c r="L763" s="9" t="str">
        <f>VLOOKUP(K763, 'Alphabetical by species code'!A:B, 2, FALSE)</f>
        <v>Opuntia littoralis</v>
      </c>
      <c r="M763" s="9" t="str">
        <f>VLOOKUP(L763, 'Alphabetical by species code'!B:C, 2, FALSE)</f>
        <v>Native</v>
      </c>
    </row>
    <row r="764">
      <c r="A764" s="7">
        <v>9.0</v>
      </c>
      <c r="B764" s="7">
        <v>2025.0</v>
      </c>
      <c r="C764" s="10">
        <v>45764.0</v>
      </c>
      <c r="D764" s="7" t="s">
        <v>74</v>
      </c>
      <c r="E764" s="7" t="s">
        <v>75</v>
      </c>
      <c r="F764" s="7">
        <v>1.0</v>
      </c>
      <c r="G764" s="7" t="s">
        <v>27</v>
      </c>
      <c r="H764" s="7">
        <v>1.0</v>
      </c>
      <c r="I764" s="7">
        <v>3.0</v>
      </c>
      <c r="J764" s="7">
        <v>1.0</v>
      </c>
      <c r="K764" s="7" t="s">
        <v>28</v>
      </c>
      <c r="L764" s="9" t="str">
        <f>VLOOKUP(K764, 'Alphabetical by species code'!A:B, 2, FALSE)</f>
        <v>Litter</v>
      </c>
      <c r="M764" s="9" t="str">
        <f>VLOOKUP(L764, 'Alphabetical by species code'!B:C, 2, FALSE)</f>
        <v>Ground Cover</v>
      </c>
    </row>
    <row r="765">
      <c r="A765" s="7">
        <v>9.0</v>
      </c>
      <c r="B765" s="7">
        <v>2025.0</v>
      </c>
      <c r="C765" s="10">
        <v>45764.0</v>
      </c>
      <c r="D765" s="7" t="s">
        <v>74</v>
      </c>
      <c r="E765" s="7" t="s">
        <v>75</v>
      </c>
      <c r="F765" s="7">
        <v>1.0</v>
      </c>
      <c r="G765" s="7" t="s">
        <v>27</v>
      </c>
      <c r="H765" s="7">
        <v>1.0</v>
      </c>
      <c r="I765" s="7">
        <v>3.0</v>
      </c>
      <c r="J765" s="7">
        <v>1.0</v>
      </c>
      <c r="K765" s="7" t="s">
        <v>29</v>
      </c>
      <c r="L765" s="9" t="str">
        <f>VLOOKUP(K765, 'Alphabetical by species code'!A:B, 2, FALSE)</f>
        <v>Opuntia littoralis</v>
      </c>
      <c r="M765" s="9" t="str">
        <f>VLOOKUP(L765, 'Alphabetical by species code'!B:C, 2, FALSE)</f>
        <v>Native</v>
      </c>
    </row>
    <row r="766">
      <c r="A766" s="7">
        <v>9.0</v>
      </c>
      <c r="B766" s="7">
        <v>2025.0</v>
      </c>
      <c r="C766" s="10">
        <v>45764.0</v>
      </c>
      <c r="D766" s="7" t="s">
        <v>74</v>
      </c>
      <c r="E766" s="7" t="s">
        <v>75</v>
      </c>
      <c r="F766" s="7">
        <v>1.0</v>
      </c>
      <c r="G766" s="7" t="s">
        <v>27</v>
      </c>
      <c r="H766" s="7">
        <v>1.0</v>
      </c>
      <c r="I766" s="7">
        <v>3.0</v>
      </c>
      <c r="J766" s="7">
        <v>1.0</v>
      </c>
      <c r="K766" s="7" t="s">
        <v>33</v>
      </c>
      <c r="L766" s="9" t="str">
        <f>VLOOKUP(K766, 'Alphabetical by species code'!A:B, 2, FALSE)</f>
        <v>Unknown non-native grass</v>
      </c>
      <c r="M766" s="9" t="str">
        <f>VLOOKUP(L766, 'Alphabetical by species code'!B:C, 2, FALSE)</f>
        <v/>
      </c>
    </row>
    <row r="767">
      <c r="A767" s="7">
        <v>9.0</v>
      </c>
      <c r="B767" s="7">
        <v>2025.0</v>
      </c>
      <c r="C767" s="10">
        <v>45764.0</v>
      </c>
      <c r="D767" s="7" t="s">
        <v>74</v>
      </c>
      <c r="E767" s="7" t="s">
        <v>75</v>
      </c>
      <c r="F767" s="7">
        <v>1.0</v>
      </c>
      <c r="G767" s="7" t="s">
        <v>27</v>
      </c>
      <c r="H767" s="7">
        <v>1.0</v>
      </c>
      <c r="I767" s="7">
        <v>4.0</v>
      </c>
      <c r="J767" s="7">
        <v>1.5</v>
      </c>
      <c r="K767" s="7" t="s">
        <v>41</v>
      </c>
      <c r="L767" s="9" t="str">
        <f>VLOOKUP(K767, 'Alphabetical by species code'!A:B, 2, FALSE)</f>
        <v>Stem</v>
      </c>
      <c r="M767" s="9" t="str">
        <f>VLOOKUP(L767, 'Alphabetical by species code'!B:C, 2, FALSE)</f>
        <v>Ground Cover</v>
      </c>
    </row>
    <row r="768">
      <c r="A768" s="7">
        <v>9.0</v>
      </c>
      <c r="B768" s="7">
        <v>2025.0</v>
      </c>
      <c r="C768" s="10">
        <v>45764.0</v>
      </c>
      <c r="D768" s="7" t="s">
        <v>74</v>
      </c>
      <c r="E768" s="7" t="s">
        <v>75</v>
      </c>
      <c r="F768" s="7">
        <v>1.0</v>
      </c>
      <c r="G768" s="7" t="s">
        <v>27</v>
      </c>
      <c r="H768" s="7">
        <v>1.0</v>
      </c>
      <c r="I768" s="7">
        <v>4.0</v>
      </c>
      <c r="J768" s="7">
        <v>1.5</v>
      </c>
      <c r="K768" s="7" t="s">
        <v>29</v>
      </c>
      <c r="L768" s="9" t="str">
        <f>VLOOKUP(K768, 'Alphabetical by species code'!A:B, 2, FALSE)</f>
        <v>Opuntia littoralis</v>
      </c>
      <c r="M768" s="9" t="str">
        <f>VLOOKUP(L768, 'Alphabetical by species code'!B:C, 2, FALSE)</f>
        <v>Native</v>
      </c>
    </row>
    <row r="769">
      <c r="A769" s="7">
        <v>9.0</v>
      </c>
      <c r="B769" s="7">
        <v>2025.0</v>
      </c>
      <c r="C769" s="10">
        <v>45764.0</v>
      </c>
      <c r="D769" s="7" t="s">
        <v>74</v>
      </c>
      <c r="E769" s="7" t="s">
        <v>75</v>
      </c>
      <c r="F769" s="7">
        <v>1.0</v>
      </c>
      <c r="G769" s="7" t="s">
        <v>27</v>
      </c>
      <c r="H769" s="7">
        <v>1.0</v>
      </c>
      <c r="I769" s="7">
        <v>4.0</v>
      </c>
      <c r="J769" s="7">
        <v>1.5</v>
      </c>
      <c r="K769" s="7" t="s">
        <v>35</v>
      </c>
      <c r="L769" s="9" t="str">
        <f>VLOOKUP(K769, 'Alphabetical by species code'!A:B, 2, FALSE)</f>
        <v>Deinandra fasciculata</v>
      </c>
      <c r="M769" s="9" t="str">
        <f>VLOOKUP(L769, 'Alphabetical by species code'!B:C, 2, FALSE)</f>
        <v>Native</v>
      </c>
    </row>
    <row r="770">
      <c r="A770" s="7">
        <v>9.0</v>
      </c>
      <c r="B770" s="7">
        <v>2025.0</v>
      </c>
      <c r="C770" s="10">
        <v>45764.0</v>
      </c>
      <c r="D770" s="7" t="s">
        <v>74</v>
      </c>
      <c r="E770" s="7" t="s">
        <v>75</v>
      </c>
      <c r="F770" s="7">
        <v>1.0</v>
      </c>
      <c r="G770" s="7" t="s">
        <v>27</v>
      </c>
      <c r="H770" s="7">
        <v>1.0</v>
      </c>
      <c r="I770" s="7">
        <v>5.0</v>
      </c>
      <c r="J770" s="7">
        <v>2.0</v>
      </c>
      <c r="K770" s="7" t="s">
        <v>28</v>
      </c>
      <c r="L770" s="9" t="str">
        <f>VLOOKUP(K770, 'Alphabetical by species code'!A:B, 2, FALSE)</f>
        <v>Litter</v>
      </c>
      <c r="M770" s="9" t="str">
        <f>VLOOKUP(L770, 'Alphabetical by species code'!B:C, 2, FALSE)</f>
        <v>Ground Cover</v>
      </c>
    </row>
    <row r="771">
      <c r="A771" s="7">
        <v>9.0</v>
      </c>
      <c r="B771" s="7">
        <v>2025.0</v>
      </c>
      <c r="C771" s="10">
        <v>45764.0</v>
      </c>
      <c r="D771" s="7" t="s">
        <v>74</v>
      </c>
      <c r="E771" s="7" t="s">
        <v>75</v>
      </c>
      <c r="F771" s="7">
        <v>1.0</v>
      </c>
      <c r="G771" s="7" t="s">
        <v>27</v>
      </c>
      <c r="H771" s="7">
        <v>1.0</v>
      </c>
      <c r="I771" s="7">
        <v>5.0</v>
      </c>
      <c r="J771" s="7">
        <v>2.0</v>
      </c>
      <c r="K771" s="7" t="s">
        <v>48</v>
      </c>
      <c r="L771" s="9" t="str">
        <f>VLOOKUP(K771, 'Alphabetical by species code'!A:B, 2, FALSE)</f>
        <v>Sonchus asper</v>
      </c>
      <c r="M771" s="9" t="str">
        <f>VLOOKUP(L771, 'Alphabetical by species code'!B:C, 2, FALSE)</f>
        <v>Non-Native</v>
      </c>
    </row>
    <row r="772">
      <c r="A772" s="7">
        <v>9.0</v>
      </c>
      <c r="B772" s="7">
        <v>2025.0</v>
      </c>
      <c r="C772" s="10">
        <v>45764.0</v>
      </c>
      <c r="D772" s="7" t="s">
        <v>74</v>
      </c>
      <c r="E772" s="7" t="s">
        <v>75</v>
      </c>
      <c r="F772" s="7">
        <v>1.0</v>
      </c>
      <c r="G772" s="7" t="s">
        <v>27</v>
      </c>
      <c r="H772" s="7">
        <v>1.0</v>
      </c>
      <c r="I772" s="7">
        <v>5.0</v>
      </c>
      <c r="J772" s="7">
        <v>2.0</v>
      </c>
      <c r="K772" s="7" t="s">
        <v>42</v>
      </c>
      <c r="L772" s="9" t="str">
        <f>VLOOKUP(K772, 'Alphabetical by species code'!A:B, 2, FALSE)</f>
        <v>Centaurea melitensis</v>
      </c>
      <c r="M772" s="9" t="str">
        <f>VLOOKUP(L772, 'Alphabetical by species code'!B:C, 2, FALSE)</f>
        <v>Non-Native</v>
      </c>
    </row>
    <row r="773">
      <c r="A773" s="7">
        <v>9.0</v>
      </c>
      <c r="B773" s="7">
        <v>2025.0</v>
      </c>
      <c r="C773" s="10">
        <v>45764.0</v>
      </c>
      <c r="D773" s="7" t="s">
        <v>74</v>
      </c>
      <c r="E773" s="7" t="s">
        <v>75</v>
      </c>
      <c r="F773" s="7">
        <v>1.0</v>
      </c>
      <c r="G773" s="7" t="s">
        <v>27</v>
      </c>
      <c r="H773" s="7">
        <v>1.0</v>
      </c>
      <c r="I773" s="7">
        <v>6.0</v>
      </c>
      <c r="J773" s="7">
        <v>2.5</v>
      </c>
      <c r="K773" s="7" t="s">
        <v>28</v>
      </c>
      <c r="L773" s="9" t="str">
        <f>VLOOKUP(K773, 'Alphabetical by species code'!A:B, 2, FALSE)</f>
        <v>Litter</v>
      </c>
      <c r="M773" s="9" t="str">
        <f>VLOOKUP(L773, 'Alphabetical by species code'!B:C, 2, FALSE)</f>
        <v>Ground Cover</v>
      </c>
    </row>
    <row r="774">
      <c r="A774" s="7">
        <v>9.0</v>
      </c>
      <c r="B774" s="7">
        <v>2025.0</v>
      </c>
      <c r="C774" s="10">
        <v>45764.0</v>
      </c>
      <c r="D774" s="7" t="s">
        <v>74</v>
      </c>
      <c r="E774" s="7" t="s">
        <v>75</v>
      </c>
      <c r="F774" s="7">
        <v>1.0</v>
      </c>
      <c r="G774" s="7" t="s">
        <v>27</v>
      </c>
      <c r="H774" s="7">
        <v>1.0</v>
      </c>
      <c r="I774" s="7">
        <v>6.0</v>
      </c>
      <c r="J774" s="7">
        <v>2.5</v>
      </c>
      <c r="K774" s="7" t="s">
        <v>76</v>
      </c>
      <c r="L774" s="9" t="str">
        <f>VLOOKUP(K774, 'Alphabetical by species code'!A:B, 2, FALSE)</f>
        <v>Avena fatua</v>
      </c>
      <c r="M774" s="9" t="str">
        <f>VLOOKUP(L774, 'Alphabetical by species code'!B:C, 2, FALSE)</f>
        <v>Non-Native</v>
      </c>
    </row>
    <row r="775">
      <c r="A775" s="7">
        <v>9.0</v>
      </c>
      <c r="B775" s="7">
        <v>2025.0</v>
      </c>
      <c r="C775" s="10">
        <v>45764.0</v>
      </c>
      <c r="D775" s="7" t="s">
        <v>74</v>
      </c>
      <c r="E775" s="7" t="s">
        <v>75</v>
      </c>
      <c r="F775" s="7">
        <v>1.0</v>
      </c>
      <c r="G775" s="7" t="s">
        <v>27</v>
      </c>
      <c r="H775" s="7">
        <v>1.0</v>
      </c>
      <c r="I775" s="7">
        <v>6.0</v>
      </c>
      <c r="J775" s="7">
        <v>2.5</v>
      </c>
      <c r="K775" s="7" t="s">
        <v>36</v>
      </c>
      <c r="L775" s="9" t="str">
        <f>VLOOKUP(K775, 'Alphabetical by species code'!A:B, 2, FALSE)</f>
        <v>Bromus madritensis</v>
      </c>
      <c r="M775" s="9" t="str">
        <f>VLOOKUP(L775, 'Alphabetical by species code'!B:C, 2, FALSE)</f>
        <v>Non-Native</v>
      </c>
    </row>
    <row r="776">
      <c r="A776" s="7">
        <v>9.0</v>
      </c>
      <c r="B776" s="7">
        <v>2025.0</v>
      </c>
      <c r="C776" s="10">
        <v>45764.0</v>
      </c>
      <c r="D776" s="7" t="s">
        <v>74</v>
      </c>
      <c r="E776" s="7" t="s">
        <v>75</v>
      </c>
      <c r="F776" s="7">
        <v>1.0</v>
      </c>
      <c r="G776" s="7" t="s">
        <v>27</v>
      </c>
      <c r="H776" s="7">
        <v>1.0</v>
      </c>
      <c r="I776" s="7">
        <v>6.0</v>
      </c>
      <c r="J776" s="7">
        <v>2.5</v>
      </c>
      <c r="K776" s="7" t="s">
        <v>29</v>
      </c>
      <c r="L776" s="9" t="str">
        <f>VLOOKUP(K776, 'Alphabetical by species code'!A:B, 2, FALSE)</f>
        <v>Opuntia littoralis</v>
      </c>
      <c r="M776" s="9" t="str">
        <f>VLOOKUP(L776, 'Alphabetical by species code'!B:C, 2, FALSE)</f>
        <v>Native</v>
      </c>
    </row>
    <row r="777">
      <c r="A777" s="7">
        <v>9.0</v>
      </c>
      <c r="B777" s="7">
        <v>2025.0</v>
      </c>
      <c r="C777" s="10">
        <v>45764.0</v>
      </c>
      <c r="D777" s="7" t="s">
        <v>74</v>
      </c>
      <c r="E777" s="7" t="s">
        <v>75</v>
      </c>
      <c r="F777" s="7">
        <v>1.0</v>
      </c>
      <c r="G777" s="7" t="s">
        <v>27</v>
      </c>
      <c r="H777" s="7">
        <v>1.0</v>
      </c>
      <c r="I777" s="7">
        <v>7.0</v>
      </c>
      <c r="J777" s="7">
        <v>3.0</v>
      </c>
      <c r="K777" s="7" t="s">
        <v>28</v>
      </c>
      <c r="L777" s="9" t="str">
        <f>VLOOKUP(K777, 'Alphabetical by species code'!A:B, 2, FALSE)</f>
        <v>Litter</v>
      </c>
      <c r="M777" s="9" t="str">
        <f>VLOOKUP(L777, 'Alphabetical by species code'!B:C, 2, FALSE)</f>
        <v>Ground Cover</v>
      </c>
    </row>
    <row r="778">
      <c r="A778" s="7">
        <v>9.0</v>
      </c>
      <c r="B778" s="7">
        <v>2025.0</v>
      </c>
      <c r="C778" s="10">
        <v>45764.0</v>
      </c>
      <c r="D778" s="7" t="s">
        <v>74</v>
      </c>
      <c r="E778" s="7" t="s">
        <v>75</v>
      </c>
      <c r="F778" s="7">
        <v>1.0</v>
      </c>
      <c r="G778" s="7" t="s">
        <v>27</v>
      </c>
      <c r="H778" s="7">
        <v>1.0</v>
      </c>
      <c r="I778" s="7">
        <v>7.0</v>
      </c>
      <c r="J778" s="7">
        <v>3.0</v>
      </c>
      <c r="K778" s="7" t="s">
        <v>35</v>
      </c>
      <c r="L778" s="9" t="str">
        <f>VLOOKUP(K778, 'Alphabetical by species code'!A:B, 2, FALSE)</f>
        <v>Deinandra fasciculata</v>
      </c>
      <c r="M778" s="9" t="str">
        <f>VLOOKUP(L778, 'Alphabetical by species code'!B:C, 2, FALSE)</f>
        <v>Native</v>
      </c>
    </row>
    <row r="779">
      <c r="A779" s="7">
        <v>9.0</v>
      </c>
      <c r="B779" s="7">
        <v>2025.0</v>
      </c>
      <c r="C779" s="10">
        <v>45764.0</v>
      </c>
      <c r="D779" s="7" t="s">
        <v>74</v>
      </c>
      <c r="E779" s="7" t="s">
        <v>75</v>
      </c>
      <c r="F779" s="7">
        <v>1.0</v>
      </c>
      <c r="G779" s="7" t="s">
        <v>27</v>
      </c>
      <c r="H779" s="7">
        <v>1.0</v>
      </c>
      <c r="I779" s="7">
        <v>7.0</v>
      </c>
      <c r="J779" s="7">
        <v>3.0</v>
      </c>
      <c r="K779" s="7" t="s">
        <v>31</v>
      </c>
      <c r="L779" s="9" t="str">
        <f>VLOOKUP(K779, 'Alphabetical by species code'!A:B, 2, FALSE)</f>
        <v>Festuca myuros</v>
      </c>
      <c r="M779" s="9" t="str">
        <f>VLOOKUP(L779, 'Alphabetical by species code'!B:C, 2, FALSE)</f>
        <v>Non-Native</v>
      </c>
    </row>
    <row r="780">
      <c r="A780" s="7">
        <v>9.0</v>
      </c>
      <c r="B780" s="7">
        <v>2025.0</v>
      </c>
      <c r="C780" s="10">
        <v>45764.0</v>
      </c>
      <c r="D780" s="7" t="s">
        <v>74</v>
      </c>
      <c r="E780" s="7" t="s">
        <v>75</v>
      </c>
      <c r="F780" s="7">
        <v>1.0</v>
      </c>
      <c r="G780" s="7" t="s">
        <v>27</v>
      </c>
      <c r="H780" s="7">
        <v>1.0</v>
      </c>
      <c r="I780" s="7">
        <v>8.0</v>
      </c>
      <c r="J780" s="7">
        <v>3.5</v>
      </c>
      <c r="K780" s="7" t="s">
        <v>28</v>
      </c>
      <c r="L780" s="9" t="str">
        <f>VLOOKUP(K780, 'Alphabetical by species code'!A:B, 2, FALSE)</f>
        <v>Litter</v>
      </c>
      <c r="M780" s="9" t="str">
        <f>VLOOKUP(L780, 'Alphabetical by species code'!B:C, 2, FALSE)</f>
        <v>Ground Cover</v>
      </c>
    </row>
    <row r="781">
      <c r="A781" s="7">
        <v>9.0</v>
      </c>
      <c r="B781" s="7">
        <v>2025.0</v>
      </c>
      <c r="C781" s="10">
        <v>45764.0</v>
      </c>
      <c r="D781" s="7" t="s">
        <v>74</v>
      </c>
      <c r="E781" s="7" t="s">
        <v>75</v>
      </c>
      <c r="F781" s="7">
        <v>1.0</v>
      </c>
      <c r="G781" s="7" t="s">
        <v>27</v>
      </c>
      <c r="H781" s="7">
        <v>1.0</v>
      </c>
      <c r="I781" s="7">
        <v>8.0</v>
      </c>
      <c r="J781" s="7">
        <v>3.5</v>
      </c>
      <c r="K781" s="7" t="s">
        <v>35</v>
      </c>
      <c r="L781" s="9" t="str">
        <f>VLOOKUP(K781, 'Alphabetical by species code'!A:B, 2, FALSE)</f>
        <v>Deinandra fasciculata</v>
      </c>
      <c r="M781" s="9" t="str">
        <f>VLOOKUP(L781, 'Alphabetical by species code'!B:C, 2, FALSE)</f>
        <v>Native</v>
      </c>
    </row>
    <row r="782">
      <c r="A782" s="7">
        <v>9.0</v>
      </c>
      <c r="B782" s="7">
        <v>2025.0</v>
      </c>
      <c r="C782" s="10">
        <v>45764.0</v>
      </c>
      <c r="D782" s="7" t="s">
        <v>74</v>
      </c>
      <c r="E782" s="7" t="s">
        <v>75</v>
      </c>
      <c r="F782" s="7">
        <v>1.0</v>
      </c>
      <c r="G782" s="7" t="s">
        <v>27</v>
      </c>
      <c r="H782" s="7">
        <v>1.0</v>
      </c>
      <c r="I782" s="7">
        <v>8.0</v>
      </c>
      <c r="J782" s="7">
        <v>3.5</v>
      </c>
      <c r="K782" s="7" t="s">
        <v>37</v>
      </c>
      <c r="L782" s="9" t="str">
        <f>VLOOKUP(K782, 'Alphabetical by species code'!A:B, 2, FALSE)</f>
        <v>Sonchus oleraceus</v>
      </c>
      <c r="M782" s="9" t="str">
        <f>VLOOKUP(L782, 'Alphabetical by species code'!B:C, 2, FALSE)</f>
        <v>Non-Native</v>
      </c>
    </row>
    <row r="783">
      <c r="A783" s="7">
        <v>9.0</v>
      </c>
      <c r="B783" s="7">
        <v>2025.0</v>
      </c>
      <c r="C783" s="10">
        <v>45764.0</v>
      </c>
      <c r="D783" s="7" t="s">
        <v>74</v>
      </c>
      <c r="E783" s="7" t="s">
        <v>75</v>
      </c>
      <c r="F783" s="7">
        <v>1.0</v>
      </c>
      <c r="G783" s="7" t="s">
        <v>27</v>
      </c>
      <c r="H783" s="7">
        <v>1.0</v>
      </c>
      <c r="I783" s="7">
        <v>9.0</v>
      </c>
      <c r="J783" s="7">
        <v>4.0</v>
      </c>
      <c r="K783" s="7" t="s">
        <v>28</v>
      </c>
      <c r="L783" s="9" t="str">
        <f>VLOOKUP(K783, 'Alphabetical by species code'!A:B, 2, FALSE)</f>
        <v>Litter</v>
      </c>
      <c r="M783" s="9" t="str">
        <f>VLOOKUP(L783, 'Alphabetical by species code'!B:C, 2, FALSE)</f>
        <v>Ground Cover</v>
      </c>
    </row>
    <row r="784">
      <c r="A784" s="7">
        <v>9.0</v>
      </c>
      <c r="B784" s="7">
        <v>2025.0</v>
      </c>
      <c r="C784" s="10">
        <v>45764.0</v>
      </c>
      <c r="D784" s="7" t="s">
        <v>74</v>
      </c>
      <c r="E784" s="7" t="s">
        <v>75</v>
      </c>
      <c r="F784" s="7">
        <v>1.0</v>
      </c>
      <c r="G784" s="7" t="s">
        <v>27</v>
      </c>
      <c r="H784" s="7">
        <v>1.0</v>
      </c>
      <c r="I784" s="7">
        <v>9.0</v>
      </c>
      <c r="J784" s="7">
        <v>4.0</v>
      </c>
      <c r="K784" s="7" t="s">
        <v>36</v>
      </c>
      <c r="L784" s="9" t="str">
        <f>VLOOKUP(K784, 'Alphabetical by species code'!A:B, 2, FALSE)</f>
        <v>Bromus madritensis</v>
      </c>
      <c r="M784" s="9" t="str">
        <f>VLOOKUP(L784, 'Alphabetical by species code'!B:C, 2, FALSE)</f>
        <v>Non-Native</v>
      </c>
    </row>
    <row r="785">
      <c r="A785" s="7">
        <v>9.0</v>
      </c>
      <c r="B785" s="7">
        <v>2025.0</v>
      </c>
      <c r="C785" s="10">
        <v>45764.0</v>
      </c>
      <c r="D785" s="7" t="s">
        <v>74</v>
      </c>
      <c r="E785" s="7" t="s">
        <v>75</v>
      </c>
      <c r="F785" s="7">
        <v>1.0</v>
      </c>
      <c r="G785" s="7" t="s">
        <v>27</v>
      </c>
      <c r="H785" s="7">
        <v>1.0</v>
      </c>
      <c r="I785" s="7">
        <v>9.0</v>
      </c>
      <c r="J785" s="7">
        <v>4.0</v>
      </c>
      <c r="K785" s="7" t="s">
        <v>35</v>
      </c>
      <c r="L785" s="9" t="str">
        <f>VLOOKUP(K785, 'Alphabetical by species code'!A:B, 2, FALSE)</f>
        <v>Deinandra fasciculata</v>
      </c>
      <c r="M785" s="9" t="str">
        <f>VLOOKUP(L785, 'Alphabetical by species code'!B:C, 2, FALSE)</f>
        <v>Native</v>
      </c>
    </row>
    <row r="786">
      <c r="A786" s="7">
        <v>9.0</v>
      </c>
      <c r="B786" s="7">
        <v>2025.0</v>
      </c>
      <c r="C786" s="10">
        <v>45764.0</v>
      </c>
      <c r="D786" s="7" t="s">
        <v>74</v>
      </c>
      <c r="E786" s="7" t="s">
        <v>75</v>
      </c>
      <c r="F786" s="7">
        <v>1.0</v>
      </c>
      <c r="G786" s="7" t="s">
        <v>27</v>
      </c>
      <c r="H786" s="7">
        <v>1.0</v>
      </c>
      <c r="I786" s="7">
        <v>9.0</v>
      </c>
      <c r="J786" s="7">
        <v>4.0</v>
      </c>
      <c r="K786" s="7" t="s">
        <v>43</v>
      </c>
      <c r="L786" s="9" t="str">
        <f>VLOOKUP(K786, 'Alphabetical by species code'!A:B, 2, FALSE)</f>
        <v>Uropappus lindleyi</v>
      </c>
      <c r="M786" s="9" t="str">
        <f>VLOOKUP(L786, 'Alphabetical by species code'!B:C, 2, FALSE)</f>
        <v>Native</v>
      </c>
    </row>
    <row r="787">
      <c r="A787" s="7">
        <v>9.0</v>
      </c>
      <c r="B787" s="7">
        <v>2025.0</v>
      </c>
      <c r="C787" s="10">
        <v>45764.0</v>
      </c>
      <c r="D787" s="7" t="s">
        <v>74</v>
      </c>
      <c r="E787" s="7" t="s">
        <v>75</v>
      </c>
      <c r="F787" s="7">
        <v>1.0</v>
      </c>
      <c r="G787" s="7" t="s">
        <v>27</v>
      </c>
      <c r="H787" s="7">
        <v>1.0</v>
      </c>
      <c r="I787" s="7">
        <v>10.0</v>
      </c>
      <c r="J787" s="7">
        <v>4.5</v>
      </c>
      <c r="K787" s="7" t="s">
        <v>28</v>
      </c>
      <c r="L787" s="9" t="str">
        <f>VLOOKUP(K787, 'Alphabetical by species code'!A:B, 2, FALSE)</f>
        <v>Litter</v>
      </c>
      <c r="M787" s="9" t="str">
        <f>VLOOKUP(L787, 'Alphabetical by species code'!B:C, 2, FALSE)</f>
        <v>Ground Cover</v>
      </c>
    </row>
    <row r="788">
      <c r="A788" s="7">
        <v>9.0</v>
      </c>
      <c r="B788" s="7">
        <v>2025.0</v>
      </c>
      <c r="C788" s="10">
        <v>45764.0</v>
      </c>
      <c r="D788" s="7" t="s">
        <v>74</v>
      </c>
      <c r="E788" s="7" t="s">
        <v>75</v>
      </c>
      <c r="F788" s="7">
        <v>1.0</v>
      </c>
      <c r="G788" s="7" t="s">
        <v>27</v>
      </c>
      <c r="H788" s="7">
        <v>1.0</v>
      </c>
      <c r="I788" s="7">
        <v>10.0</v>
      </c>
      <c r="J788" s="7">
        <v>4.5</v>
      </c>
      <c r="K788" s="7" t="s">
        <v>48</v>
      </c>
      <c r="L788" s="9" t="str">
        <f>VLOOKUP(K788, 'Alphabetical by species code'!A:B, 2, FALSE)</f>
        <v>Sonchus asper</v>
      </c>
      <c r="M788" s="9" t="str">
        <f>VLOOKUP(L788, 'Alphabetical by species code'!B:C, 2, FALSE)</f>
        <v>Non-Native</v>
      </c>
    </row>
    <row r="789">
      <c r="A789" s="7">
        <v>9.0</v>
      </c>
      <c r="B789" s="7">
        <v>2025.0</v>
      </c>
      <c r="C789" s="10">
        <v>45764.0</v>
      </c>
      <c r="D789" s="7" t="s">
        <v>74</v>
      </c>
      <c r="E789" s="7" t="s">
        <v>75</v>
      </c>
      <c r="F789" s="7">
        <v>1.0</v>
      </c>
      <c r="G789" s="7" t="s">
        <v>27</v>
      </c>
      <c r="H789" s="7">
        <v>1.0</v>
      </c>
      <c r="I789" s="7">
        <v>10.0</v>
      </c>
      <c r="J789" s="7">
        <v>4.5</v>
      </c>
      <c r="K789" s="7" t="s">
        <v>37</v>
      </c>
      <c r="L789" s="9" t="str">
        <f>VLOOKUP(K789, 'Alphabetical by species code'!A:B, 2, FALSE)</f>
        <v>Sonchus oleraceus</v>
      </c>
      <c r="M789" s="9" t="str">
        <f>VLOOKUP(L789, 'Alphabetical by species code'!B:C, 2, FALSE)</f>
        <v>Non-Native</v>
      </c>
    </row>
    <row r="790">
      <c r="A790" s="7">
        <v>9.0</v>
      </c>
      <c r="B790" s="7">
        <v>2025.0</v>
      </c>
      <c r="C790" s="10">
        <v>45764.0</v>
      </c>
      <c r="D790" s="7" t="s">
        <v>74</v>
      </c>
      <c r="E790" s="7" t="s">
        <v>75</v>
      </c>
      <c r="F790" s="7">
        <v>1.0</v>
      </c>
      <c r="G790" s="7" t="s">
        <v>27</v>
      </c>
      <c r="H790" s="7">
        <v>1.0</v>
      </c>
      <c r="I790" s="7">
        <v>10.0</v>
      </c>
      <c r="J790" s="7">
        <v>4.5</v>
      </c>
      <c r="K790" s="7" t="s">
        <v>36</v>
      </c>
      <c r="L790" s="9" t="str">
        <f>VLOOKUP(K790, 'Alphabetical by species code'!A:B, 2, FALSE)</f>
        <v>Bromus madritensis</v>
      </c>
      <c r="M790" s="9" t="str">
        <f>VLOOKUP(L790, 'Alphabetical by species code'!B:C, 2, FALSE)</f>
        <v>Non-Native</v>
      </c>
    </row>
    <row r="791">
      <c r="A791" s="7">
        <v>9.0</v>
      </c>
      <c r="B791" s="7">
        <v>2025.0</v>
      </c>
      <c r="C791" s="10">
        <v>45764.0</v>
      </c>
      <c r="D791" s="7" t="s">
        <v>74</v>
      </c>
      <c r="E791" s="7" t="s">
        <v>75</v>
      </c>
      <c r="F791" s="7">
        <v>1.0</v>
      </c>
      <c r="G791" s="7" t="s">
        <v>27</v>
      </c>
      <c r="H791" s="7">
        <v>1.0</v>
      </c>
      <c r="I791" s="7">
        <v>10.0</v>
      </c>
      <c r="J791" s="7">
        <v>4.5</v>
      </c>
      <c r="K791" s="7" t="s">
        <v>31</v>
      </c>
      <c r="L791" s="9" t="str">
        <f>VLOOKUP(K791, 'Alphabetical by species code'!A:B, 2, FALSE)</f>
        <v>Festuca myuros</v>
      </c>
      <c r="M791" s="9" t="str">
        <f>VLOOKUP(L791, 'Alphabetical by species code'!B:C, 2, FALSE)</f>
        <v>Non-Native</v>
      </c>
    </row>
    <row r="792">
      <c r="A792" s="7">
        <v>9.0</v>
      </c>
      <c r="B792" s="7">
        <v>2025.0</v>
      </c>
      <c r="C792" s="10">
        <v>45764.0</v>
      </c>
      <c r="D792" s="7" t="s">
        <v>74</v>
      </c>
      <c r="E792" s="7" t="s">
        <v>75</v>
      </c>
      <c r="F792" s="7">
        <v>1.0</v>
      </c>
      <c r="G792" s="7" t="s">
        <v>27</v>
      </c>
      <c r="H792" s="7">
        <v>1.0</v>
      </c>
      <c r="I792" s="7">
        <v>11.0</v>
      </c>
      <c r="J792" s="7">
        <v>5.0</v>
      </c>
      <c r="K792" s="7" t="s">
        <v>28</v>
      </c>
      <c r="L792" s="9" t="str">
        <f>VLOOKUP(K792, 'Alphabetical by species code'!A:B, 2, FALSE)</f>
        <v>Litter</v>
      </c>
      <c r="M792" s="9" t="str">
        <f>VLOOKUP(L792, 'Alphabetical by species code'!B:C, 2, FALSE)</f>
        <v>Ground Cover</v>
      </c>
    </row>
    <row r="793">
      <c r="A793" s="7">
        <v>9.0</v>
      </c>
      <c r="B793" s="7">
        <v>2025.0</v>
      </c>
      <c r="C793" s="10">
        <v>45764.0</v>
      </c>
      <c r="D793" s="7" t="s">
        <v>74</v>
      </c>
      <c r="E793" s="7" t="s">
        <v>75</v>
      </c>
      <c r="F793" s="7">
        <v>1.0</v>
      </c>
      <c r="G793" s="7" t="s">
        <v>27</v>
      </c>
      <c r="H793" s="7">
        <v>1.0</v>
      </c>
      <c r="I793" s="7">
        <v>11.0</v>
      </c>
      <c r="J793" s="7">
        <v>5.0</v>
      </c>
      <c r="K793" s="7" t="s">
        <v>36</v>
      </c>
      <c r="L793" s="9" t="str">
        <f>VLOOKUP(K793, 'Alphabetical by species code'!A:B, 2, FALSE)</f>
        <v>Bromus madritensis</v>
      </c>
      <c r="M793" s="9" t="str">
        <f>VLOOKUP(L793, 'Alphabetical by species code'!B:C, 2, FALSE)</f>
        <v>Non-Native</v>
      </c>
    </row>
    <row r="794">
      <c r="A794" s="7">
        <v>9.0</v>
      </c>
      <c r="B794" s="7">
        <v>2025.0</v>
      </c>
      <c r="C794" s="10">
        <v>45764.0</v>
      </c>
      <c r="D794" s="7" t="s">
        <v>74</v>
      </c>
      <c r="E794" s="7" t="s">
        <v>75</v>
      </c>
      <c r="F794" s="7">
        <v>1.0</v>
      </c>
      <c r="G794" s="7" t="s">
        <v>27</v>
      </c>
      <c r="H794" s="7">
        <v>1.0</v>
      </c>
      <c r="I794" s="7">
        <v>11.0</v>
      </c>
      <c r="J794" s="7">
        <v>5.0</v>
      </c>
      <c r="K794" s="7" t="s">
        <v>48</v>
      </c>
      <c r="L794" s="9" t="str">
        <f>VLOOKUP(K794, 'Alphabetical by species code'!A:B, 2, FALSE)</f>
        <v>Sonchus asper</v>
      </c>
      <c r="M794" s="9" t="str">
        <f>VLOOKUP(L794, 'Alphabetical by species code'!B:C, 2, FALSE)</f>
        <v>Non-Native</v>
      </c>
    </row>
    <row r="795">
      <c r="A795" s="7">
        <v>9.0</v>
      </c>
      <c r="B795" s="7">
        <v>2025.0</v>
      </c>
      <c r="C795" s="10">
        <v>45764.0</v>
      </c>
      <c r="D795" s="7" t="s">
        <v>74</v>
      </c>
      <c r="E795" s="7" t="s">
        <v>75</v>
      </c>
      <c r="F795" s="7">
        <v>1.0</v>
      </c>
      <c r="G795" s="7" t="s">
        <v>27</v>
      </c>
      <c r="H795" s="7">
        <v>1.0</v>
      </c>
      <c r="I795" s="7">
        <v>12.0</v>
      </c>
      <c r="J795" s="7">
        <v>5.5</v>
      </c>
      <c r="K795" s="7" t="s">
        <v>28</v>
      </c>
      <c r="L795" s="9" t="str">
        <f>VLOOKUP(K795, 'Alphabetical by species code'!A:B, 2, FALSE)</f>
        <v>Litter</v>
      </c>
      <c r="M795" s="9" t="str">
        <f>VLOOKUP(L795, 'Alphabetical by species code'!B:C, 2, FALSE)</f>
        <v>Ground Cover</v>
      </c>
    </row>
    <row r="796">
      <c r="A796" s="7">
        <v>9.0</v>
      </c>
      <c r="B796" s="7">
        <v>2025.0</v>
      </c>
      <c r="C796" s="10">
        <v>45764.0</v>
      </c>
      <c r="D796" s="7" t="s">
        <v>74</v>
      </c>
      <c r="E796" s="7" t="s">
        <v>75</v>
      </c>
      <c r="F796" s="7">
        <v>1.0</v>
      </c>
      <c r="G796" s="7" t="s">
        <v>27</v>
      </c>
      <c r="H796" s="7">
        <v>1.0</v>
      </c>
      <c r="I796" s="7">
        <v>12.0</v>
      </c>
      <c r="J796" s="7">
        <v>5.5</v>
      </c>
      <c r="K796" s="7" t="s">
        <v>49</v>
      </c>
      <c r="L796" s="9" t="str">
        <f>VLOOKUP(K796, 'Alphabetical by species code'!A:B, 2, FALSE)</f>
        <v>Anagallis arvensis</v>
      </c>
      <c r="M796" s="9" t="str">
        <f>VLOOKUP(L796, 'Alphabetical by species code'!B:C, 2, FALSE)</f>
        <v>Non-Native</v>
      </c>
    </row>
    <row r="797">
      <c r="A797" s="7">
        <v>9.0</v>
      </c>
      <c r="B797" s="7">
        <v>2025.0</v>
      </c>
      <c r="C797" s="10">
        <v>45764.0</v>
      </c>
      <c r="D797" s="7" t="s">
        <v>74</v>
      </c>
      <c r="E797" s="7" t="s">
        <v>75</v>
      </c>
      <c r="F797" s="7">
        <v>1.0</v>
      </c>
      <c r="G797" s="7" t="s">
        <v>27</v>
      </c>
      <c r="H797" s="7">
        <v>1.0</v>
      </c>
      <c r="I797" s="7">
        <v>13.0</v>
      </c>
      <c r="J797" s="7">
        <v>6.5</v>
      </c>
      <c r="K797" s="7" t="s">
        <v>28</v>
      </c>
      <c r="L797" s="9" t="str">
        <f>VLOOKUP(K797, 'Alphabetical by species code'!A:B, 2, FALSE)</f>
        <v>Litter</v>
      </c>
      <c r="M797" s="9" t="str">
        <f>VLOOKUP(L797, 'Alphabetical by species code'!B:C, 2, FALSE)</f>
        <v>Ground Cover</v>
      </c>
    </row>
    <row r="798">
      <c r="A798" s="7">
        <v>9.0</v>
      </c>
      <c r="B798" s="7">
        <v>2025.0</v>
      </c>
      <c r="C798" s="10">
        <v>45764.0</v>
      </c>
      <c r="D798" s="7" t="s">
        <v>74</v>
      </c>
      <c r="E798" s="7" t="s">
        <v>75</v>
      </c>
      <c r="F798" s="7">
        <v>1.0</v>
      </c>
      <c r="G798" s="7" t="s">
        <v>27</v>
      </c>
      <c r="H798" s="7">
        <v>1.0</v>
      </c>
      <c r="I798" s="7">
        <v>13.0</v>
      </c>
      <c r="J798" s="7">
        <v>6.5</v>
      </c>
      <c r="K798" s="7" t="s">
        <v>49</v>
      </c>
      <c r="L798" s="9" t="str">
        <f>VLOOKUP(K798, 'Alphabetical by species code'!A:B, 2, FALSE)</f>
        <v>Anagallis arvensis</v>
      </c>
      <c r="M798" s="9" t="str">
        <f>VLOOKUP(L798, 'Alphabetical by species code'!B:C, 2, FALSE)</f>
        <v>Non-Native</v>
      </c>
    </row>
    <row r="799">
      <c r="A799" s="7">
        <v>9.0</v>
      </c>
      <c r="B799" s="7">
        <v>2025.0</v>
      </c>
      <c r="C799" s="10">
        <v>45764.0</v>
      </c>
      <c r="D799" s="7" t="s">
        <v>74</v>
      </c>
      <c r="E799" s="7" t="s">
        <v>75</v>
      </c>
      <c r="F799" s="7">
        <v>1.0</v>
      </c>
      <c r="G799" s="7" t="s">
        <v>27</v>
      </c>
      <c r="H799" s="7">
        <v>1.0</v>
      </c>
      <c r="I799" s="7">
        <v>13.0</v>
      </c>
      <c r="J799" s="7">
        <v>6.5</v>
      </c>
      <c r="K799" s="7" t="s">
        <v>35</v>
      </c>
      <c r="L799" s="9" t="str">
        <f>VLOOKUP(K799, 'Alphabetical by species code'!A:B, 2, FALSE)</f>
        <v>Deinandra fasciculata</v>
      </c>
      <c r="M799" s="9" t="str">
        <f>VLOOKUP(L799, 'Alphabetical by species code'!B:C, 2, FALSE)</f>
        <v>Native</v>
      </c>
    </row>
    <row r="800">
      <c r="A800" s="7">
        <v>9.0</v>
      </c>
      <c r="B800" s="7">
        <v>2025.0</v>
      </c>
      <c r="C800" s="10">
        <v>45764.0</v>
      </c>
      <c r="D800" s="7" t="s">
        <v>74</v>
      </c>
      <c r="E800" s="7" t="s">
        <v>75</v>
      </c>
      <c r="F800" s="7">
        <v>1.0</v>
      </c>
      <c r="G800" s="7" t="s">
        <v>27</v>
      </c>
      <c r="H800" s="7">
        <v>1.0</v>
      </c>
      <c r="I800" s="7">
        <v>13.0</v>
      </c>
      <c r="J800" s="7">
        <v>6.5</v>
      </c>
      <c r="K800" s="7" t="s">
        <v>31</v>
      </c>
      <c r="L800" s="9" t="str">
        <f>VLOOKUP(K800, 'Alphabetical by species code'!A:B, 2, FALSE)</f>
        <v>Festuca myuros</v>
      </c>
      <c r="M800" s="9" t="str">
        <f>VLOOKUP(L800, 'Alphabetical by species code'!B:C, 2, FALSE)</f>
        <v>Non-Native</v>
      </c>
    </row>
    <row r="801">
      <c r="A801" s="7">
        <v>9.0</v>
      </c>
      <c r="B801" s="7">
        <v>2025.0</v>
      </c>
      <c r="C801" s="10">
        <v>45764.0</v>
      </c>
      <c r="D801" s="7" t="s">
        <v>74</v>
      </c>
      <c r="E801" s="7" t="s">
        <v>75</v>
      </c>
      <c r="F801" s="7">
        <v>1.0</v>
      </c>
      <c r="G801" s="7" t="s">
        <v>27</v>
      </c>
      <c r="H801" s="7">
        <v>1.0</v>
      </c>
      <c r="I801" s="7">
        <v>14.0</v>
      </c>
      <c r="J801" s="7">
        <v>7.0</v>
      </c>
      <c r="K801" s="7" t="s">
        <v>28</v>
      </c>
      <c r="L801" s="9" t="str">
        <f>VLOOKUP(K801, 'Alphabetical by species code'!A:B, 2, FALSE)</f>
        <v>Litter</v>
      </c>
      <c r="M801" s="9" t="str">
        <f>VLOOKUP(L801, 'Alphabetical by species code'!B:C, 2, FALSE)</f>
        <v>Ground Cover</v>
      </c>
    </row>
    <row r="802">
      <c r="A802" s="7">
        <v>9.0</v>
      </c>
      <c r="B802" s="7">
        <v>2025.0</v>
      </c>
      <c r="C802" s="10">
        <v>45764.0</v>
      </c>
      <c r="D802" s="7" t="s">
        <v>74</v>
      </c>
      <c r="E802" s="7" t="s">
        <v>75</v>
      </c>
      <c r="F802" s="7">
        <v>1.0</v>
      </c>
      <c r="G802" s="7" t="s">
        <v>27</v>
      </c>
      <c r="H802" s="7">
        <v>1.0</v>
      </c>
      <c r="I802" s="7">
        <v>14.0</v>
      </c>
      <c r="J802" s="7">
        <v>7.0</v>
      </c>
      <c r="K802" s="7" t="s">
        <v>43</v>
      </c>
      <c r="L802" s="9" t="str">
        <f>VLOOKUP(K802, 'Alphabetical by species code'!A:B, 2, FALSE)</f>
        <v>Uropappus lindleyi</v>
      </c>
      <c r="M802" s="9" t="str">
        <f>VLOOKUP(L802, 'Alphabetical by species code'!B:C, 2, FALSE)</f>
        <v>Native</v>
      </c>
    </row>
    <row r="803">
      <c r="A803" s="7">
        <v>9.0</v>
      </c>
      <c r="B803" s="7">
        <v>2025.0</v>
      </c>
      <c r="C803" s="10">
        <v>45764.0</v>
      </c>
      <c r="D803" s="7" t="s">
        <v>74</v>
      </c>
      <c r="E803" s="7" t="s">
        <v>75</v>
      </c>
      <c r="F803" s="7">
        <v>1.0</v>
      </c>
      <c r="G803" s="7" t="s">
        <v>27</v>
      </c>
      <c r="H803" s="7">
        <v>1.0</v>
      </c>
      <c r="I803" s="7">
        <v>14.0</v>
      </c>
      <c r="J803" s="7">
        <v>7.0</v>
      </c>
      <c r="K803" s="7" t="s">
        <v>49</v>
      </c>
      <c r="L803" s="9" t="str">
        <f>VLOOKUP(K803, 'Alphabetical by species code'!A:B, 2, FALSE)</f>
        <v>Anagallis arvensis</v>
      </c>
      <c r="M803" s="9" t="str">
        <f>VLOOKUP(L803, 'Alphabetical by species code'!B:C, 2, FALSE)</f>
        <v>Non-Native</v>
      </c>
    </row>
    <row r="804">
      <c r="A804" s="7">
        <v>9.0</v>
      </c>
      <c r="B804" s="7">
        <v>2025.0</v>
      </c>
      <c r="C804" s="10">
        <v>45764.0</v>
      </c>
      <c r="D804" s="7" t="s">
        <v>74</v>
      </c>
      <c r="E804" s="7" t="s">
        <v>75</v>
      </c>
      <c r="F804" s="7">
        <v>1.0</v>
      </c>
      <c r="G804" s="7" t="s">
        <v>27</v>
      </c>
      <c r="H804" s="7">
        <v>1.0</v>
      </c>
      <c r="I804" s="7">
        <v>14.0</v>
      </c>
      <c r="J804" s="7">
        <v>7.0</v>
      </c>
      <c r="K804" s="7" t="s">
        <v>48</v>
      </c>
      <c r="L804" s="9" t="str">
        <f>VLOOKUP(K804, 'Alphabetical by species code'!A:B, 2, FALSE)</f>
        <v>Sonchus asper</v>
      </c>
      <c r="M804" s="9" t="str">
        <f>VLOOKUP(L804, 'Alphabetical by species code'!B:C, 2, FALSE)</f>
        <v>Non-Native</v>
      </c>
    </row>
    <row r="805">
      <c r="A805" s="7">
        <v>9.0</v>
      </c>
      <c r="B805" s="7">
        <v>2025.0</v>
      </c>
      <c r="C805" s="10">
        <v>45764.0</v>
      </c>
      <c r="D805" s="7" t="s">
        <v>74</v>
      </c>
      <c r="E805" s="7" t="s">
        <v>75</v>
      </c>
      <c r="F805" s="7">
        <v>1.0</v>
      </c>
      <c r="G805" s="7" t="s">
        <v>27</v>
      </c>
      <c r="H805" s="7">
        <v>1.0</v>
      </c>
      <c r="I805" s="7">
        <v>15.0</v>
      </c>
      <c r="J805" s="7">
        <v>7.5</v>
      </c>
      <c r="K805" s="7" t="s">
        <v>28</v>
      </c>
      <c r="L805" s="9" t="str">
        <f>VLOOKUP(K805, 'Alphabetical by species code'!A:B, 2, FALSE)</f>
        <v>Litter</v>
      </c>
      <c r="M805" s="9" t="str">
        <f>VLOOKUP(L805, 'Alphabetical by species code'!B:C, 2, FALSE)</f>
        <v>Ground Cover</v>
      </c>
    </row>
    <row r="806">
      <c r="A806" s="7">
        <v>9.0</v>
      </c>
      <c r="B806" s="7">
        <v>2025.0</v>
      </c>
      <c r="C806" s="10">
        <v>45764.0</v>
      </c>
      <c r="D806" s="7" t="s">
        <v>74</v>
      </c>
      <c r="E806" s="7" t="s">
        <v>75</v>
      </c>
      <c r="F806" s="7">
        <v>1.0</v>
      </c>
      <c r="G806" s="7" t="s">
        <v>27</v>
      </c>
      <c r="H806" s="7">
        <v>1.0</v>
      </c>
      <c r="I806" s="7">
        <v>15.0</v>
      </c>
      <c r="J806" s="7">
        <v>7.5</v>
      </c>
      <c r="K806" s="7" t="s">
        <v>36</v>
      </c>
      <c r="L806" s="9" t="str">
        <f>VLOOKUP(K806, 'Alphabetical by species code'!A:B, 2, FALSE)</f>
        <v>Bromus madritensis</v>
      </c>
      <c r="M806" s="9" t="str">
        <f>VLOOKUP(L806, 'Alphabetical by species code'!B:C, 2, FALSE)</f>
        <v>Non-Native</v>
      </c>
    </row>
    <row r="807">
      <c r="A807" s="7">
        <v>9.0</v>
      </c>
      <c r="B807" s="7">
        <v>2025.0</v>
      </c>
      <c r="C807" s="10">
        <v>45764.0</v>
      </c>
      <c r="D807" s="7" t="s">
        <v>74</v>
      </c>
      <c r="E807" s="7" t="s">
        <v>75</v>
      </c>
      <c r="F807" s="7">
        <v>1.0</v>
      </c>
      <c r="G807" s="7" t="s">
        <v>27</v>
      </c>
      <c r="H807" s="7">
        <v>1.0</v>
      </c>
      <c r="I807" s="7">
        <v>15.0</v>
      </c>
      <c r="J807" s="7">
        <v>7.5</v>
      </c>
      <c r="K807" s="7" t="s">
        <v>43</v>
      </c>
      <c r="L807" s="9" t="str">
        <f>VLOOKUP(K807, 'Alphabetical by species code'!A:B, 2, FALSE)</f>
        <v>Uropappus lindleyi</v>
      </c>
      <c r="M807" s="9" t="str">
        <f>VLOOKUP(L807, 'Alphabetical by species code'!B:C, 2, FALSE)</f>
        <v>Native</v>
      </c>
    </row>
    <row r="808">
      <c r="A808" s="7">
        <v>9.0</v>
      </c>
      <c r="B808" s="7">
        <v>2025.0</v>
      </c>
      <c r="C808" s="10">
        <v>45764.0</v>
      </c>
      <c r="D808" s="7" t="s">
        <v>74</v>
      </c>
      <c r="E808" s="7" t="s">
        <v>75</v>
      </c>
      <c r="F808" s="7">
        <v>1.0</v>
      </c>
      <c r="G808" s="7" t="s">
        <v>27</v>
      </c>
      <c r="H808" s="7">
        <v>2.0</v>
      </c>
      <c r="I808" s="7">
        <v>1.0</v>
      </c>
      <c r="J808" s="7">
        <v>0.0</v>
      </c>
      <c r="K808" s="7" t="s">
        <v>28</v>
      </c>
      <c r="L808" s="9" t="str">
        <f>VLOOKUP(K808, 'Alphabetical by species code'!A:B, 2, FALSE)</f>
        <v>Litter</v>
      </c>
      <c r="M808" s="9" t="str">
        <f>VLOOKUP(L808, 'Alphabetical by species code'!B:C, 2, FALSE)</f>
        <v>Ground Cover</v>
      </c>
    </row>
    <row r="809">
      <c r="A809" s="7">
        <v>9.0</v>
      </c>
      <c r="B809" s="7">
        <v>2025.0</v>
      </c>
      <c r="C809" s="10">
        <v>45764.0</v>
      </c>
      <c r="D809" s="7" t="s">
        <v>74</v>
      </c>
      <c r="E809" s="7" t="s">
        <v>75</v>
      </c>
      <c r="F809" s="7">
        <v>1.0</v>
      </c>
      <c r="G809" s="7" t="s">
        <v>27</v>
      </c>
      <c r="H809" s="7">
        <v>2.0</v>
      </c>
      <c r="I809" s="7">
        <v>1.0</v>
      </c>
      <c r="J809" s="7">
        <v>0.0</v>
      </c>
      <c r="K809" s="7" t="s">
        <v>36</v>
      </c>
      <c r="L809" s="9" t="str">
        <f>VLOOKUP(K809, 'Alphabetical by species code'!A:B, 2, FALSE)</f>
        <v>Bromus madritensis</v>
      </c>
      <c r="M809" s="9" t="str">
        <f>VLOOKUP(L809, 'Alphabetical by species code'!B:C, 2, FALSE)</f>
        <v>Non-Native</v>
      </c>
    </row>
    <row r="810">
      <c r="A810" s="7">
        <v>9.0</v>
      </c>
      <c r="B810" s="7">
        <v>2025.0</v>
      </c>
      <c r="C810" s="10">
        <v>45764.0</v>
      </c>
      <c r="D810" s="7" t="s">
        <v>74</v>
      </c>
      <c r="E810" s="7" t="s">
        <v>75</v>
      </c>
      <c r="F810" s="7">
        <v>1.0</v>
      </c>
      <c r="G810" s="7" t="s">
        <v>27</v>
      </c>
      <c r="H810" s="7">
        <v>2.0</v>
      </c>
      <c r="I810" s="7">
        <v>1.0</v>
      </c>
      <c r="J810" s="7">
        <v>0.0</v>
      </c>
      <c r="K810" s="7" t="s">
        <v>31</v>
      </c>
      <c r="L810" s="9" t="str">
        <f>VLOOKUP(K810, 'Alphabetical by species code'!A:B, 2, FALSE)</f>
        <v>Festuca myuros</v>
      </c>
      <c r="M810" s="9" t="str">
        <f>VLOOKUP(L810, 'Alphabetical by species code'!B:C, 2, FALSE)</f>
        <v>Non-Native</v>
      </c>
    </row>
    <row r="811">
      <c r="A811" s="7">
        <v>9.0</v>
      </c>
      <c r="B811" s="7">
        <v>2025.0</v>
      </c>
      <c r="C811" s="10">
        <v>45764.0</v>
      </c>
      <c r="D811" s="7" t="s">
        <v>74</v>
      </c>
      <c r="E811" s="7" t="s">
        <v>75</v>
      </c>
      <c r="F811" s="7">
        <v>1.0</v>
      </c>
      <c r="G811" s="7" t="s">
        <v>27</v>
      </c>
      <c r="H811" s="7">
        <v>2.0</v>
      </c>
      <c r="I811" s="7">
        <v>1.0</v>
      </c>
      <c r="J811" s="7">
        <v>0.0</v>
      </c>
      <c r="K811" s="7" t="s">
        <v>42</v>
      </c>
      <c r="L811" s="9" t="str">
        <f>VLOOKUP(K811, 'Alphabetical by species code'!A:B, 2, FALSE)</f>
        <v>Centaurea melitensis</v>
      </c>
      <c r="M811" s="9" t="str">
        <f>VLOOKUP(L811, 'Alphabetical by species code'!B:C, 2, FALSE)</f>
        <v>Non-Native</v>
      </c>
    </row>
    <row r="812">
      <c r="A812" s="7">
        <v>9.0</v>
      </c>
      <c r="B812" s="7">
        <v>2025.0</v>
      </c>
      <c r="C812" s="10">
        <v>45764.0</v>
      </c>
      <c r="D812" s="7" t="s">
        <v>74</v>
      </c>
      <c r="E812" s="7" t="s">
        <v>75</v>
      </c>
      <c r="F812" s="7">
        <v>1.0</v>
      </c>
      <c r="G812" s="7" t="s">
        <v>27</v>
      </c>
      <c r="H812" s="7">
        <v>2.0</v>
      </c>
      <c r="I812" s="7">
        <v>1.0</v>
      </c>
      <c r="J812" s="7">
        <v>0.0</v>
      </c>
      <c r="K812" s="7" t="s">
        <v>29</v>
      </c>
      <c r="L812" s="9" t="str">
        <f>VLOOKUP(K812, 'Alphabetical by species code'!A:B, 2, FALSE)</f>
        <v>Opuntia littoralis</v>
      </c>
      <c r="M812" s="9" t="str">
        <f>VLOOKUP(L812, 'Alphabetical by species code'!B:C, 2, FALSE)</f>
        <v>Native</v>
      </c>
    </row>
    <row r="813">
      <c r="A813" s="7">
        <v>9.0</v>
      </c>
      <c r="B813" s="7">
        <v>2025.0</v>
      </c>
      <c r="C813" s="10">
        <v>45764.0</v>
      </c>
      <c r="D813" s="7" t="s">
        <v>74</v>
      </c>
      <c r="E813" s="7" t="s">
        <v>75</v>
      </c>
      <c r="F813" s="7">
        <v>1.0</v>
      </c>
      <c r="G813" s="7" t="s">
        <v>27</v>
      </c>
      <c r="H813" s="7">
        <v>2.0</v>
      </c>
      <c r="I813" s="7">
        <v>2.0</v>
      </c>
      <c r="J813" s="7">
        <v>0.5</v>
      </c>
      <c r="K813" s="7" t="s">
        <v>41</v>
      </c>
      <c r="L813" s="9" t="str">
        <f>VLOOKUP(K813, 'Alphabetical by species code'!A:B, 2, FALSE)</f>
        <v>Stem</v>
      </c>
      <c r="M813" s="9" t="str">
        <f>VLOOKUP(L813, 'Alphabetical by species code'!B:C, 2, FALSE)</f>
        <v>Ground Cover</v>
      </c>
    </row>
    <row r="814">
      <c r="A814" s="7">
        <v>9.0</v>
      </c>
      <c r="B814" s="7">
        <v>2025.0</v>
      </c>
      <c r="C814" s="10">
        <v>45764.0</v>
      </c>
      <c r="D814" s="7" t="s">
        <v>74</v>
      </c>
      <c r="E814" s="7" t="s">
        <v>75</v>
      </c>
      <c r="F814" s="7">
        <v>1.0</v>
      </c>
      <c r="G814" s="7" t="s">
        <v>27</v>
      </c>
      <c r="H814" s="7">
        <v>2.0</v>
      </c>
      <c r="I814" s="7">
        <v>2.0</v>
      </c>
      <c r="J814" s="7">
        <v>0.5</v>
      </c>
      <c r="K814" s="7" t="s">
        <v>29</v>
      </c>
      <c r="L814" s="9" t="str">
        <f>VLOOKUP(K814, 'Alphabetical by species code'!A:B, 2, FALSE)</f>
        <v>Opuntia littoralis</v>
      </c>
      <c r="M814" s="9" t="str">
        <f>VLOOKUP(L814, 'Alphabetical by species code'!B:C, 2, FALSE)</f>
        <v>Native</v>
      </c>
    </row>
    <row r="815">
      <c r="A815" s="7">
        <v>9.0</v>
      </c>
      <c r="B815" s="7">
        <v>2025.0</v>
      </c>
      <c r="C815" s="10">
        <v>45764.0</v>
      </c>
      <c r="D815" s="7" t="s">
        <v>74</v>
      </c>
      <c r="E815" s="7" t="s">
        <v>75</v>
      </c>
      <c r="F815" s="7">
        <v>1.0</v>
      </c>
      <c r="G815" s="7" t="s">
        <v>27</v>
      </c>
      <c r="H815" s="7">
        <v>2.0</v>
      </c>
      <c r="I815" s="7">
        <v>2.0</v>
      </c>
      <c r="J815" s="7">
        <v>0.5</v>
      </c>
      <c r="K815" s="7" t="s">
        <v>36</v>
      </c>
      <c r="L815" s="9" t="str">
        <f>VLOOKUP(K815, 'Alphabetical by species code'!A:B, 2, FALSE)</f>
        <v>Bromus madritensis</v>
      </c>
      <c r="M815" s="9" t="str">
        <f>VLOOKUP(L815, 'Alphabetical by species code'!B:C, 2, FALSE)</f>
        <v>Non-Native</v>
      </c>
    </row>
    <row r="816">
      <c r="A816" s="7">
        <v>9.0</v>
      </c>
      <c r="B816" s="7">
        <v>2025.0</v>
      </c>
      <c r="C816" s="10">
        <v>45764.0</v>
      </c>
      <c r="D816" s="7" t="s">
        <v>74</v>
      </c>
      <c r="E816" s="7" t="s">
        <v>75</v>
      </c>
      <c r="F816" s="7">
        <v>1.0</v>
      </c>
      <c r="G816" s="7" t="s">
        <v>27</v>
      </c>
      <c r="H816" s="7">
        <v>2.0</v>
      </c>
      <c r="I816" s="7">
        <v>3.0</v>
      </c>
      <c r="J816" s="7">
        <v>1.0</v>
      </c>
      <c r="K816" s="7" t="s">
        <v>28</v>
      </c>
      <c r="L816" s="9" t="str">
        <f>VLOOKUP(K816, 'Alphabetical by species code'!A:B, 2, FALSE)</f>
        <v>Litter</v>
      </c>
      <c r="M816" s="9" t="str">
        <f>VLOOKUP(L816, 'Alphabetical by species code'!B:C, 2, FALSE)</f>
        <v>Ground Cover</v>
      </c>
    </row>
    <row r="817">
      <c r="A817" s="7">
        <v>9.0</v>
      </c>
      <c r="B817" s="7">
        <v>2025.0</v>
      </c>
      <c r="C817" s="10">
        <v>45764.0</v>
      </c>
      <c r="D817" s="7" t="s">
        <v>74</v>
      </c>
      <c r="E817" s="7" t="s">
        <v>75</v>
      </c>
      <c r="F817" s="7">
        <v>1.0</v>
      </c>
      <c r="G817" s="7" t="s">
        <v>27</v>
      </c>
      <c r="H817" s="7">
        <v>2.0</v>
      </c>
      <c r="I817" s="7">
        <v>3.0</v>
      </c>
      <c r="J817" s="7">
        <v>1.0</v>
      </c>
      <c r="K817" s="7" t="s">
        <v>29</v>
      </c>
      <c r="L817" s="9" t="str">
        <f>VLOOKUP(K817, 'Alphabetical by species code'!A:B, 2, FALSE)</f>
        <v>Opuntia littoralis</v>
      </c>
      <c r="M817" s="9" t="str">
        <f>VLOOKUP(L817, 'Alphabetical by species code'!B:C, 2, FALSE)</f>
        <v>Native</v>
      </c>
    </row>
    <row r="818">
      <c r="A818" s="7">
        <v>9.0</v>
      </c>
      <c r="B818" s="7">
        <v>2025.0</v>
      </c>
      <c r="C818" s="10">
        <v>45764.0</v>
      </c>
      <c r="D818" s="7" t="s">
        <v>74</v>
      </c>
      <c r="E818" s="7" t="s">
        <v>75</v>
      </c>
      <c r="F818" s="7">
        <v>1.0</v>
      </c>
      <c r="G818" s="7" t="s">
        <v>27</v>
      </c>
      <c r="H818" s="7">
        <v>2.0</v>
      </c>
      <c r="I818" s="7">
        <v>3.0</v>
      </c>
      <c r="J818" s="7">
        <v>1.0</v>
      </c>
      <c r="K818" s="7" t="s">
        <v>36</v>
      </c>
      <c r="L818" s="9" t="str">
        <f>VLOOKUP(K818, 'Alphabetical by species code'!A:B, 2, FALSE)</f>
        <v>Bromus madritensis</v>
      </c>
      <c r="M818" s="9" t="str">
        <f>VLOOKUP(L818, 'Alphabetical by species code'!B:C, 2, FALSE)</f>
        <v>Non-Native</v>
      </c>
    </row>
    <row r="819">
      <c r="A819" s="7">
        <v>9.0</v>
      </c>
      <c r="B819" s="7">
        <v>2025.0</v>
      </c>
      <c r="C819" s="10">
        <v>45764.0</v>
      </c>
      <c r="D819" s="7" t="s">
        <v>74</v>
      </c>
      <c r="E819" s="7" t="s">
        <v>75</v>
      </c>
      <c r="F819" s="7">
        <v>1.0</v>
      </c>
      <c r="G819" s="7" t="s">
        <v>27</v>
      </c>
      <c r="H819" s="7">
        <v>2.0</v>
      </c>
      <c r="I819" s="7">
        <v>3.0</v>
      </c>
      <c r="J819" s="7">
        <v>1.0</v>
      </c>
      <c r="K819" s="7" t="s">
        <v>49</v>
      </c>
      <c r="L819" s="9" t="str">
        <f>VLOOKUP(K819, 'Alphabetical by species code'!A:B, 2, FALSE)</f>
        <v>Anagallis arvensis</v>
      </c>
      <c r="M819" s="9" t="str">
        <f>VLOOKUP(L819, 'Alphabetical by species code'!B:C, 2, FALSE)</f>
        <v>Non-Native</v>
      </c>
    </row>
    <row r="820">
      <c r="A820" s="7">
        <v>9.0</v>
      </c>
      <c r="B820" s="7">
        <v>2025.0</v>
      </c>
      <c r="C820" s="10">
        <v>45764.0</v>
      </c>
      <c r="D820" s="7" t="s">
        <v>74</v>
      </c>
      <c r="E820" s="7" t="s">
        <v>75</v>
      </c>
      <c r="F820" s="7">
        <v>1.0</v>
      </c>
      <c r="G820" s="7" t="s">
        <v>27</v>
      </c>
      <c r="H820" s="7">
        <v>2.0</v>
      </c>
      <c r="I820" s="7">
        <v>3.0</v>
      </c>
      <c r="J820" s="7">
        <v>1.0</v>
      </c>
      <c r="K820" s="7" t="s">
        <v>35</v>
      </c>
      <c r="L820" s="9" t="str">
        <f>VLOOKUP(K820, 'Alphabetical by species code'!A:B, 2, FALSE)</f>
        <v>Deinandra fasciculata</v>
      </c>
      <c r="M820" s="9" t="str">
        <f>VLOOKUP(L820, 'Alphabetical by species code'!B:C, 2, FALSE)</f>
        <v>Native</v>
      </c>
    </row>
    <row r="821">
      <c r="A821" s="7">
        <v>9.0</v>
      </c>
      <c r="B821" s="7">
        <v>2025.0</v>
      </c>
      <c r="C821" s="10">
        <v>45764.0</v>
      </c>
      <c r="D821" s="7" t="s">
        <v>74</v>
      </c>
      <c r="E821" s="7" t="s">
        <v>75</v>
      </c>
      <c r="F821" s="7">
        <v>1.0</v>
      </c>
      <c r="G821" s="7" t="s">
        <v>27</v>
      </c>
      <c r="H821" s="7">
        <v>2.0</v>
      </c>
      <c r="I821" s="7">
        <v>4.0</v>
      </c>
      <c r="J821" s="7">
        <v>1.5</v>
      </c>
      <c r="K821" s="7" t="s">
        <v>51</v>
      </c>
      <c r="L821" s="9" t="str">
        <f>VLOOKUP(K821, 'Alphabetical by species code'!A:B, 2, FALSE)</f>
        <v>Bareground</v>
      </c>
      <c r="M821" s="9" t="str">
        <f>VLOOKUP(L821, 'Alphabetical by species code'!B:C, 2, FALSE)</f>
        <v>Ground Cover</v>
      </c>
    </row>
    <row r="822">
      <c r="A822" s="7">
        <v>9.0</v>
      </c>
      <c r="B822" s="7">
        <v>2025.0</v>
      </c>
      <c r="C822" s="10">
        <v>45764.0</v>
      </c>
      <c r="D822" s="7" t="s">
        <v>74</v>
      </c>
      <c r="E822" s="7" t="s">
        <v>75</v>
      </c>
      <c r="F822" s="7">
        <v>1.0</v>
      </c>
      <c r="G822" s="7" t="s">
        <v>27</v>
      </c>
      <c r="H822" s="7">
        <v>2.0</v>
      </c>
      <c r="I822" s="7">
        <v>4.0</v>
      </c>
      <c r="J822" s="7">
        <v>1.5</v>
      </c>
      <c r="K822" s="7" t="s">
        <v>31</v>
      </c>
      <c r="L822" s="9" t="str">
        <f>VLOOKUP(K822, 'Alphabetical by species code'!A:B, 2, FALSE)</f>
        <v>Festuca myuros</v>
      </c>
      <c r="M822" s="9" t="str">
        <f>VLOOKUP(L822, 'Alphabetical by species code'!B:C, 2, FALSE)</f>
        <v>Non-Native</v>
      </c>
    </row>
    <row r="823">
      <c r="A823" s="7">
        <v>9.0</v>
      </c>
      <c r="B823" s="7">
        <v>2025.0</v>
      </c>
      <c r="C823" s="10">
        <v>45764.0</v>
      </c>
      <c r="D823" s="7" t="s">
        <v>74</v>
      </c>
      <c r="E823" s="7" t="s">
        <v>75</v>
      </c>
      <c r="F823" s="7">
        <v>1.0</v>
      </c>
      <c r="G823" s="7" t="s">
        <v>27</v>
      </c>
      <c r="H823" s="7">
        <v>2.0</v>
      </c>
      <c r="I823" s="7">
        <v>5.0</v>
      </c>
      <c r="J823" s="7">
        <v>2.5</v>
      </c>
      <c r="K823" s="7" t="s">
        <v>28</v>
      </c>
      <c r="L823" s="9" t="str">
        <f>VLOOKUP(K823, 'Alphabetical by species code'!A:B, 2, FALSE)</f>
        <v>Litter</v>
      </c>
      <c r="M823" s="9" t="str">
        <f>VLOOKUP(L823, 'Alphabetical by species code'!B:C, 2, FALSE)</f>
        <v>Ground Cover</v>
      </c>
    </row>
    <row r="824">
      <c r="A824" s="7">
        <v>9.0</v>
      </c>
      <c r="B824" s="7">
        <v>2025.0</v>
      </c>
      <c r="C824" s="10">
        <v>45764.0</v>
      </c>
      <c r="D824" s="7" t="s">
        <v>74</v>
      </c>
      <c r="E824" s="7" t="s">
        <v>75</v>
      </c>
      <c r="F824" s="7">
        <v>1.0</v>
      </c>
      <c r="G824" s="7" t="s">
        <v>27</v>
      </c>
      <c r="H824" s="7">
        <v>2.0</v>
      </c>
      <c r="I824" s="7">
        <v>5.0</v>
      </c>
      <c r="J824" s="7">
        <v>2.5</v>
      </c>
      <c r="K824" s="7" t="s">
        <v>42</v>
      </c>
      <c r="L824" s="9" t="str">
        <f>VLOOKUP(K824, 'Alphabetical by species code'!A:B, 2, FALSE)</f>
        <v>Centaurea melitensis</v>
      </c>
      <c r="M824" s="9" t="str">
        <f>VLOOKUP(L824, 'Alphabetical by species code'!B:C, 2, FALSE)</f>
        <v>Non-Native</v>
      </c>
    </row>
    <row r="825">
      <c r="A825" s="7">
        <v>9.0</v>
      </c>
      <c r="B825" s="7">
        <v>2025.0</v>
      </c>
      <c r="C825" s="10">
        <v>45764.0</v>
      </c>
      <c r="D825" s="7" t="s">
        <v>74</v>
      </c>
      <c r="E825" s="7" t="s">
        <v>75</v>
      </c>
      <c r="F825" s="7">
        <v>1.0</v>
      </c>
      <c r="G825" s="7" t="s">
        <v>27</v>
      </c>
      <c r="H825" s="7">
        <v>2.0</v>
      </c>
      <c r="I825" s="7">
        <v>5.0</v>
      </c>
      <c r="J825" s="7">
        <v>2.5</v>
      </c>
      <c r="K825" s="7" t="s">
        <v>48</v>
      </c>
      <c r="L825" s="9" t="str">
        <f>VLOOKUP(K825, 'Alphabetical by species code'!A:B, 2, FALSE)</f>
        <v>Sonchus asper</v>
      </c>
      <c r="M825" s="9" t="str">
        <f>VLOOKUP(L825, 'Alphabetical by species code'!B:C, 2, FALSE)</f>
        <v>Non-Native</v>
      </c>
    </row>
    <row r="826">
      <c r="A826" s="7">
        <v>9.0</v>
      </c>
      <c r="B826" s="7">
        <v>2025.0</v>
      </c>
      <c r="C826" s="10">
        <v>45764.0</v>
      </c>
      <c r="D826" s="7" t="s">
        <v>74</v>
      </c>
      <c r="E826" s="7" t="s">
        <v>75</v>
      </c>
      <c r="F826" s="7">
        <v>1.0</v>
      </c>
      <c r="G826" s="7" t="s">
        <v>27</v>
      </c>
      <c r="H826" s="7">
        <v>2.0</v>
      </c>
      <c r="I826" s="7">
        <v>6.0</v>
      </c>
      <c r="J826" s="7">
        <v>3.0</v>
      </c>
      <c r="K826" s="7" t="s">
        <v>28</v>
      </c>
      <c r="L826" s="9" t="str">
        <f>VLOOKUP(K826, 'Alphabetical by species code'!A:B, 2, FALSE)</f>
        <v>Litter</v>
      </c>
      <c r="M826" s="9" t="str">
        <f>VLOOKUP(L826, 'Alphabetical by species code'!B:C, 2, FALSE)</f>
        <v>Ground Cover</v>
      </c>
    </row>
    <row r="827">
      <c r="A827" s="7">
        <v>9.0</v>
      </c>
      <c r="B827" s="7">
        <v>2025.0</v>
      </c>
      <c r="C827" s="10">
        <v>45764.0</v>
      </c>
      <c r="D827" s="7" t="s">
        <v>74</v>
      </c>
      <c r="E827" s="7" t="s">
        <v>75</v>
      </c>
      <c r="F827" s="7">
        <v>1.0</v>
      </c>
      <c r="G827" s="7" t="s">
        <v>27</v>
      </c>
      <c r="H827" s="7">
        <v>2.0</v>
      </c>
      <c r="I827" s="7">
        <v>6.0</v>
      </c>
      <c r="J827" s="7">
        <v>3.0</v>
      </c>
      <c r="K827" s="7" t="s">
        <v>40</v>
      </c>
      <c r="L827" s="9" t="str">
        <f>VLOOKUP(K827, 'Alphabetical by species code'!A:B, 2, FALSE)</f>
        <v>Cylindropuntia prolifera</v>
      </c>
      <c r="M827" s="9" t="str">
        <f>VLOOKUP(L827, 'Alphabetical by species code'!B:C, 2, FALSE)</f>
        <v>Native</v>
      </c>
    </row>
    <row r="828">
      <c r="A828" s="7">
        <v>9.0</v>
      </c>
      <c r="B828" s="7">
        <v>2025.0</v>
      </c>
      <c r="C828" s="10">
        <v>45764.0</v>
      </c>
      <c r="D828" s="7" t="s">
        <v>74</v>
      </c>
      <c r="E828" s="7" t="s">
        <v>75</v>
      </c>
      <c r="F828" s="7">
        <v>1.0</v>
      </c>
      <c r="G828" s="7" t="s">
        <v>27</v>
      </c>
      <c r="H828" s="7">
        <v>2.0</v>
      </c>
      <c r="I828" s="7">
        <v>6.0</v>
      </c>
      <c r="J828" s="7">
        <v>3.0</v>
      </c>
      <c r="K828" s="7" t="s">
        <v>31</v>
      </c>
      <c r="L828" s="9" t="str">
        <f>VLOOKUP(K828, 'Alphabetical by species code'!A:B, 2, FALSE)</f>
        <v>Festuca myuros</v>
      </c>
      <c r="M828" s="9" t="str">
        <f>VLOOKUP(L828, 'Alphabetical by species code'!B:C, 2, FALSE)</f>
        <v>Non-Native</v>
      </c>
    </row>
    <row r="829">
      <c r="A829" s="7">
        <v>9.0</v>
      </c>
      <c r="B829" s="7">
        <v>2025.0</v>
      </c>
      <c r="C829" s="10">
        <v>45764.0</v>
      </c>
      <c r="D829" s="7" t="s">
        <v>74</v>
      </c>
      <c r="E829" s="7" t="s">
        <v>75</v>
      </c>
      <c r="F829" s="7">
        <v>1.0</v>
      </c>
      <c r="G829" s="7" t="s">
        <v>27</v>
      </c>
      <c r="H829" s="7">
        <v>2.0</v>
      </c>
      <c r="I829" s="7">
        <v>6.0</v>
      </c>
      <c r="J829" s="7">
        <v>3.0</v>
      </c>
      <c r="K829" s="7" t="s">
        <v>36</v>
      </c>
      <c r="L829" s="9" t="str">
        <f>VLOOKUP(K829, 'Alphabetical by species code'!A:B, 2, FALSE)</f>
        <v>Bromus madritensis</v>
      </c>
      <c r="M829" s="9" t="str">
        <f>VLOOKUP(L829, 'Alphabetical by species code'!B:C, 2, FALSE)</f>
        <v>Non-Native</v>
      </c>
    </row>
    <row r="830">
      <c r="A830" s="7">
        <v>9.0</v>
      </c>
      <c r="B830" s="7">
        <v>2025.0</v>
      </c>
      <c r="C830" s="10">
        <v>45764.0</v>
      </c>
      <c r="D830" s="7" t="s">
        <v>74</v>
      </c>
      <c r="E830" s="7" t="s">
        <v>75</v>
      </c>
      <c r="F830" s="7">
        <v>1.0</v>
      </c>
      <c r="G830" s="7" t="s">
        <v>27</v>
      </c>
      <c r="H830" s="7">
        <v>2.0</v>
      </c>
      <c r="I830" s="7">
        <v>6.0</v>
      </c>
      <c r="J830" s="7">
        <v>3.0</v>
      </c>
      <c r="K830" s="7" t="s">
        <v>35</v>
      </c>
      <c r="L830" s="9" t="str">
        <f>VLOOKUP(K830, 'Alphabetical by species code'!A:B, 2, FALSE)</f>
        <v>Deinandra fasciculata</v>
      </c>
      <c r="M830" s="9" t="str">
        <f>VLOOKUP(L830, 'Alphabetical by species code'!B:C, 2, FALSE)</f>
        <v>Native</v>
      </c>
    </row>
    <row r="831">
      <c r="A831" s="7">
        <v>9.0</v>
      </c>
      <c r="B831" s="7">
        <v>2025.0</v>
      </c>
      <c r="C831" s="10">
        <v>45764.0</v>
      </c>
      <c r="D831" s="7" t="s">
        <v>74</v>
      </c>
      <c r="E831" s="7" t="s">
        <v>75</v>
      </c>
      <c r="F831" s="7">
        <v>1.0</v>
      </c>
      <c r="G831" s="7" t="s">
        <v>27</v>
      </c>
      <c r="H831" s="7">
        <v>2.0</v>
      </c>
      <c r="I831" s="7">
        <v>7.0</v>
      </c>
      <c r="J831" s="7">
        <v>3.5</v>
      </c>
      <c r="K831" s="7" t="s">
        <v>28</v>
      </c>
      <c r="L831" s="9" t="str">
        <f>VLOOKUP(K831, 'Alphabetical by species code'!A:B, 2, FALSE)</f>
        <v>Litter</v>
      </c>
      <c r="M831" s="9" t="str">
        <f>VLOOKUP(L831, 'Alphabetical by species code'!B:C, 2, FALSE)</f>
        <v>Ground Cover</v>
      </c>
    </row>
    <row r="832">
      <c r="A832" s="7">
        <v>9.0</v>
      </c>
      <c r="B832" s="7">
        <v>2025.0</v>
      </c>
      <c r="C832" s="10">
        <v>45764.0</v>
      </c>
      <c r="D832" s="7" t="s">
        <v>74</v>
      </c>
      <c r="E832" s="7" t="s">
        <v>75</v>
      </c>
      <c r="F832" s="7">
        <v>1.0</v>
      </c>
      <c r="G832" s="7" t="s">
        <v>27</v>
      </c>
      <c r="H832" s="7">
        <v>2.0</v>
      </c>
      <c r="I832" s="7">
        <v>7.0</v>
      </c>
      <c r="J832" s="7">
        <v>3.5</v>
      </c>
      <c r="K832" s="7" t="s">
        <v>48</v>
      </c>
      <c r="L832" s="9" t="str">
        <f>VLOOKUP(K832, 'Alphabetical by species code'!A:B, 2, FALSE)</f>
        <v>Sonchus asper</v>
      </c>
      <c r="M832" s="9" t="str">
        <f>VLOOKUP(L832, 'Alphabetical by species code'!B:C, 2, FALSE)</f>
        <v>Non-Native</v>
      </c>
    </row>
    <row r="833">
      <c r="A833" s="7">
        <v>9.0</v>
      </c>
      <c r="B833" s="7">
        <v>2025.0</v>
      </c>
      <c r="C833" s="10">
        <v>45764.0</v>
      </c>
      <c r="D833" s="7" t="s">
        <v>74</v>
      </c>
      <c r="E833" s="7" t="s">
        <v>75</v>
      </c>
      <c r="F833" s="7">
        <v>1.0</v>
      </c>
      <c r="G833" s="7" t="s">
        <v>27</v>
      </c>
      <c r="H833" s="7">
        <v>2.0</v>
      </c>
      <c r="I833" s="7">
        <v>7.0</v>
      </c>
      <c r="J833" s="7">
        <v>3.5</v>
      </c>
      <c r="K833" s="7" t="s">
        <v>31</v>
      </c>
      <c r="L833" s="9" t="str">
        <f>VLOOKUP(K833, 'Alphabetical by species code'!A:B, 2, FALSE)</f>
        <v>Festuca myuros</v>
      </c>
      <c r="M833" s="9" t="str">
        <f>VLOOKUP(L833, 'Alphabetical by species code'!B:C, 2, FALSE)</f>
        <v>Non-Native</v>
      </c>
    </row>
    <row r="834">
      <c r="A834" s="7">
        <v>9.0</v>
      </c>
      <c r="B834" s="7">
        <v>2025.0</v>
      </c>
      <c r="C834" s="10">
        <v>45764.0</v>
      </c>
      <c r="D834" s="7" t="s">
        <v>74</v>
      </c>
      <c r="E834" s="7" t="s">
        <v>75</v>
      </c>
      <c r="F834" s="7">
        <v>1.0</v>
      </c>
      <c r="G834" s="7" t="s">
        <v>27</v>
      </c>
      <c r="H834" s="7">
        <v>2.0</v>
      </c>
      <c r="I834" s="7">
        <v>7.0</v>
      </c>
      <c r="J834" s="7">
        <v>3.5</v>
      </c>
      <c r="K834" s="7" t="s">
        <v>35</v>
      </c>
      <c r="L834" s="9" t="str">
        <f>VLOOKUP(K834, 'Alphabetical by species code'!A:B, 2, FALSE)</f>
        <v>Deinandra fasciculata</v>
      </c>
      <c r="M834" s="9" t="str">
        <f>VLOOKUP(L834, 'Alphabetical by species code'!B:C, 2, FALSE)</f>
        <v>Native</v>
      </c>
    </row>
    <row r="835">
      <c r="A835" s="7">
        <v>9.0</v>
      </c>
      <c r="B835" s="7">
        <v>2025.0</v>
      </c>
      <c r="C835" s="10">
        <v>45764.0</v>
      </c>
      <c r="D835" s="7" t="s">
        <v>74</v>
      </c>
      <c r="E835" s="7" t="s">
        <v>75</v>
      </c>
      <c r="F835" s="7">
        <v>1.0</v>
      </c>
      <c r="G835" s="7" t="s">
        <v>27</v>
      </c>
      <c r="H835" s="7">
        <v>2.0</v>
      </c>
      <c r="I835" s="7">
        <v>8.0</v>
      </c>
      <c r="J835" s="7">
        <v>4.0</v>
      </c>
      <c r="K835" s="7" t="s">
        <v>28</v>
      </c>
      <c r="L835" s="9" t="str">
        <f>VLOOKUP(K835, 'Alphabetical by species code'!A:B, 2, FALSE)</f>
        <v>Litter</v>
      </c>
      <c r="M835" s="9" t="str">
        <f>VLOOKUP(L835, 'Alphabetical by species code'!B:C, 2, FALSE)</f>
        <v>Ground Cover</v>
      </c>
    </row>
    <row r="836">
      <c r="A836" s="7">
        <v>9.0</v>
      </c>
      <c r="B836" s="7">
        <v>2025.0</v>
      </c>
      <c r="C836" s="10">
        <v>45764.0</v>
      </c>
      <c r="D836" s="7" t="s">
        <v>74</v>
      </c>
      <c r="E836" s="7" t="s">
        <v>75</v>
      </c>
      <c r="F836" s="7">
        <v>1.0</v>
      </c>
      <c r="G836" s="7" t="s">
        <v>27</v>
      </c>
      <c r="H836" s="7">
        <v>2.0</v>
      </c>
      <c r="I836" s="7">
        <v>8.0</v>
      </c>
      <c r="J836" s="7">
        <v>4.0</v>
      </c>
      <c r="K836" s="7" t="s">
        <v>31</v>
      </c>
      <c r="L836" s="9" t="str">
        <f>VLOOKUP(K836, 'Alphabetical by species code'!A:B, 2, FALSE)</f>
        <v>Festuca myuros</v>
      </c>
      <c r="M836" s="9" t="str">
        <f>VLOOKUP(L836, 'Alphabetical by species code'!B:C, 2, FALSE)</f>
        <v>Non-Native</v>
      </c>
    </row>
    <row r="837">
      <c r="A837" s="7">
        <v>9.0</v>
      </c>
      <c r="B837" s="7">
        <v>2025.0</v>
      </c>
      <c r="C837" s="10">
        <v>45764.0</v>
      </c>
      <c r="D837" s="7" t="s">
        <v>74</v>
      </c>
      <c r="E837" s="7" t="s">
        <v>75</v>
      </c>
      <c r="F837" s="7">
        <v>1.0</v>
      </c>
      <c r="G837" s="7" t="s">
        <v>27</v>
      </c>
      <c r="H837" s="7">
        <v>2.0</v>
      </c>
      <c r="I837" s="7">
        <v>8.0</v>
      </c>
      <c r="J837" s="7">
        <v>4.0</v>
      </c>
      <c r="K837" s="7" t="s">
        <v>36</v>
      </c>
      <c r="L837" s="9" t="str">
        <f>VLOOKUP(K837, 'Alphabetical by species code'!A:B, 2, FALSE)</f>
        <v>Bromus madritensis</v>
      </c>
      <c r="M837" s="9" t="str">
        <f>VLOOKUP(L837, 'Alphabetical by species code'!B:C, 2, FALSE)</f>
        <v>Non-Native</v>
      </c>
    </row>
    <row r="838">
      <c r="A838" s="7">
        <v>9.0</v>
      </c>
      <c r="B838" s="7">
        <v>2025.0</v>
      </c>
      <c r="C838" s="10">
        <v>45764.0</v>
      </c>
      <c r="D838" s="7" t="s">
        <v>74</v>
      </c>
      <c r="E838" s="7" t="s">
        <v>75</v>
      </c>
      <c r="F838" s="7">
        <v>1.0</v>
      </c>
      <c r="G838" s="7" t="s">
        <v>27</v>
      </c>
      <c r="H838" s="7">
        <v>2.0</v>
      </c>
      <c r="I838" s="7">
        <v>8.0</v>
      </c>
      <c r="J838" s="7">
        <v>4.0</v>
      </c>
      <c r="K838" s="7" t="s">
        <v>30</v>
      </c>
      <c r="L838" s="9" t="str">
        <f>VLOOKUP(K838, 'Alphabetical by species code'!A:B, 2, FALSE)</f>
        <v>Erodium moschatum</v>
      </c>
      <c r="M838" s="9" t="str">
        <f>VLOOKUP(L838, 'Alphabetical by species code'!B:C, 2, FALSE)</f>
        <v>Non-Native</v>
      </c>
    </row>
    <row r="839">
      <c r="A839" s="7">
        <v>9.0</v>
      </c>
      <c r="B839" s="7">
        <v>2025.0</v>
      </c>
      <c r="C839" s="10">
        <v>45764.0</v>
      </c>
      <c r="D839" s="7" t="s">
        <v>74</v>
      </c>
      <c r="E839" s="7" t="s">
        <v>75</v>
      </c>
      <c r="F839" s="7">
        <v>1.0</v>
      </c>
      <c r="G839" s="7" t="s">
        <v>27</v>
      </c>
      <c r="H839" s="7">
        <v>2.0</v>
      </c>
      <c r="I839" s="7">
        <v>9.0</v>
      </c>
      <c r="J839" s="7">
        <v>4.5</v>
      </c>
      <c r="K839" s="7" t="s">
        <v>28</v>
      </c>
      <c r="L839" s="9" t="str">
        <f>VLOOKUP(K839, 'Alphabetical by species code'!A:B, 2, FALSE)</f>
        <v>Litter</v>
      </c>
      <c r="M839" s="9" t="str">
        <f>VLOOKUP(L839, 'Alphabetical by species code'!B:C, 2, FALSE)</f>
        <v>Ground Cover</v>
      </c>
    </row>
    <row r="840">
      <c r="A840" s="7">
        <v>9.0</v>
      </c>
      <c r="B840" s="7">
        <v>2025.0</v>
      </c>
      <c r="C840" s="10">
        <v>45764.0</v>
      </c>
      <c r="D840" s="7" t="s">
        <v>74</v>
      </c>
      <c r="E840" s="7" t="s">
        <v>75</v>
      </c>
      <c r="F840" s="7">
        <v>1.0</v>
      </c>
      <c r="G840" s="7" t="s">
        <v>27</v>
      </c>
      <c r="H840" s="7">
        <v>2.0</v>
      </c>
      <c r="I840" s="7">
        <v>9.0</v>
      </c>
      <c r="J840" s="7">
        <v>4.5</v>
      </c>
      <c r="K840" s="7" t="s">
        <v>65</v>
      </c>
      <c r="L840" s="9" t="str">
        <f>VLOOKUP(K840, 'Alphabetical by species code'!A:B, 2, FALSE)</f>
        <v>Cryptantha intermedia</v>
      </c>
      <c r="M840" s="9" t="str">
        <f>VLOOKUP(L840, 'Alphabetical by species code'!B:C, 2, FALSE)</f>
        <v>Native</v>
      </c>
    </row>
    <row r="841">
      <c r="A841" s="7">
        <v>9.0</v>
      </c>
      <c r="B841" s="7">
        <v>2025.0</v>
      </c>
      <c r="C841" s="10">
        <v>45764.0</v>
      </c>
      <c r="D841" s="7" t="s">
        <v>74</v>
      </c>
      <c r="E841" s="7" t="s">
        <v>75</v>
      </c>
      <c r="F841" s="7">
        <v>1.0</v>
      </c>
      <c r="G841" s="7" t="s">
        <v>27</v>
      </c>
      <c r="H841" s="7">
        <v>2.0</v>
      </c>
      <c r="I841" s="7">
        <v>9.0</v>
      </c>
      <c r="J841" s="7">
        <v>4.5</v>
      </c>
      <c r="K841" s="7" t="s">
        <v>48</v>
      </c>
      <c r="L841" s="9" t="str">
        <f>VLOOKUP(K841, 'Alphabetical by species code'!A:B, 2, FALSE)</f>
        <v>Sonchus asper</v>
      </c>
      <c r="M841" s="9" t="str">
        <f>VLOOKUP(L841, 'Alphabetical by species code'!B:C, 2, FALSE)</f>
        <v>Non-Native</v>
      </c>
    </row>
    <row r="842">
      <c r="A842" s="7">
        <v>9.0</v>
      </c>
      <c r="B842" s="7">
        <v>2025.0</v>
      </c>
      <c r="C842" s="10">
        <v>45764.0</v>
      </c>
      <c r="D842" s="7" t="s">
        <v>74</v>
      </c>
      <c r="E842" s="7" t="s">
        <v>75</v>
      </c>
      <c r="F842" s="7">
        <v>1.0</v>
      </c>
      <c r="G842" s="7" t="s">
        <v>27</v>
      </c>
      <c r="H842" s="7">
        <v>2.0</v>
      </c>
      <c r="I842" s="7">
        <v>9.0</v>
      </c>
      <c r="J842" s="7">
        <v>4.5</v>
      </c>
      <c r="K842" s="7" t="s">
        <v>37</v>
      </c>
      <c r="L842" s="9" t="str">
        <f>VLOOKUP(K842, 'Alphabetical by species code'!A:B, 2, FALSE)</f>
        <v>Sonchus oleraceus</v>
      </c>
      <c r="M842" s="9" t="str">
        <f>VLOOKUP(L842, 'Alphabetical by species code'!B:C, 2, FALSE)</f>
        <v>Non-Native</v>
      </c>
    </row>
    <row r="843">
      <c r="A843" s="7">
        <v>9.0</v>
      </c>
      <c r="B843" s="7">
        <v>2025.0</v>
      </c>
      <c r="C843" s="10">
        <v>45764.0</v>
      </c>
      <c r="D843" s="7" t="s">
        <v>74</v>
      </c>
      <c r="E843" s="7" t="s">
        <v>75</v>
      </c>
      <c r="F843" s="7">
        <v>1.0</v>
      </c>
      <c r="G843" s="7" t="s">
        <v>27</v>
      </c>
      <c r="H843" s="7">
        <v>2.0</v>
      </c>
      <c r="I843" s="7">
        <v>9.0</v>
      </c>
      <c r="J843" s="7">
        <v>4.5</v>
      </c>
      <c r="K843" s="7" t="s">
        <v>31</v>
      </c>
      <c r="L843" s="9" t="str">
        <f>VLOOKUP(K843, 'Alphabetical by species code'!A:B, 2, FALSE)</f>
        <v>Festuca myuros</v>
      </c>
      <c r="M843" s="9" t="str">
        <f>VLOOKUP(L843, 'Alphabetical by species code'!B:C, 2, FALSE)</f>
        <v>Non-Native</v>
      </c>
    </row>
    <row r="844">
      <c r="A844" s="7">
        <v>9.0</v>
      </c>
      <c r="B844" s="7">
        <v>2025.0</v>
      </c>
      <c r="C844" s="10">
        <v>45764.0</v>
      </c>
      <c r="D844" s="7" t="s">
        <v>74</v>
      </c>
      <c r="E844" s="7" t="s">
        <v>75</v>
      </c>
      <c r="F844" s="7">
        <v>1.0</v>
      </c>
      <c r="G844" s="7" t="s">
        <v>27</v>
      </c>
      <c r="H844" s="7">
        <v>2.0</v>
      </c>
      <c r="I844" s="7">
        <v>10.0</v>
      </c>
      <c r="J844" s="7">
        <v>5.0</v>
      </c>
      <c r="K844" s="7" t="s">
        <v>28</v>
      </c>
      <c r="L844" s="9" t="str">
        <f>VLOOKUP(K844, 'Alphabetical by species code'!A:B, 2, FALSE)</f>
        <v>Litter</v>
      </c>
      <c r="M844" s="9" t="str">
        <f>VLOOKUP(L844, 'Alphabetical by species code'!B:C, 2, FALSE)</f>
        <v>Ground Cover</v>
      </c>
    </row>
    <row r="845">
      <c r="A845" s="7">
        <v>9.0</v>
      </c>
      <c r="B845" s="7">
        <v>2025.0</v>
      </c>
      <c r="C845" s="10">
        <v>45764.0</v>
      </c>
      <c r="D845" s="7" t="s">
        <v>74</v>
      </c>
      <c r="E845" s="7" t="s">
        <v>75</v>
      </c>
      <c r="F845" s="7">
        <v>1.0</v>
      </c>
      <c r="G845" s="7" t="s">
        <v>27</v>
      </c>
      <c r="H845" s="7">
        <v>2.0</v>
      </c>
      <c r="I845" s="7">
        <v>10.0</v>
      </c>
      <c r="J845" s="7">
        <v>5.0</v>
      </c>
      <c r="K845" s="7" t="s">
        <v>42</v>
      </c>
      <c r="L845" s="9" t="str">
        <f>VLOOKUP(K845, 'Alphabetical by species code'!A:B, 2, FALSE)</f>
        <v>Centaurea melitensis</v>
      </c>
      <c r="M845" s="9" t="str">
        <f>VLOOKUP(L845, 'Alphabetical by species code'!B:C, 2, FALSE)</f>
        <v>Non-Native</v>
      </c>
    </row>
    <row r="846">
      <c r="A846" s="7">
        <v>9.0</v>
      </c>
      <c r="B846" s="7">
        <v>2025.0</v>
      </c>
      <c r="C846" s="10">
        <v>45764.0</v>
      </c>
      <c r="D846" s="7" t="s">
        <v>74</v>
      </c>
      <c r="E846" s="7" t="s">
        <v>75</v>
      </c>
      <c r="F846" s="7">
        <v>1.0</v>
      </c>
      <c r="G846" s="7" t="s">
        <v>27</v>
      </c>
      <c r="H846" s="7">
        <v>2.0</v>
      </c>
      <c r="I846" s="7">
        <v>11.0</v>
      </c>
      <c r="J846" s="7">
        <v>5.5</v>
      </c>
      <c r="K846" s="7" t="s">
        <v>28</v>
      </c>
      <c r="L846" s="9" t="str">
        <f>VLOOKUP(K846, 'Alphabetical by species code'!A:B, 2, FALSE)</f>
        <v>Litter</v>
      </c>
      <c r="M846" s="9" t="str">
        <f>VLOOKUP(L846, 'Alphabetical by species code'!B:C, 2, FALSE)</f>
        <v>Ground Cover</v>
      </c>
    </row>
    <row r="847">
      <c r="A847" s="7">
        <v>9.0</v>
      </c>
      <c r="B847" s="7">
        <v>2025.0</v>
      </c>
      <c r="C847" s="10">
        <v>45764.0</v>
      </c>
      <c r="D847" s="7" t="s">
        <v>74</v>
      </c>
      <c r="E847" s="7" t="s">
        <v>75</v>
      </c>
      <c r="F847" s="7">
        <v>1.0</v>
      </c>
      <c r="G847" s="7" t="s">
        <v>27</v>
      </c>
      <c r="H847" s="7">
        <v>2.0</v>
      </c>
      <c r="I847" s="7">
        <v>11.0</v>
      </c>
      <c r="J847" s="7">
        <v>5.5</v>
      </c>
      <c r="K847" s="7" t="s">
        <v>42</v>
      </c>
      <c r="L847" s="9" t="str">
        <f>VLOOKUP(K847, 'Alphabetical by species code'!A:B, 2, FALSE)</f>
        <v>Centaurea melitensis</v>
      </c>
      <c r="M847" s="9" t="str">
        <f>VLOOKUP(L847, 'Alphabetical by species code'!B:C, 2, FALSE)</f>
        <v>Non-Native</v>
      </c>
    </row>
    <row r="848">
      <c r="A848" s="7">
        <v>9.0</v>
      </c>
      <c r="B848" s="7">
        <v>2025.0</v>
      </c>
      <c r="C848" s="10">
        <v>45764.0</v>
      </c>
      <c r="D848" s="7" t="s">
        <v>74</v>
      </c>
      <c r="E848" s="7" t="s">
        <v>75</v>
      </c>
      <c r="F848" s="7">
        <v>1.0</v>
      </c>
      <c r="G848" s="7" t="s">
        <v>27</v>
      </c>
      <c r="H848" s="7">
        <v>2.0</v>
      </c>
      <c r="I848" s="7">
        <v>11.0</v>
      </c>
      <c r="J848" s="7">
        <v>5.5</v>
      </c>
      <c r="K848" s="7" t="s">
        <v>37</v>
      </c>
      <c r="L848" s="9" t="str">
        <f>VLOOKUP(K848, 'Alphabetical by species code'!A:B, 2, FALSE)</f>
        <v>Sonchus oleraceus</v>
      </c>
      <c r="M848" s="9" t="str">
        <f>VLOOKUP(L848, 'Alphabetical by species code'!B:C, 2, FALSE)</f>
        <v>Non-Native</v>
      </c>
    </row>
    <row r="849">
      <c r="A849" s="7">
        <v>9.0</v>
      </c>
      <c r="B849" s="7">
        <v>2025.0</v>
      </c>
      <c r="C849" s="10">
        <v>45764.0</v>
      </c>
      <c r="D849" s="7" t="s">
        <v>74</v>
      </c>
      <c r="E849" s="7" t="s">
        <v>75</v>
      </c>
      <c r="F849" s="7">
        <v>1.0</v>
      </c>
      <c r="G849" s="7" t="s">
        <v>27</v>
      </c>
      <c r="H849" s="7">
        <v>2.0</v>
      </c>
      <c r="I849" s="7">
        <v>12.0</v>
      </c>
      <c r="J849" s="7">
        <v>6.0</v>
      </c>
      <c r="K849" s="7" t="s">
        <v>28</v>
      </c>
      <c r="L849" s="9" t="str">
        <f>VLOOKUP(K849, 'Alphabetical by species code'!A:B, 2, FALSE)</f>
        <v>Litter</v>
      </c>
      <c r="M849" s="9" t="str">
        <f>VLOOKUP(L849, 'Alphabetical by species code'!B:C, 2, FALSE)</f>
        <v>Ground Cover</v>
      </c>
    </row>
    <row r="850">
      <c r="A850" s="7">
        <v>9.0</v>
      </c>
      <c r="B850" s="7">
        <v>2025.0</v>
      </c>
      <c r="C850" s="10">
        <v>45764.0</v>
      </c>
      <c r="D850" s="7" t="s">
        <v>74</v>
      </c>
      <c r="E850" s="7" t="s">
        <v>75</v>
      </c>
      <c r="F850" s="7">
        <v>1.0</v>
      </c>
      <c r="G850" s="7" t="s">
        <v>27</v>
      </c>
      <c r="H850" s="7">
        <v>2.0</v>
      </c>
      <c r="I850" s="7">
        <v>12.0</v>
      </c>
      <c r="J850" s="7">
        <v>6.0</v>
      </c>
      <c r="K850" s="7" t="s">
        <v>31</v>
      </c>
      <c r="L850" s="9" t="str">
        <f>VLOOKUP(K850, 'Alphabetical by species code'!A:B, 2, FALSE)</f>
        <v>Festuca myuros</v>
      </c>
      <c r="M850" s="9" t="str">
        <f>VLOOKUP(L850, 'Alphabetical by species code'!B:C, 2, FALSE)</f>
        <v>Non-Native</v>
      </c>
    </row>
    <row r="851">
      <c r="A851" s="7">
        <v>9.0</v>
      </c>
      <c r="B851" s="7">
        <v>2025.0</v>
      </c>
      <c r="C851" s="10">
        <v>45764.0</v>
      </c>
      <c r="D851" s="7" t="s">
        <v>74</v>
      </c>
      <c r="E851" s="7" t="s">
        <v>75</v>
      </c>
      <c r="F851" s="7">
        <v>1.0</v>
      </c>
      <c r="G851" s="7" t="s">
        <v>27</v>
      </c>
      <c r="H851" s="7">
        <v>2.0</v>
      </c>
      <c r="I851" s="7">
        <v>12.0</v>
      </c>
      <c r="J851" s="7">
        <v>6.0</v>
      </c>
      <c r="K851" s="7" t="s">
        <v>48</v>
      </c>
      <c r="L851" s="9" t="str">
        <f>VLOOKUP(K851, 'Alphabetical by species code'!A:B, 2, FALSE)</f>
        <v>Sonchus asper</v>
      </c>
      <c r="M851" s="9" t="str">
        <f>VLOOKUP(L851, 'Alphabetical by species code'!B:C, 2, FALSE)</f>
        <v>Non-Native</v>
      </c>
    </row>
    <row r="852">
      <c r="A852" s="7">
        <v>9.0</v>
      </c>
      <c r="B852" s="7">
        <v>2025.0</v>
      </c>
      <c r="C852" s="10">
        <v>45764.0</v>
      </c>
      <c r="D852" s="7" t="s">
        <v>74</v>
      </c>
      <c r="E852" s="7" t="s">
        <v>75</v>
      </c>
      <c r="F852" s="7">
        <v>1.0</v>
      </c>
      <c r="G852" s="7" t="s">
        <v>27</v>
      </c>
      <c r="H852" s="7">
        <v>2.0</v>
      </c>
      <c r="I852" s="7">
        <v>13.0</v>
      </c>
      <c r="J852" s="7">
        <v>6.5</v>
      </c>
      <c r="K852" s="7" t="s">
        <v>28</v>
      </c>
      <c r="L852" s="9" t="str">
        <f>VLOOKUP(K852, 'Alphabetical by species code'!A:B, 2, FALSE)</f>
        <v>Litter</v>
      </c>
      <c r="M852" s="9" t="str">
        <f>VLOOKUP(L852, 'Alphabetical by species code'!B:C, 2, FALSE)</f>
        <v>Ground Cover</v>
      </c>
    </row>
    <row r="853">
      <c r="A853" s="7">
        <v>9.0</v>
      </c>
      <c r="B853" s="7">
        <v>2025.0</v>
      </c>
      <c r="C853" s="10">
        <v>45764.0</v>
      </c>
      <c r="D853" s="7" t="s">
        <v>74</v>
      </c>
      <c r="E853" s="7" t="s">
        <v>75</v>
      </c>
      <c r="F853" s="7">
        <v>1.0</v>
      </c>
      <c r="G853" s="7" t="s">
        <v>27</v>
      </c>
      <c r="H853" s="7">
        <v>2.0</v>
      </c>
      <c r="I853" s="7">
        <v>13.0</v>
      </c>
      <c r="J853" s="7">
        <v>6.5</v>
      </c>
      <c r="K853" s="7" t="s">
        <v>36</v>
      </c>
      <c r="L853" s="9" t="str">
        <f>VLOOKUP(K853, 'Alphabetical by species code'!A:B, 2, FALSE)</f>
        <v>Bromus madritensis</v>
      </c>
      <c r="M853" s="9" t="str">
        <f>VLOOKUP(L853, 'Alphabetical by species code'!B:C, 2, FALSE)</f>
        <v>Non-Native</v>
      </c>
    </row>
    <row r="854">
      <c r="A854" s="7">
        <v>9.0</v>
      </c>
      <c r="B854" s="7">
        <v>2025.0</v>
      </c>
      <c r="C854" s="10">
        <v>45764.0</v>
      </c>
      <c r="D854" s="7" t="s">
        <v>74</v>
      </c>
      <c r="E854" s="7" t="s">
        <v>75</v>
      </c>
      <c r="F854" s="7">
        <v>1.0</v>
      </c>
      <c r="G854" s="7" t="s">
        <v>27</v>
      </c>
      <c r="H854" s="7">
        <v>2.0</v>
      </c>
      <c r="I854" s="7">
        <v>13.0</v>
      </c>
      <c r="J854" s="7">
        <v>6.5</v>
      </c>
      <c r="K854" s="7" t="s">
        <v>35</v>
      </c>
      <c r="L854" s="9" t="str">
        <f>VLOOKUP(K854, 'Alphabetical by species code'!A:B, 2, FALSE)</f>
        <v>Deinandra fasciculata</v>
      </c>
      <c r="M854" s="9" t="str">
        <f>VLOOKUP(L854, 'Alphabetical by species code'!B:C, 2, FALSE)</f>
        <v>Native</v>
      </c>
    </row>
    <row r="855">
      <c r="A855" s="7">
        <v>9.0</v>
      </c>
      <c r="B855" s="7">
        <v>2025.0</v>
      </c>
      <c r="C855" s="10">
        <v>45764.0</v>
      </c>
      <c r="D855" s="7" t="s">
        <v>74</v>
      </c>
      <c r="E855" s="7" t="s">
        <v>75</v>
      </c>
      <c r="F855" s="7">
        <v>1.0</v>
      </c>
      <c r="G855" s="7" t="s">
        <v>27</v>
      </c>
      <c r="H855" s="7">
        <v>2.0</v>
      </c>
      <c r="I855" s="7">
        <v>14.0</v>
      </c>
      <c r="J855" s="7">
        <v>7.0</v>
      </c>
      <c r="K855" s="7" t="s">
        <v>52</v>
      </c>
      <c r="L855" s="9" t="str">
        <f>VLOOKUP(K855, 'Alphabetical by species code'!A:B, 2, FALSE)</f>
        <v>Rock</v>
      </c>
      <c r="M855" s="9" t="str">
        <f>VLOOKUP(L855, 'Alphabetical by species code'!B:C, 2, FALSE)</f>
        <v>Ground Cover</v>
      </c>
    </row>
    <row r="856">
      <c r="A856" s="7">
        <v>9.0</v>
      </c>
      <c r="B856" s="7">
        <v>2025.0</v>
      </c>
      <c r="C856" s="10">
        <v>45764.0</v>
      </c>
      <c r="D856" s="7" t="s">
        <v>74</v>
      </c>
      <c r="E856" s="7" t="s">
        <v>75</v>
      </c>
      <c r="F856" s="7">
        <v>1.0</v>
      </c>
      <c r="G856" s="7" t="s">
        <v>27</v>
      </c>
      <c r="H856" s="7">
        <v>2.0</v>
      </c>
      <c r="I856" s="7">
        <v>14.0</v>
      </c>
      <c r="J856" s="7">
        <v>7.0</v>
      </c>
      <c r="K856" s="7" t="s">
        <v>48</v>
      </c>
      <c r="L856" s="9" t="str">
        <f>VLOOKUP(K856, 'Alphabetical by species code'!A:B, 2, FALSE)</f>
        <v>Sonchus asper</v>
      </c>
      <c r="M856" s="9" t="str">
        <f>VLOOKUP(L856, 'Alphabetical by species code'!B:C, 2, FALSE)</f>
        <v>Non-Native</v>
      </c>
    </row>
    <row r="857">
      <c r="A857" s="7">
        <v>9.0</v>
      </c>
      <c r="B857" s="7">
        <v>2025.0</v>
      </c>
      <c r="C857" s="10">
        <v>45764.0</v>
      </c>
      <c r="D857" s="7" t="s">
        <v>74</v>
      </c>
      <c r="E857" s="7" t="s">
        <v>75</v>
      </c>
      <c r="F857" s="7">
        <v>1.0</v>
      </c>
      <c r="G857" s="7" t="s">
        <v>27</v>
      </c>
      <c r="H857" s="7">
        <v>2.0</v>
      </c>
      <c r="I857" s="7">
        <v>14.0</v>
      </c>
      <c r="J857" s="7">
        <v>7.0</v>
      </c>
      <c r="K857" s="7" t="s">
        <v>65</v>
      </c>
      <c r="L857" s="9" t="str">
        <f>VLOOKUP(K857, 'Alphabetical by species code'!A:B, 2, FALSE)</f>
        <v>Cryptantha intermedia</v>
      </c>
      <c r="M857" s="9" t="str">
        <f>VLOOKUP(L857, 'Alphabetical by species code'!B:C, 2, FALSE)</f>
        <v>Native</v>
      </c>
    </row>
    <row r="858">
      <c r="A858" s="7">
        <v>9.0</v>
      </c>
      <c r="B858" s="7">
        <v>2025.0</v>
      </c>
      <c r="C858" s="10">
        <v>45764.0</v>
      </c>
      <c r="D858" s="7" t="s">
        <v>74</v>
      </c>
      <c r="E858" s="7" t="s">
        <v>75</v>
      </c>
      <c r="F858" s="7">
        <v>1.0</v>
      </c>
      <c r="G858" s="7" t="s">
        <v>27</v>
      </c>
      <c r="H858" s="7">
        <v>2.0</v>
      </c>
      <c r="I858" s="7">
        <v>15.0</v>
      </c>
      <c r="J858" s="7">
        <v>7.5</v>
      </c>
      <c r="K858" s="7" t="s">
        <v>52</v>
      </c>
      <c r="L858" s="9" t="str">
        <f>VLOOKUP(K858, 'Alphabetical by species code'!A:B, 2, FALSE)</f>
        <v>Rock</v>
      </c>
      <c r="M858" s="9" t="str">
        <f>VLOOKUP(L858, 'Alphabetical by species code'!B:C, 2, FALSE)</f>
        <v>Ground Cover</v>
      </c>
    </row>
    <row r="859">
      <c r="A859" s="7">
        <v>10.0</v>
      </c>
      <c r="B859" s="7">
        <v>2025.0</v>
      </c>
      <c r="C859" s="8">
        <v>45777.0</v>
      </c>
      <c r="D859" s="7" t="s">
        <v>77</v>
      </c>
      <c r="E859" s="7" t="s">
        <v>75</v>
      </c>
      <c r="F859" s="7">
        <v>1.0</v>
      </c>
      <c r="G859" s="7" t="s">
        <v>46</v>
      </c>
      <c r="H859" s="7">
        <v>1.0</v>
      </c>
      <c r="I859" s="7">
        <v>1.0</v>
      </c>
      <c r="J859" s="7">
        <v>0.0</v>
      </c>
      <c r="K859" s="7" t="s">
        <v>28</v>
      </c>
      <c r="L859" s="9" t="str">
        <f>VLOOKUP(K859, 'Alphabetical by species code'!A:B, 2, FALSE)</f>
        <v>Litter</v>
      </c>
      <c r="M859" s="9" t="str">
        <f>VLOOKUP(L859, 'Alphabetical by species code'!B:C, 2, FALSE)</f>
        <v>Ground Cover</v>
      </c>
    </row>
    <row r="860">
      <c r="A860" s="7">
        <v>10.0</v>
      </c>
      <c r="B860" s="7">
        <v>2025.0</v>
      </c>
      <c r="C860" s="8">
        <v>45777.0</v>
      </c>
      <c r="D860" s="7" t="s">
        <v>77</v>
      </c>
      <c r="E860" s="7" t="s">
        <v>75</v>
      </c>
      <c r="F860" s="7">
        <v>1.0</v>
      </c>
      <c r="G860" s="7" t="s">
        <v>46</v>
      </c>
      <c r="H860" s="7">
        <v>1.0</v>
      </c>
      <c r="I860" s="7">
        <v>1.0</v>
      </c>
      <c r="J860" s="7">
        <v>0.0</v>
      </c>
      <c r="K860" s="7" t="s">
        <v>35</v>
      </c>
      <c r="L860" s="9" t="str">
        <f>VLOOKUP(K860, 'Alphabetical by species code'!A:B, 2, FALSE)</f>
        <v>Deinandra fasciculata</v>
      </c>
      <c r="M860" s="9" t="str">
        <f>VLOOKUP(L860, 'Alphabetical by species code'!B:C, 2, FALSE)</f>
        <v>Native</v>
      </c>
    </row>
    <row r="861">
      <c r="A861" s="7">
        <v>10.0</v>
      </c>
      <c r="B861" s="7">
        <v>2025.0</v>
      </c>
      <c r="C861" s="8">
        <v>45777.0</v>
      </c>
      <c r="D861" s="7" t="s">
        <v>77</v>
      </c>
      <c r="E861" s="7" t="s">
        <v>75</v>
      </c>
      <c r="F861" s="7">
        <v>1.0</v>
      </c>
      <c r="G861" s="7" t="s">
        <v>46</v>
      </c>
      <c r="H861" s="7">
        <v>1.0</v>
      </c>
      <c r="I861" s="7">
        <v>1.0</v>
      </c>
      <c r="J861" s="7">
        <v>0.0</v>
      </c>
      <c r="K861" s="7" t="s">
        <v>30</v>
      </c>
      <c r="L861" s="9" t="str">
        <f>VLOOKUP(K861, 'Alphabetical by species code'!A:B, 2, FALSE)</f>
        <v>Erodium moschatum</v>
      </c>
      <c r="M861" s="9" t="str">
        <f>VLOOKUP(L861, 'Alphabetical by species code'!B:C, 2, FALSE)</f>
        <v>Non-Native</v>
      </c>
    </row>
    <row r="862">
      <c r="A862" s="7">
        <v>10.0</v>
      </c>
      <c r="B862" s="7">
        <v>2025.0</v>
      </c>
      <c r="C862" s="8">
        <v>45777.0</v>
      </c>
      <c r="D862" s="7" t="s">
        <v>77</v>
      </c>
      <c r="E862" s="7" t="s">
        <v>75</v>
      </c>
      <c r="F862" s="7">
        <v>1.0</v>
      </c>
      <c r="G862" s="7" t="s">
        <v>46</v>
      </c>
      <c r="H862" s="7">
        <v>1.0</v>
      </c>
      <c r="I862" s="7">
        <v>1.0</v>
      </c>
      <c r="J862" s="7">
        <v>0.0</v>
      </c>
      <c r="K862" s="7" t="s">
        <v>31</v>
      </c>
      <c r="L862" s="9" t="str">
        <f>VLOOKUP(K862, 'Alphabetical by species code'!A:B, 2, FALSE)</f>
        <v>Festuca myuros</v>
      </c>
      <c r="M862" s="9" t="str">
        <f>VLOOKUP(L862, 'Alphabetical by species code'!B:C, 2, FALSE)</f>
        <v>Non-Native</v>
      </c>
    </row>
    <row r="863">
      <c r="A863" s="7">
        <v>10.0</v>
      </c>
      <c r="B863" s="7">
        <v>2025.0</v>
      </c>
      <c r="C863" s="8">
        <v>45777.0</v>
      </c>
      <c r="D863" s="7" t="s">
        <v>77</v>
      </c>
      <c r="E863" s="7" t="s">
        <v>75</v>
      </c>
      <c r="F863" s="7">
        <v>1.0</v>
      </c>
      <c r="G863" s="7" t="s">
        <v>46</v>
      </c>
      <c r="H863" s="7">
        <v>1.0</v>
      </c>
      <c r="I863" s="7">
        <v>2.0</v>
      </c>
      <c r="J863" s="7">
        <v>0.5</v>
      </c>
      <c r="K863" s="7" t="s">
        <v>28</v>
      </c>
      <c r="L863" s="9" t="str">
        <f>VLOOKUP(K863, 'Alphabetical by species code'!A:B, 2, FALSE)</f>
        <v>Litter</v>
      </c>
      <c r="M863" s="9" t="str">
        <f>VLOOKUP(L863, 'Alphabetical by species code'!B:C, 2, FALSE)</f>
        <v>Ground Cover</v>
      </c>
    </row>
    <row r="864">
      <c r="A864" s="7">
        <v>10.0</v>
      </c>
      <c r="B864" s="7">
        <v>2025.0</v>
      </c>
      <c r="C864" s="8">
        <v>45777.0</v>
      </c>
      <c r="D864" s="7" t="s">
        <v>77</v>
      </c>
      <c r="E864" s="7" t="s">
        <v>75</v>
      </c>
      <c r="F864" s="7">
        <v>1.0</v>
      </c>
      <c r="G864" s="7" t="s">
        <v>46</v>
      </c>
      <c r="H864" s="7">
        <v>1.0</v>
      </c>
      <c r="I864" s="7">
        <v>2.0</v>
      </c>
      <c r="J864" s="7">
        <v>0.5</v>
      </c>
      <c r="K864" s="7" t="s">
        <v>36</v>
      </c>
      <c r="L864" s="9" t="str">
        <f>VLOOKUP(K864, 'Alphabetical by species code'!A:B, 2, FALSE)</f>
        <v>Bromus madritensis</v>
      </c>
      <c r="M864" s="9" t="str">
        <f>VLOOKUP(L864, 'Alphabetical by species code'!B:C, 2, FALSE)</f>
        <v>Non-Native</v>
      </c>
    </row>
    <row r="865">
      <c r="A865" s="7">
        <v>10.0</v>
      </c>
      <c r="B865" s="7">
        <v>2025.0</v>
      </c>
      <c r="C865" s="8">
        <v>45777.0</v>
      </c>
      <c r="D865" s="7" t="s">
        <v>77</v>
      </c>
      <c r="E865" s="7" t="s">
        <v>75</v>
      </c>
      <c r="F865" s="7">
        <v>1.0</v>
      </c>
      <c r="G865" s="7" t="s">
        <v>46</v>
      </c>
      <c r="H865" s="7">
        <v>1.0</v>
      </c>
      <c r="I865" s="7">
        <v>2.0</v>
      </c>
      <c r="J865" s="7">
        <v>0.5</v>
      </c>
      <c r="K865" s="7" t="s">
        <v>29</v>
      </c>
      <c r="L865" s="9" t="str">
        <f>VLOOKUP(K865, 'Alphabetical by species code'!A:B, 2, FALSE)</f>
        <v>Opuntia littoralis</v>
      </c>
      <c r="M865" s="9" t="str">
        <f>VLOOKUP(L865, 'Alphabetical by species code'!B:C, 2, FALSE)</f>
        <v>Native</v>
      </c>
    </row>
    <row r="866">
      <c r="A866" s="7">
        <v>10.0</v>
      </c>
      <c r="B866" s="7">
        <v>2025.0</v>
      </c>
      <c r="C866" s="8">
        <v>45777.0</v>
      </c>
      <c r="D866" s="7" t="s">
        <v>77</v>
      </c>
      <c r="E866" s="7" t="s">
        <v>75</v>
      </c>
      <c r="F866" s="7">
        <v>1.0</v>
      </c>
      <c r="G866" s="7" t="s">
        <v>46</v>
      </c>
      <c r="H866" s="7">
        <v>1.0</v>
      </c>
      <c r="I866" s="7">
        <v>2.0</v>
      </c>
      <c r="J866" s="7">
        <v>0.5</v>
      </c>
      <c r="K866" s="7" t="s">
        <v>35</v>
      </c>
      <c r="L866" s="9" t="str">
        <f>VLOOKUP(K866, 'Alphabetical by species code'!A:B, 2, FALSE)</f>
        <v>Deinandra fasciculata</v>
      </c>
      <c r="M866" s="9" t="str">
        <f>VLOOKUP(L866, 'Alphabetical by species code'!B:C, 2, FALSE)</f>
        <v>Native</v>
      </c>
    </row>
    <row r="867">
      <c r="A867" s="7">
        <v>10.0</v>
      </c>
      <c r="B867" s="7">
        <v>2025.0</v>
      </c>
      <c r="C867" s="8">
        <v>45777.0</v>
      </c>
      <c r="D867" s="7" t="s">
        <v>77</v>
      </c>
      <c r="E867" s="7" t="s">
        <v>75</v>
      </c>
      <c r="F867" s="7">
        <v>1.0</v>
      </c>
      <c r="G867" s="7" t="s">
        <v>46</v>
      </c>
      <c r="H867" s="7">
        <v>1.0</v>
      </c>
      <c r="I867" s="7">
        <v>2.0</v>
      </c>
      <c r="J867" s="7">
        <v>0.5</v>
      </c>
      <c r="K867" s="7" t="s">
        <v>49</v>
      </c>
      <c r="L867" s="9" t="str">
        <f>VLOOKUP(K867, 'Alphabetical by species code'!A:B, 2, FALSE)</f>
        <v>Anagallis arvensis</v>
      </c>
      <c r="M867" s="9" t="str">
        <f>VLOOKUP(L867, 'Alphabetical by species code'!B:C, 2, FALSE)</f>
        <v>Non-Native</v>
      </c>
    </row>
    <row r="868">
      <c r="A868" s="7">
        <v>10.0</v>
      </c>
      <c r="B868" s="7">
        <v>2025.0</v>
      </c>
      <c r="C868" s="8">
        <v>45777.0</v>
      </c>
      <c r="D868" s="7" t="s">
        <v>77</v>
      </c>
      <c r="E868" s="7" t="s">
        <v>75</v>
      </c>
      <c r="F868" s="7">
        <v>1.0</v>
      </c>
      <c r="G868" s="7" t="s">
        <v>46</v>
      </c>
      <c r="H868" s="7">
        <v>1.0</v>
      </c>
      <c r="I868" s="7">
        <v>3.0</v>
      </c>
      <c r="J868" s="7">
        <v>1.0</v>
      </c>
      <c r="K868" s="7" t="s">
        <v>28</v>
      </c>
      <c r="L868" s="9" t="str">
        <f>VLOOKUP(K868, 'Alphabetical by species code'!A:B, 2, FALSE)</f>
        <v>Litter</v>
      </c>
      <c r="M868" s="9" t="str">
        <f>VLOOKUP(L868, 'Alphabetical by species code'!B:C, 2, FALSE)</f>
        <v>Ground Cover</v>
      </c>
    </row>
    <row r="869">
      <c r="A869" s="7">
        <v>10.0</v>
      </c>
      <c r="B869" s="7">
        <v>2025.0</v>
      </c>
      <c r="C869" s="8">
        <v>45777.0</v>
      </c>
      <c r="D869" s="7" t="s">
        <v>77</v>
      </c>
      <c r="E869" s="7" t="s">
        <v>75</v>
      </c>
      <c r="F869" s="7">
        <v>1.0</v>
      </c>
      <c r="G869" s="7" t="s">
        <v>46</v>
      </c>
      <c r="H869" s="7">
        <v>1.0</v>
      </c>
      <c r="I869" s="7">
        <v>3.0</v>
      </c>
      <c r="J869" s="7">
        <v>1.0</v>
      </c>
      <c r="K869" s="7" t="s">
        <v>36</v>
      </c>
      <c r="L869" s="9" t="str">
        <f>VLOOKUP(K869, 'Alphabetical by species code'!A:B, 2, FALSE)</f>
        <v>Bromus madritensis</v>
      </c>
      <c r="M869" s="9" t="str">
        <f>VLOOKUP(L869, 'Alphabetical by species code'!B:C, 2, FALSE)</f>
        <v>Non-Native</v>
      </c>
    </row>
    <row r="870">
      <c r="A870" s="7">
        <v>10.0</v>
      </c>
      <c r="B870" s="7">
        <v>2025.0</v>
      </c>
      <c r="C870" s="8">
        <v>45777.0</v>
      </c>
      <c r="D870" s="7" t="s">
        <v>77</v>
      </c>
      <c r="E870" s="7" t="s">
        <v>75</v>
      </c>
      <c r="F870" s="7">
        <v>1.0</v>
      </c>
      <c r="G870" s="7" t="s">
        <v>46</v>
      </c>
      <c r="H870" s="7">
        <v>1.0</v>
      </c>
      <c r="I870" s="7">
        <v>3.0</v>
      </c>
      <c r="J870" s="7">
        <v>1.0</v>
      </c>
      <c r="K870" s="7" t="s">
        <v>35</v>
      </c>
      <c r="L870" s="9" t="str">
        <f>VLOOKUP(K870, 'Alphabetical by species code'!A:B, 2, FALSE)</f>
        <v>Deinandra fasciculata</v>
      </c>
      <c r="M870" s="9" t="str">
        <f>VLOOKUP(L870, 'Alphabetical by species code'!B:C, 2, FALSE)</f>
        <v>Native</v>
      </c>
    </row>
    <row r="871">
      <c r="A871" s="7">
        <v>10.0</v>
      </c>
      <c r="B871" s="7">
        <v>2025.0</v>
      </c>
      <c r="C871" s="8">
        <v>45777.0</v>
      </c>
      <c r="D871" s="7" t="s">
        <v>77</v>
      </c>
      <c r="E871" s="7" t="s">
        <v>75</v>
      </c>
      <c r="F871" s="7">
        <v>1.0</v>
      </c>
      <c r="G871" s="7" t="s">
        <v>46</v>
      </c>
      <c r="H871" s="7">
        <v>1.0</v>
      </c>
      <c r="I871" s="7">
        <v>4.0</v>
      </c>
      <c r="J871" s="7">
        <v>1.5</v>
      </c>
      <c r="K871" s="7" t="s">
        <v>41</v>
      </c>
      <c r="L871" s="9" t="str">
        <f>VLOOKUP(K871, 'Alphabetical by species code'!A:B, 2, FALSE)</f>
        <v>Stem</v>
      </c>
      <c r="M871" s="9" t="str">
        <f>VLOOKUP(L871, 'Alphabetical by species code'!B:C, 2, FALSE)</f>
        <v>Ground Cover</v>
      </c>
    </row>
    <row r="872">
      <c r="A872" s="7">
        <v>10.0</v>
      </c>
      <c r="B872" s="7">
        <v>2025.0</v>
      </c>
      <c r="C872" s="8">
        <v>45777.0</v>
      </c>
      <c r="D872" s="7" t="s">
        <v>77</v>
      </c>
      <c r="E872" s="7" t="s">
        <v>75</v>
      </c>
      <c r="F872" s="7">
        <v>1.0</v>
      </c>
      <c r="G872" s="7" t="s">
        <v>46</v>
      </c>
      <c r="H872" s="7">
        <v>1.0</v>
      </c>
      <c r="I872" s="7">
        <v>4.0</v>
      </c>
      <c r="J872" s="7">
        <v>1.5</v>
      </c>
      <c r="K872" s="7" t="s">
        <v>29</v>
      </c>
      <c r="L872" s="9" t="str">
        <f>VLOOKUP(K872, 'Alphabetical by species code'!A:B, 2, FALSE)</f>
        <v>Opuntia littoralis</v>
      </c>
      <c r="M872" s="9" t="str">
        <f>VLOOKUP(L872, 'Alphabetical by species code'!B:C, 2, FALSE)</f>
        <v>Native</v>
      </c>
    </row>
    <row r="873">
      <c r="A873" s="7">
        <v>10.0</v>
      </c>
      <c r="B873" s="7">
        <v>2025.0</v>
      </c>
      <c r="C873" s="8">
        <v>45777.0</v>
      </c>
      <c r="D873" s="7" t="s">
        <v>77</v>
      </c>
      <c r="E873" s="7" t="s">
        <v>75</v>
      </c>
      <c r="F873" s="7">
        <v>1.0</v>
      </c>
      <c r="G873" s="7" t="s">
        <v>46</v>
      </c>
      <c r="H873" s="7">
        <v>1.0</v>
      </c>
      <c r="I873" s="7">
        <v>4.0</v>
      </c>
      <c r="J873" s="7">
        <v>1.5</v>
      </c>
      <c r="K873" s="7" t="s">
        <v>43</v>
      </c>
      <c r="L873" s="9" t="str">
        <f>VLOOKUP(K873, 'Alphabetical by species code'!A:B, 2, FALSE)</f>
        <v>Uropappus lindleyi</v>
      </c>
      <c r="M873" s="9" t="str">
        <f>VLOOKUP(L873, 'Alphabetical by species code'!B:C, 2, FALSE)</f>
        <v>Native</v>
      </c>
    </row>
    <row r="874">
      <c r="A874" s="7">
        <v>10.0</v>
      </c>
      <c r="B874" s="7">
        <v>2025.0</v>
      </c>
      <c r="C874" s="8">
        <v>45777.0</v>
      </c>
      <c r="D874" s="7" t="s">
        <v>77</v>
      </c>
      <c r="E874" s="7" t="s">
        <v>75</v>
      </c>
      <c r="F874" s="7">
        <v>1.0</v>
      </c>
      <c r="G874" s="7" t="s">
        <v>46</v>
      </c>
      <c r="H874" s="7">
        <v>1.0</v>
      </c>
      <c r="I874" s="7">
        <v>5.0</v>
      </c>
      <c r="J874" s="7">
        <v>2.0</v>
      </c>
      <c r="K874" s="7" t="s">
        <v>28</v>
      </c>
      <c r="L874" s="9" t="str">
        <f>VLOOKUP(K874, 'Alphabetical by species code'!A:B, 2, FALSE)</f>
        <v>Litter</v>
      </c>
      <c r="M874" s="9" t="str">
        <f>VLOOKUP(L874, 'Alphabetical by species code'!B:C, 2, FALSE)</f>
        <v>Ground Cover</v>
      </c>
    </row>
    <row r="875">
      <c r="A875" s="7">
        <v>10.0</v>
      </c>
      <c r="B875" s="7">
        <v>2025.0</v>
      </c>
      <c r="C875" s="8">
        <v>45777.0</v>
      </c>
      <c r="D875" s="7" t="s">
        <v>77</v>
      </c>
      <c r="E875" s="7" t="s">
        <v>75</v>
      </c>
      <c r="F875" s="7">
        <v>1.0</v>
      </c>
      <c r="G875" s="7" t="s">
        <v>46</v>
      </c>
      <c r="H875" s="7">
        <v>1.0</v>
      </c>
      <c r="I875" s="7">
        <v>5.0</v>
      </c>
      <c r="J875" s="7">
        <v>2.0</v>
      </c>
      <c r="K875" s="7" t="s">
        <v>30</v>
      </c>
      <c r="L875" s="9" t="str">
        <f>VLOOKUP(K875, 'Alphabetical by species code'!A:B, 2, FALSE)</f>
        <v>Erodium moschatum</v>
      </c>
      <c r="M875" s="9" t="str">
        <f>VLOOKUP(L875, 'Alphabetical by species code'!B:C, 2, FALSE)</f>
        <v>Non-Native</v>
      </c>
    </row>
    <row r="876">
      <c r="A876" s="7">
        <v>10.0</v>
      </c>
      <c r="B876" s="7">
        <v>2025.0</v>
      </c>
      <c r="C876" s="8">
        <v>45777.0</v>
      </c>
      <c r="D876" s="7" t="s">
        <v>77</v>
      </c>
      <c r="E876" s="7" t="s">
        <v>75</v>
      </c>
      <c r="F876" s="7">
        <v>1.0</v>
      </c>
      <c r="G876" s="7" t="s">
        <v>46</v>
      </c>
      <c r="H876" s="7">
        <v>1.0</v>
      </c>
      <c r="I876" s="7">
        <v>5.0</v>
      </c>
      <c r="J876" s="7">
        <v>2.0</v>
      </c>
      <c r="K876" s="7" t="s">
        <v>42</v>
      </c>
      <c r="L876" s="9" t="str">
        <f>VLOOKUP(K876, 'Alphabetical by species code'!A:B, 2, FALSE)</f>
        <v>Centaurea melitensis</v>
      </c>
      <c r="M876" s="9" t="str">
        <f>VLOOKUP(L876, 'Alphabetical by species code'!B:C, 2, FALSE)</f>
        <v>Non-Native</v>
      </c>
    </row>
    <row r="877">
      <c r="A877" s="7">
        <v>10.0</v>
      </c>
      <c r="B877" s="7">
        <v>2025.0</v>
      </c>
      <c r="C877" s="8">
        <v>45777.0</v>
      </c>
      <c r="D877" s="7" t="s">
        <v>77</v>
      </c>
      <c r="E877" s="7" t="s">
        <v>75</v>
      </c>
      <c r="F877" s="7">
        <v>1.0</v>
      </c>
      <c r="G877" s="7" t="s">
        <v>46</v>
      </c>
      <c r="H877" s="7">
        <v>1.0</v>
      </c>
      <c r="I877" s="7">
        <v>6.0</v>
      </c>
      <c r="J877" s="7">
        <v>2.5</v>
      </c>
      <c r="K877" s="7" t="s">
        <v>51</v>
      </c>
      <c r="L877" s="9" t="str">
        <f>VLOOKUP(K877, 'Alphabetical by species code'!A:B, 2, FALSE)</f>
        <v>Bareground</v>
      </c>
      <c r="M877" s="9" t="str">
        <f>VLOOKUP(L877, 'Alphabetical by species code'!B:C, 2, FALSE)</f>
        <v>Ground Cover</v>
      </c>
    </row>
    <row r="878">
      <c r="A878" s="7">
        <v>10.0</v>
      </c>
      <c r="B878" s="7">
        <v>2025.0</v>
      </c>
      <c r="C878" s="8">
        <v>45777.0</v>
      </c>
      <c r="D878" s="7" t="s">
        <v>77</v>
      </c>
      <c r="E878" s="7" t="s">
        <v>75</v>
      </c>
      <c r="F878" s="7">
        <v>1.0</v>
      </c>
      <c r="G878" s="7" t="s">
        <v>46</v>
      </c>
      <c r="H878" s="7">
        <v>1.0</v>
      </c>
      <c r="I878" s="7">
        <v>6.0</v>
      </c>
      <c r="J878" s="7">
        <v>2.5</v>
      </c>
      <c r="K878" s="7" t="s">
        <v>29</v>
      </c>
      <c r="L878" s="9" t="str">
        <f>VLOOKUP(K878, 'Alphabetical by species code'!A:B, 2, FALSE)</f>
        <v>Opuntia littoralis</v>
      </c>
      <c r="M878" s="9" t="str">
        <f>VLOOKUP(L878, 'Alphabetical by species code'!B:C, 2, FALSE)</f>
        <v>Native</v>
      </c>
    </row>
    <row r="879">
      <c r="A879" s="7">
        <v>10.0</v>
      </c>
      <c r="B879" s="7">
        <v>2025.0</v>
      </c>
      <c r="C879" s="8">
        <v>45777.0</v>
      </c>
      <c r="D879" s="7" t="s">
        <v>77</v>
      </c>
      <c r="E879" s="7" t="s">
        <v>75</v>
      </c>
      <c r="F879" s="7">
        <v>1.0</v>
      </c>
      <c r="G879" s="7" t="s">
        <v>46</v>
      </c>
      <c r="H879" s="7">
        <v>1.0</v>
      </c>
      <c r="I879" s="7">
        <v>6.0</v>
      </c>
      <c r="J879" s="7">
        <v>2.5</v>
      </c>
      <c r="K879" s="7" t="s">
        <v>48</v>
      </c>
      <c r="L879" s="9" t="str">
        <f>VLOOKUP(K879, 'Alphabetical by species code'!A:B, 2, FALSE)</f>
        <v>Sonchus asper</v>
      </c>
      <c r="M879" s="9" t="str">
        <f>VLOOKUP(L879, 'Alphabetical by species code'!B:C, 2, FALSE)</f>
        <v>Non-Native</v>
      </c>
    </row>
    <row r="880">
      <c r="A880" s="7">
        <v>10.0</v>
      </c>
      <c r="B880" s="7">
        <v>2025.0</v>
      </c>
      <c r="C880" s="8">
        <v>45777.0</v>
      </c>
      <c r="D880" s="7" t="s">
        <v>77</v>
      </c>
      <c r="E880" s="7" t="s">
        <v>75</v>
      </c>
      <c r="F880" s="7">
        <v>1.0</v>
      </c>
      <c r="G880" s="7" t="s">
        <v>46</v>
      </c>
      <c r="H880" s="7">
        <v>1.0</v>
      </c>
      <c r="I880" s="7">
        <v>6.0</v>
      </c>
      <c r="J880" s="7">
        <v>2.5</v>
      </c>
      <c r="K880" s="7" t="s">
        <v>31</v>
      </c>
      <c r="L880" s="9" t="str">
        <f>VLOOKUP(K880, 'Alphabetical by species code'!A:B, 2, FALSE)</f>
        <v>Festuca myuros</v>
      </c>
      <c r="M880" s="9" t="str">
        <f>VLOOKUP(L880, 'Alphabetical by species code'!B:C, 2, FALSE)</f>
        <v>Non-Native</v>
      </c>
    </row>
    <row r="881">
      <c r="A881" s="7">
        <v>10.0</v>
      </c>
      <c r="B881" s="7">
        <v>2025.0</v>
      </c>
      <c r="C881" s="8">
        <v>45777.0</v>
      </c>
      <c r="D881" s="7" t="s">
        <v>77</v>
      </c>
      <c r="E881" s="7" t="s">
        <v>75</v>
      </c>
      <c r="F881" s="7">
        <v>1.0</v>
      </c>
      <c r="G881" s="7" t="s">
        <v>46</v>
      </c>
      <c r="H881" s="7">
        <v>1.0</v>
      </c>
      <c r="I881" s="7">
        <v>7.0</v>
      </c>
      <c r="J881" s="7">
        <v>3.0</v>
      </c>
      <c r="K881" s="7" t="s">
        <v>28</v>
      </c>
      <c r="L881" s="9" t="str">
        <f>VLOOKUP(K881, 'Alphabetical by species code'!A:B, 2, FALSE)</f>
        <v>Litter</v>
      </c>
      <c r="M881" s="9" t="str">
        <f>VLOOKUP(L881, 'Alphabetical by species code'!B:C, 2, FALSE)</f>
        <v>Ground Cover</v>
      </c>
    </row>
    <row r="882">
      <c r="A882" s="7">
        <v>10.0</v>
      </c>
      <c r="B882" s="7">
        <v>2025.0</v>
      </c>
      <c r="C882" s="8">
        <v>45777.0</v>
      </c>
      <c r="D882" s="7" t="s">
        <v>77</v>
      </c>
      <c r="E882" s="7" t="s">
        <v>75</v>
      </c>
      <c r="F882" s="7">
        <v>1.0</v>
      </c>
      <c r="G882" s="7" t="s">
        <v>46</v>
      </c>
      <c r="H882" s="7">
        <v>1.0</v>
      </c>
      <c r="I882" s="7">
        <v>7.0</v>
      </c>
      <c r="J882" s="7">
        <v>3.0</v>
      </c>
      <c r="K882" s="7" t="s">
        <v>48</v>
      </c>
      <c r="L882" s="9" t="str">
        <f>VLOOKUP(K882, 'Alphabetical by species code'!A:B, 2, FALSE)</f>
        <v>Sonchus asper</v>
      </c>
      <c r="M882" s="9" t="str">
        <f>VLOOKUP(L882, 'Alphabetical by species code'!B:C, 2, FALSE)</f>
        <v>Non-Native</v>
      </c>
    </row>
    <row r="883">
      <c r="A883" s="7">
        <v>10.0</v>
      </c>
      <c r="B883" s="7">
        <v>2025.0</v>
      </c>
      <c r="C883" s="8">
        <v>45777.0</v>
      </c>
      <c r="D883" s="7" t="s">
        <v>77</v>
      </c>
      <c r="E883" s="7" t="s">
        <v>75</v>
      </c>
      <c r="F883" s="7">
        <v>1.0</v>
      </c>
      <c r="G883" s="7" t="s">
        <v>46</v>
      </c>
      <c r="H883" s="7">
        <v>1.0</v>
      </c>
      <c r="I883" s="7">
        <v>7.0</v>
      </c>
      <c r="J883" s="7">
        <v>3.0</v>
      </c>
      <c r="K883" s="7" t="s">
        <v>35</v>
      </c>
      <c r="L883" s="9" t="str">
        <f>VLOOKUP(K883, 'Alphabetical by species code'!A:B, 2, FALSE)</f>
        <v>Deinandra fasciculata</v>
      </c>
      <c r="M883" s="9" t="str">
        <f>VLOOKUP(L883, 'Alphabetical by species code'!B:C, 2, FALSE)</f>
        <v>Native</v>
      </c>
    </row>
    <row r="884">
      <c r="A884" s="7">
        <v>10.0</v>
      </c>
      <c r="B884" s="7">
        <v>2025.0</v>
      </c>
      <c r="C884" s="8">
        <v>45777.0</v>
      </c>
      <c r="D884" s="7" t="s">
        <v>77</v>
      </c>
      <c r="E884" s="7" t="s">
        <v>75</v>
      </c>
      <c r="F884" s="7">
        <v>1.0</v>
      </c>
      <c r="G884" s="7" t="s">
        <v>46</v>
      </c>
      <c r="H884" s="7">
        <v>1.0</v>
      </c>
      <c r="I884" s="7">
        <v>7.0</v>
      </c>
      <c r="J884" s="7">
        <v>3.0</v>
      </c>
      <c r="K884" s="7" t="s">
        <v>29</v>
      </c>
      <c r="L884" s="9" t="str">
        <f>VLOOKUP(K884, 'Alphabetical by species code'!A:B, 2, FALSE)</f>
        <v>Opuntia littoralis</v>
      </c>
      <c r="M884" s="9" t="str">
        <f>VLOOKUP(L884, 'Alphabetical by species code'!B:C, 2, FALSE)</f>
        <v>Native</v>
      </c>
    </row>
    <row r="885">
      <c r="A885" s="7">
        <v>10.0</v>
      </c>
      <c r="B885" s="7">
        <v>2025.0</v>
      </c>
      <c r="C885" s="8">
        <v>45777.0</v>
      </c>
      <c r="D885" s="7" t="s">
        <v>77</v>
      </c>
      <c r="E885" s="7" t="s">
        <v>75</v>
      </c>
      <c r="F885" s="7">
        <v>1.0</v>
      </c>
      <c r="G885" s="7" t="s">
        <v>46</v>
      </c>
      <c r="H885" s="7">
        <v>1.0</v>
      </c>
      <c r="I885" s="7">
        <v>8.0</v>
      </c>
      <c r="J885" s="7">
        <v>3.5</v>
      </c>
      <c r="K885" s="7" t="s">
        <v>28</v>
      </c>
      <c r="L885" s="9" t="str">
        <f>VLOOKUP(K885, 'Alphabetical by species code'!A:B, 2, FALSE)</f>
        <v>Litter</v>
      </c>
      <c r="M885" s="9" t="str">
        <f>VLOOKUP(L885, 'Alphabetical by species code'!B:C, 2, FALSE)</f>
        <v>Ground Cover</v>
      </c>
    </row>
    <row r="886">
      <c r="A886" s="7">
        <v>10.0</v>
      </c>
      <c r="B886" s="7">
        <v>2025.0</v>
      </c>
      <c r="C886" s="8">
        <v>45777.0</v>
      </c>
      <c r="D886" s="7" t="s">
        <v>77</v>
      </c>
      <c r="E886" s="7" t="s">
        <v>75</v>
      </c>
      <c r="F886" s="7">
        <v>1.0</v>
      </c>
      <c r="G886" s="7" t="s">
        <v>46</v>
      </c>
      <c r="H886" s="7">
        <v>1.0</v>
      </c>
      <c r="I886" s="7">
        <v>8.0</v>
      </c>
      <c r="J886" s="7">
        <v>3.5</v>
      </c>
      <c r="K886" s="7" t="s">
        <v>35</v>
      </c>
      <c r="L886" s="9" t="str">
        <f>VLOOKUP(K886, 'Alphabetical by species code'!A:B, 2, FALSE)</f>
        <v>Deinandra fasciculata</v>
      </c>
      <c r="M886" s="9" t="str">
        <f>VLOOKUP(L886, 'Alphabetical by species code'!B:C, 2, FALSE)</f>
        <v>Native</v>
      </c>
    </row>
    <row r="887">
      <c r="A887" s="7">
        <v>10.0</v>
      </c>
      <c r="B887" s="7">
        <v>2025.0</v>
      </c>
      <c r="C887" s="8">
        <v>45777.0</v>
      </c>
      <c r="D887" s="7" t="s">
        <v>77</v>
      </c>
      <c r="E887" s="7" t="s">
        <v>75</v>
      </c>
      <c r="F887" s="7">
        <v>1.0</v>
      </c>
      <c r="G887" s="7" t="s">
        <v>46</v>
      </c>
      <c r="H887" s="7">
        <v>1.0</v>
      </c>
      <c r="I887" s="7">
        <v>9.0</v>
      </c>
      <c r="J887" s="7">
        <v>4.0</v>
      </c>
      <c r="K887" s="7" t="s">
        <v>38</v>
      </c>
      <c r="L887" s="9" t="str">
        <f>VLOOKUP(K887, 'Alphabetical by species code'!A:B, 2, FALSE)</f>
        <v>Thatch</v>
      </c>
      <c r="M887" s="9" t="str">
        <f>VLOOKUP(L887, 'Alphabetical by species code'!B:C, 2, FALSE)</f>
        <v>Ground Cover</v>
      </c>
    </row>
    <row r="888">
      <c r="A888" s="7">
        <v>10.0</v>
      </c>
      <c r="B888" s="7">
        <v>2025.0</v>
      </c>
      <c r="C888" s="8">
        <v>45777.0</v>
      </c>
      <c r="D888" s="7" t="s">
        <v>77</v>
      </c>
      <c r="E888" s="7" t="s">
        <v>75</v>
      </c>
      <c r="F888" s="7">
        <v>1.0</v>
      </c>
      <c r="G888" s="7" t="s">
        <v>46</v>
      </c>
      <c r="H888" s="7">
        <v>1.0</v>
      </c>
      <c r="I888" s="7">
        <v>9.0</v>
      </c>
      <c r="J888" s="7">
        <v>4.0</v>
      </c>
      <c r="K888" s="7" t="s">
        <v>31</v>
      </c>
      <c r="L888" s="9" t="str">
        <f>VLOOKUP(K888, 'Alphabetical by species code'!A:B, 2, FALSE)</f>
        <v>Festuca myuros</v>
      </c>
      <c r="M888" s="9" t="str">
        <f>VLOOKUP(L888, 'Alphabetical by species code'!B:C, 2, FALSE)</f>
        <v>Non-Native</v>
      </c>
    </row>
    <row r="889">
      <c r="A889" s="7">
        <v>10.0</v>
      </c>
      <c r="B889" s="7">
        <v>2025.0</v>
      </c>
      <c r="C889" s="8">
        <v>45777.0</v>
      </c>
      <c r="D889" s="7" t="s">
        <v>77</v>
      </c>
      <c r="E889" s="7" t="s">
        <v>75</v>
      </c>
      <c r="F889" s="7">
        <v>1.0</v>
      </c>
      <c r="G889" s="7" t="s">
        <v>46</v>
      </c>
      <c r="H889" s="7">
        <v>1.0</v>
      </c>
      <c r="I889" s="7">
        <v>9.0</v>
      </c>
      <c r="J889" s="7">
        <v>4.0</v>
      </c>
      <c r="K889" s="7" t="s">
        <v>36</v>
      </c>
      <c r="L889" s="9" t="str">
        <f>VLOOKUP(K889, 'Alphabetical by species code'!A:B, 2, FALSE)</f>
        <v>Bromus madritensis</v>
      </c>
      <c r="M889" s="9" t="str">
        <f>VLOOKUP(L889, 'Alphabetical by species code'!B:C, 2, FALSE)</f>
        <v>Non-Native</v>
      </c>
    </row>
    <row r="890">
      <c r="A890" s="7">
        <v>10.0</v>
      </c>
      <c r="B890" s="7">
        <v>2025.0</v>
      </c>
      <c r="C890" s="8">
        <v>45777.0</v>
      </c>
      <c r="D890" s="7" t="s">
        <v>77</v>
      </c>
      <c r="E890" s="7" t="s">
        <v>75</v>
      </c>
      <c r="F890" s="7">
        <v>1.0</v>
      </c>
      <c r="G890" s="7" t="s">
        <v>46</v>
      </c>
      <c r="H890" s="7">
        <v>1.0</v>
      </c>
      <c r="I890" s="7">
        <v>10.0</v>
      </c>
      <c r="J890" s="7">
        <v>4.5</v>
      </c>
      <c r="K890" s="7" t="s">
        <v>38</v>
      </c>
      <c r="L890" s="9" t="str">
        <f>VLOOKUP(K890, 'Alphabetical by species code'!A:B, 2, FALSE)</f>
        <v>Thatch</v>
      </c>
      <c r="M890" s="9" t="str">
        <f>VLOOKUP(L890, 'Alphabetical by species code'!B:C, 2, FALSE)</f>
        <v>Ground Cover</v>
      </c>
    </row>
    <row r="891">
      <c r="A891" s="7">
        <v>10.0</v>
      </c>
      <c r="B891" s="7">
        <v>2025.0</v>
      </c>
      <c r="C891" s="8">
        <v>45777.0</v>
      </c>
      <c r="D891" s="7" t="s">
        <v>77</v>
      </c>
      <c r="E891" s="7" t="s">
        <v>75</v>
      </c>
      <c r="F891" s="7">
        <v>1.0</v>
      </c>
      <c r="G891" s="7" t="s">
        <v>46</v>
      </c>
      <c r="H891" s="7">
        <v>1.0</v>
      </c>
      <c r="I891" s="7">
        <v>10.0</v>
      </c>
      <c r="J891" s="7">
        <v>4.5</v>
      </c>
      <c r="K891" s="7" t="s">
        <v>76</v>
      </c>
      <c r="L891" s="9" t="str">
        <f>VLOOKUP(K891, 'Alphabetical by species code'!A:B, 2, FALSE)</f>
        <v>Avena fatua</v>
      </c>
      <c r="M891" s="9" t="str">
        <f>VLOOKUP(L891, 'Alphabetical by species code'!B:C, 2, FALSE)</f>
        <v>Non-Native</v>
      </c>
    </row>
    <row r="892">
      <c r="A892" s="7">
        <v>10.0</v>
      </c>
      <c r="B892" s="7">
        <v>2025.0</v>
      </c>
      <c r="C892" s="8">
        <v>45777.0</v>
      </c>
      <c r="D892" s="7" t="s">
        <v>77</v>
      </c>
      <c r="E892" s="7" t="s">
        <v>75</v>
      </c>
      <c r="F892" s="7">
        <v>1.0</v>
      </c>
      <c r="G892" s="7" t="s">
        <v>46</v>
      </c>
      <c r="H892" s="7">
        <v>1.0</v>
      </c>
      <c r="I892" s="7">
        <v>10.0</v>
      </c>
      <c r="J892" s="7">
        <v>4.5</v>
      </c>
      <c r="K892" s="7" t="s">
        <v>31</v>
      </c>
      <c r="L892" s="9" t="str">
        <f>VLOOKUP(K892, 'Alphabetical by species code'!A:B, 2, FALSE)</f>
        <v>Festuca myuros</v>
      </c>
      <c r="M892" s="9" t="str">
        <f>VLOOKUP(L892, 'Alphabetical by species code'!B:C, 2, FALSE)</f>
        <v>Non-Native</v>
      </c>
    </row>
    <row r="893">
      <c r="A893" s="7">
        <v>10.0</v>
      </c>
      <c r="B893" s="7">
        <v>2025.0</v>
      </c>
      <c r="C893" s="8">
        <v>45777.0</v>
      </c>
      <c r="D893" s="7" t="s">
        <v>77</v>
      </c>
      <c r="E893" s="7" t="s">
        <v>75</v>
      </c>
      <c r="F893" s="7">
        <v>1.0</v>
      </c>
      <c r="G893" s="7" t="s">
        <v>46</v>
      </c>
      <c r="H893" s="7">
        <v>1.0</v>
      </c>
      <c r="I893" s="7">
        <v>10.0</v>
      </c>
      <c r="J893" s="7">
        <v>4.5</v>
      </c>
      <c r="K893" s="7" t="s">
        <v>29</v>
      </c>
      <c r="L893" s="9" t="str">
        <f>VLOOKUP(K893, 'Alphabetical by species code'!A:B, 2, FALSE)</f>
        <v>Opuntia littoralis</v>
      </c>
      <c r="M893" s="9" t="str">
        <f>VLOOKUP(L893, 'Alphabetical by species code'!B:C, 2, FALSE)</f>
        <v>Native</v>
      </c>
    </row>
    <row r="894">
      <c r="A894" s="7">
        <v>10.0</v>
      </c>
      <c r="B894" s="7">
        <v>2025.0</v>
      </c>
      <c r="C894" s="8">
        <v>45777.0</v>
      </c>
      <c r="D894" s="7" t="s">
        <v>77</v>
      </c>
      <c r="E894" s="7" t="s">
        <v>75</v>
      </c>
      <c r="F894" s="7">
        <v>1.0</v>
      </c>
      <c r="G894" s="7" t="s">
        <v>46</v>
      </c>
      <c r="H894" s="7">
        <v>1.0</v>
      </c>
      <c r="I894" s="7">
        <v>11.0</v>
      </c>
      <c r="J894" s="7">
        <v>5.0</v>
      </c>
      <c r="K894" s="7" t="s">
        <v>28</v>
      </c>
      <c r="L894" s="9" t="str">
        <f>VLOOKUP(K894, 'Alphabetical by species code'!A:B, 2, FALSE)</f>
        <v>Litter</v>
      </c>
      <c r="M894" s="9" t="str">
        <f>VLOOKUP(L894, 'Alphabetical by species code'!B:C, 2, FALSE)</f>
        <v>Ground Cover</v>
      </c>
    </row>
    <row r="895">
      <c r="A895" s="7">
        <v>10.0</v>
      </c>
      <c r="B895" s="7">
        <v>2025.0</v>
      </c>
      <c r="C895" s="8">
        <v>45777.0</v>
      </c>
      <c r="D895" s="7" t="s">
        <v>77</v>
      </c>
      <c r="E895" s="7" t="s">
        <v>75</v>
      </c>
      <c r="F895" s="7">
        <v>1.0</v>
      </c>
      <c r="G895" s="7" t="s">
        <v>46</v>
      </c>
      <c r="H895" s="7">
        <v>1.0</v>
      </c>
      <c r="I895" s="7">
        <v>11.0</v>
      </c>
      <c r="J895" s="7">
        <v>5.0</v>
      </c>
      <c r="K895" s="7" t="s">
        <v>37</v>
      </c>
      <c r="L895" s="9" t="str">
        <f>VLOOKUP(K895, 'Alphabetical by species code'!A:B, 2, FALSE)</f>
        <v>Sonchus oleraceus</v>
      </c>
      <c r="M895" s="9" t="str">
        <f>VLOOKUP(L895, 'Alphabetical by species code'!B:C, 2, FALSE)</f>
        <v>Non-Native</v>
      </c>
    </row>
    <row r="896">
      <c r="A896" s="7">
        <v>10.0</v>
      </c>
      <c r="B896" s="7">
        <v>2025.0</v>
      </c>
      <c r="C896" s="8">
        <v>45777.0</v>
      </c>
      <c r="D896" s="7" t="s">
        <v>77</v>
      </c>
      <c r="E896" s="7" t="s">
        <v>75</v>
      </c>
      <c r="F896" s="7">
        <v>1.0</v>
      </c>
      <c r="G896" s="7" t="s">
        <v>46</v>
      </c>
      <c r="H896" s="7">
        <v>1.0</v>
      </c>
      <c r="I896" s="7">
        <v>12.0</v>
      </c>
      <c r="J896" s="7">
        <v>5.5</v>
      </c>
      <c r="K896" s="7" t="s">
        <v>28</v>
      </c>
      <c r="L896" s="9" t="str">
        <f>VLOOKUP(K896, 'Alphabetical by species code'!A:B, 2, FALSE)</f>
        <v>Litter</v>
      </c>
      <c r="M896" s="9" t="str">
        <f>VLOOKUP(L896, 'Alphabetical by species code'!B:C, 2, FALSE)</f>
        <v>Ground Cover</v>
      </c>
    </row>
    <row r="897">
      <c r="A897" s="7">
        <v>10.0</v>
      </c>
      <c r="B897" s="7">
        <v>2025.0</v>
      </c>
      <c r="C897" s="8">
        <v>45777.0</v>
      </c>
      <c r="D897" s="7" t="s">
        <v>77</v>
      </c>
      <c r="E897" s="7" t="s">
        <v>75</v>
      </c>
      <c r="F897" s="7">
        <v>1.0</v>
      </c>
      <c r="G897" s="7" t="s">
        <v>46</v>
      </c>
      <c r="H897" s="7">
        <v>1.0</v>
      </c>
      <c r="I897" s="7">
        <v>12.0</v>
      </c>
      <c r="J897" s="7">
        <v>5.5</v>
      </c>
      <c r="K897" s="7" t="s">
        <v>48</v>
      </c>
      <c r="L897" s="9" t="str">
        <f>VLOOKUP(K897, 'Alphabetical by species code'!A:B, 2, FALSE)</f>
        <v>Sonchus asper</v>
      </c>
      <c r="M897" s="9" t="str">
        <f>VLOOKUP(L897, 'Alphabetical by species code'!B:C, 2, FALSE)</f>
        <v>Non-Native</v>
      </c>
    </row>
    <row r="898">
      <c r="A898" s="7">
        <v>10.0</v>
      </c>
      <c r="B898" s="7">
        <v>2025.0</v>
      </c>
      <c r="C898" s="8">
        <v>45777.0</v>
      </c>
      <c r="D898" s="7" t="s">
        <v>77</v>
      </c>
      <c r="E898" s="7" t="s">
        <v>75</v>
      </c>
      <c r="F898" s="7">
        <v>1.0</v>
      </c>
      <c r="G898" s="7" t="s">
        <v>46</v>
      </c>
      <c r="H898" s="7">
        <v>1.0</v>
      </c>
      <c r="I898" s="7">
        <v>12.0</v>
      </c>
      <c r="J898" s="7">
        <v>5.5</v>
      </c>
      <c r="K898" s="7" t="s">
        <v>31</v>
      </c>
      <c r="L898" s="9" t="str">
        <f>VLOOKUP(K898, 'Alphabetical by species code'!A:B, 2, FALSE)</f>
        <v>Festuca myuros</v>
      </c>
      <c r="M898" s="9" t="str">
        <f>VLOOKUP(L898, 'Alphabetical by species code'!B:C, 2, FALSE)</f>
        <v>Non-Native</v>
      </c>
    </row>
    <row r="899">
      <c r="A899" s="7">
        <v>10.0</v>
      </c>
      <c r="B899" s="7">
        <v>2025.0</v>
      </c>
      <c r="C899" s="8">
        <v>45777.0</v>
      </c>
      <c r="D899" s="7" t="s">
        <v>77</v>
      </c>
      <c r="E899" s="7" t="s">
        <v>75</v>
      </c>
      <c r="F899" s="7">
        <v>1.0</v>
      </c>
      <c r="G899" s="7" t="s">
        <v>46</v>
      </c>
      <c r="H899" s="7">
        <v>1.0</v>
      </c>
      <c r="I899" s="7">
        <v>13.0</v>
      </c>
      <c r="J899" s="7">
        <v>6.5</v>
      </c>
      <c r="K899" s="7" t="s">
        <v>41</v>
      </c>
      <c r="L899" s="9" t="str">
        <f>VLOOKUP(K899, 'Alphabetical by species code'!A:B, 2, FALSE)</f>
        <v>Stem</v>
      </c>
      <c r="M899" s="9" t="str">
        <f>VLOOKUP(L899, 'Alphabetical by species code'!B:C, 2, FALSE)</f>
        <v>Ground Cover</v>
      </c>
    </row>
    <row r="900">
      <c r="A900" s="7">
        <v>10.0</v>
      </c>
      <c r="B900" s="7">
        <v>2025.0</v>
      </c>
      <c r="C900" s="8">
        <v>45777.0</v>
      </c>
      <c r="D900" s="7" t="s">
        <v>77</v>
      </c>
      <c r="E900" s="7" t="s">
        <v>75</v>
      </c>
      <c r="F900" s="7">
        <v>1.0</v>
      </c>
      <c r="G900" s="7" t="s">
        <v>46</v>
      </c>
      <c r="H900" s="7">
        <v>1.0</v>
      </c>
      <c r="I900" s="7">
        <v>13.0</v>
      </c>
      <c r="J900" s="7">
        <v>6.5</v>
      </c>
      <c r="K900" s="7" t="s">
        <v>29</v>
      </c>
      <c r="L900" s="9" t="str">
        <f>VLOOKUP(K900, 'Alphabetical by species code'!A:B, 2, FALSE)</f>
        <v>Opuntia littoralis</v>
      </c>
      <c r="M900" s="9" t="str">
        <f>VLOOKUP(L900, 'Alphabetical by species code'!B:C, 2, FALSE)</f>
        <v>Native</v>
      </c>
    </row>
    <row r="901">
      <c r="A901" s="7">
        <v>10.0</v>
      </c>
      <c r="B901" s="7">
        <v>2025.0</v>
      </c>
      <c r="C901" s="8">
        <v>45777.0</v>
      </c>
      <c r="D901" s="7" t="s">
        <v>77</v>
      </c>
      <c r="E901" s="7" t="s">
        <v>75</v>
      </c>
      <c r="F901" s="7">
        <v>1.0</v>
      </c>
      <c r="G901" s="7" t="s">
        <v>46</v>
      </c>
      <c r="H901" s="7">
        <v>1.0</v>
      </c>
      <c r="I901" s="7">
        <v>14.0</v>
      </c>
      <c r="J901" s="7">
        <v>7.0</v>
      </c>
      <c r="K901" s="7" t="s">
        <v>52</v>
      </c>
      <c r="L901" s="9" t="str">
        <f>VLOOKUP(K901, 'Alphabetical by species code'!A:B, 2, FALSE)</f>
        <v>Rock</v>
      </c>
      <c r="M901" s="9" t="str">
        <f>VLOOKUP(L901, 'Alphabetical by species code'!B:C, 2, FALSE)</f>
        <v>Ground Cover</v>
      </c>
    </row>
    <row r="902">
      <c r="A902" s="7">
        <v>10.0</v>
      </c>
      <c r="B902" s="7">
        <v>2025.0</v>
      </c>
      <c r="C902" s="8">
        <v>45777.0</v>
      </c>
      <c r="D902" s="7" t="s">
        <v>77</v>
      </c>
      <c r="E902" s="7" t="s">
        <v>75</v>
      </c>
      <c r="F902" s="7">
        <v>1.0</v>
      </c>
      <c r="G902" s="7" t="s">
        <v>46</v>
      </c>
      <c r="H902" s="7">
        <v>1.0</v>
      </c>
      <c r="I902" s="7">
        <v>14.0</v>
      </c>
      <c r="J902" s="7">
        <v>7.0</v>
      </c>
      <c r="K902" s="7" t="s">
        <v>78</v>
      </c>
      <c r="L902" s="9" t="str">
        <f>VLOOKUP(K902, 'Alphabetical by species code'!A:B, 2, FALSE)</f>
        <v>#N/A</v>
      </c>
      <c r="M902" s="9" t="str">
        <f>VLOOKUP(L902, 'Alphabetical by species code'!B:C, 2, FALSE)</f>
        <v>#N/A</v>
      </c>
    </row>
    <row r="903">
      <c r="A903" s="7">
        <v>10.0</v>
      </c>
      <c r="B903" s="7">
        <v>2025.0</v>
      </c>
      <c r="C903" s="8">
        <v>45777.0</v>
      </c>
      <c r="D903" s="7" t="s">
        <v>77</v>
      </c>
      <c r="E903" s="7" t="s">
        <v>75</v>
      </c>
      <c r="F903" s="7">
        <v>1.0</v>
      </c>
      <c r="G903" s="7" t="s">
        <v>46</v>
      </c>
      <c r="H903" s="7">
        <v>1.0</v>
      </c>
      <c r="I903" s="7">
        <v>15.0</v>
      </c>
      <c r="J903" s="7">
        <v>7.5</v>
      </c>
      <c r="K903" s="7" t="s">
        <v>28</v>
      </c>
      <c r="L903" s="9" t="str">
        <f>VLOOKUP(K903, 'Alphabetical by species code'!A:B, 2, FALSE)</f>
        <v>Litter</v>
      </c>
      <c r="M903" s="9" t="str">
        <f>VLOOKUP(L903, 'Alphabetical by species code'!B:C, 2, FALSE)</f>
        <v>Ground Cover</v>
      </c>
    </row>
    <row r="904">
      <c r="A904" s="7">
        <v>10.0</v>
      </c>
      <c r="B904" s="7">
        <v>2025.0</v>
      </c>
      <c r="C904" s="8">
        <v>45777.0</v>
      </c>
      <c r="D904" s="7" t="s">
        <v>77</v>
      </c>
      <c r="E904" s="7" t="s">
        <v>75</v>
      </c>
      <c r="F904" s="7">
        <v>1.0</v>
      </c>
      <c r="G904" s="7" t="s">
        <v>46</v>
      </c>
      <c r="H904" s="7">
        <v>1.0</v>
      </c>
      <c r="I904" s="7">
        <v>15.0</v>
      </c>
      <c r="J904" s="7">
        <v>7.5</v>
      </c>
      <c r="K904" s="7" t="s">
        <v>64</v>
      </c>
      <c r="L904" s="9" t="str">
        <f>VLOOKUP(K904, 'Alphabetical by species code'!A:B, 2, FALSE)</f>
        <v>Brassica nigra</v>
      </c>
      <c r="M904" s="9" t="str">
        <f>VLOOKUP(L904, 'Alphabetical by species code'!B:C, 2, FALSE)</f>
        <v>Non-Native</v>
      </c>
    </row>
    <row r="905">
      <c r="A905" s="7">
        <v>10.0</v>
      </c>
      <c r="B905" s="7">
        <v>2025.0</v>
      </c>
      <c r="C905" s="8">
        <v>45777.0</v>
      </c>
      <c r="D905" s="7" t="s">
        <v>77</v>
      </c>
      <c r="E905" s="7" t="s">
        <v>75</v>
      </c>
      <c r="F905" s="7">
        <v>1.0</v>
      </c>
      <c r="G905" s="7" t="s">
        <v>46</v>
      </c>
      <c r="H905" s="7">
        <v>1.0</v>
      </c>
      <c r="I905" s="7">
        <v>15.0</v>
      </c>
      <c r="J905" s="7">
        <v>7.5</v>
      </c>
      <c r="K905" s="7" t="s">
        <v>42</v>
      </c>
      <c r="L905" s="9" t="str">
        <f>VLOOKUP(K905, 'Alphabetical by species code'!A:B, 2, FALSE)</f>
        <v>Centaurea melitensis</v>
      </c>
      <c r="M905" s="9" t="str">
        <f>VLOOKUP(L905, 'Alphabetical by species code'!B:C, 2, FALSE)</f>
        <v>Non-Native</v>
      </c>
    </row>
    <row r="906">
      <c r="A906" s="7">
        <v>10.0</v>
      </c>
      <c r="B906" s="7">
        <v>2025.0</v>
      </c>
      <c r="C906" s="8">
        <v>45777.0</v>
      </c>
      <c r="D906" s="7" t="s">
        <v>77</v>
      </c>
      <c r="E906" s="7" t="s">
        <v>75</v>
      </c>
      <c r="F906" s="7">
        <v>1.0</v>
      </c>
      <c r="G906" s="7" t="s">
        <v>46</v>
      </c>
      <c r="H906" s="7">
        <v>2.0</v>
      </c>
      <c r="I906" s="7">
        <v>1.0</v>
      </c>
      <c r="J906" s="7">
        <v>0.0</v>
      </c>
      <c r="K906" s="7" t="s">
        <v>52</v>
      </c>
      <c r="L906" s="9" t="str">
        <f>VLOOKUP(K906, 'Alphabetical by species code'!A:B, 2, FALSE)</f>
        <v>Rock</v>
      </c>
      <c r="M906" s="9" t="str">
        <f>VLOOKUP(L906, 'Alphabetical by species code'!B:C, 2, FALSE)</f>
        <v>Ground Cover</v>
      </c>
    </row>
    <row r="907">
      <c r="A907" s="7">
        <v>10.0</v>
      </c>
      <c r="B907" s="7">
        <v>2025.0</v>
      </c>
      <c r="C907" s="8">
        <v>45777.0</v>
      </c>
      <c r="D907" s="7" t="s">
        <v>77</v>
      </c>
      <c r="E907" s="7" t="s">
        <v>75</v>
      </c>
      <c r="F907" s="7">
        <v>1.0</v>
      </c>
      <c r="G907" s="7" t="s">
        <v>46</v>
      </c>
      <c r="H907" s="7">
        <v>2.0</v>
      </c>
      <c r="I907" s="7">
        <v>2.0</v>
      </c>
      <c r="J907" s="7">
        <v>0.5</v>
      </c>
      <c r="K907" s="7" t="s">
        <v>28</v>
      </c>
      <c r="L907" s="9" t="str">
        <f>VLOOKUP(K907, 'Alphabetical by species code'!A:B, 2, FALSE)</f>
        <v>Litter</v>
      </c>
      <c r="M907" s="9" t="str">
        <f>VLOOKUP(L907, 'Alphabetical by species code'!B:C, 2, FALSE)</f>
        <v>Ground Cover</v>
      </c>
    </row>
    <row r="908">
      <c r="A908" s="7">
        <v>10.0</v>
      </c>
      <c r="B908" s="7">
        <v>2025.0</v>
      </c>
      <c r="C908" s="8">
        <v>45777.0</v>
      </c>
      <c r="D908" s="7" t="s">
        <v>77</v>
      </c>
      <c r="E908" s="7" t="s">
        <v>75</v>
      </c>
      <c r="F908" s="7">
        <v>1.0</v>
      </c>
      <c r="G908" s="7" t="s">
        <v>46</v>
      </c>
      <c r="H908" s="7">
        <v>2.0</v>
      </c>
      <c r="I908" s="7">
        <v>2.0</v>
      </c>
      <c r="J908" s="7">
        <v>0.5</v>
      </c>
      <c r="K908" s="7" t="s">
        <v>36</v>
      </c>
      <c r="L908" s="9" t="str">
        <f>VLOOKUP(K908, 'Alphabetical by species code'!A:B, 2, FALSE)</f>
        <v>Bromus madritensis</v>
      </c>
      <c r="M908" s="9" t="str">
        <f>VLOOKUP(L908, 'Alphabetical by species code'!B:C, 2, FALSE)</f>
        <v>Non-Native</v>
      </c>
    </row>
    <row r="909">
      <c r="A909" s="7">
        <v>10.0</v>
      </c>
      <c r="B909" s="7">
        <v>2025.0</v>
      </c>
      <c r="C909" s="8">
        <v>45777.0</v>
      </c>
      <c r="D909" s="7" t="s">
        <v>77</v>
      </c>
      <c r="E909" s="7" t="s">
        <v>75</v>
      </c>
      <c r="F909" s="7">
        <v>1.0</v>
      </c>
      <c r="G909" s="7" t="s">
        <v>46</v>
      </c>
      <c r="H909" s="7">
        <v>2.0</v>
      </c>
      <c r="I909" s="7">
        <v>3.0</v>
      </c>
      <c r="J909" s="7">
        <v>1.0</v>
      </c>
      <c r="K909" s="7" t="s">
        <v>51</v>
      </c>
      <c r="L909" s="9" t="str">
        <f>VLOOKUP(K909, 'Alphabetical by species code'!A:B, 2, FALSE)</f>
        <v>Bareground</v>
      </c>
      <c r="M909" s="9" t="str">
        <f>VLOOKUP(L909, 'Alphabetical by species code'!B:C, 2, FALSE)</f>
        <v>Ground Cover</v>
      </c>
    </row>
    <row r="910">
      <c r="A910" s="7">
        <v>10.0</v>
      </c>
      <c r="B910" s="7">
        <v>2025.0</v>
      </c>
      <c r="C910" s="8">
        <v>45777.0</v>
      </c>
      <c r="D910" s="7" t="s">
        <v>77</v>
      </c>
      <c r="E910" s="7" t="s">
        <v>75</v>
      </c>
      <c r="F910" s="7">
        <v>1.0</v>
      </c>
      <c r="G910" s="7" t="s">
        <v>46</v>
      </c>
      <c r="H910" s="7">
        <v>2.0</v>
      </c>
      <c r="I910" s="7">
        <v>3.0</v>
      </c>
      <c r="J910" s="7">
        <v>1.0</v>
      </c>
      <c r="K910" s="7" t="s">
        <v>79</v>
      </c>
      <c r="L910" s="9" t="str">
        <f>VLOOKUP(K910, 'Alphabetical by species code'!A:B, 2, FALSE)</f>
        <v>Senecio vulgaris</v>
      </c>
      <c r="M910" s="9" t="str">
        <f>VLOOKUP(L910, 'Alphabetical by species code'!B:C, 2, FALSE)</f>
        <v>Non-Native</v>
      </c>
    </row>
    <row r="911">
      <c r="A911" s="7">
        <v>10.0</v>
      </c>
      <c r="B911" s="7">
        <v>2025.0</v>
      </c>
      <c r="C911" s="8">
        <v>45777.0</v>
      </c>
      <c r="D911" s="7" t="s">
        <v>77</v>
      </c>
      <c r="E911" s="7" t="s">
        <v>75</v>
      </c>
      <c r="F911" s="7">
        <v>1.0</v>
      </c>
      <c r="G911" s="7" t="s">
        <v>46</v>
      </c>
      <c r="H911" s="7">
        <v>2.0</v>
      </c>
      <c r="I911" s="7">
        <v>3.0</v>
      </c>
      <c r="J911" s="7">
        <v>1.0</v>
      </c>
      <c r="K911" s="7" t="s">
        <v>80</v>
      </c>
      <c r="L911" s="9" t="str">
        <f>VLOOKUP(K911, 'Alphabetical by species code'!A:B, 2, FALSE)</f>
        <v>Erodium species</v>
      </c>
      <c r="M911" s="9" t="str">
        <f>VLOOKUP(L911, 'Alphabetical by species code'!B:C, 2, FALSE)</f>
        <v>Non-Native</v>
      </c>
    </row>
    <row r="912">
      <c r="A912" s="7">
        <v>10.0</v>
      </c>
      <c r="B912" s="7">
        <v>2025.0</v>
      </c>
      <c r="C912" s="8">
        <v>45777.0</v>
      </c>
      <c r="D912" s="7" t="s">
        <v>77</v>
      </c>
      <c r="E912" s="7" t="s">
        <v>75</v>
      </c>
      <c r="F912" s="7">
        <v>1.0</v>
      </c>
      <c r="G912" s="7" t="s">
        <v>46</v>
      </c>
      <c r="H912" s="7">
        <v>2.0</v>
      </c>
      <c r="I912" s="7">
        <v>4.0</v>
      </c>
      <c r="J912" s="7">
        <v>1.5</v>
      </c>
      <c r="K912" s="7" t="s">
        <v>28</v>
      </c>
      <c r="L912" s="9" t="str">
        <f>VLOOKUP(K912, 'Alphabetical by species code'!A:B, 2, FALSE)</f>
        <v>Litter</v>
      </c>
      <c r="M912" s="9" t="str">
        <f>VLOOKUP(L912, 'Alphabetical by species code'!B:C, 2, FALSE)</f>
        <v>Ground Cover</v>
      </c>
    </row>
    <row r="913">
      <c r="A913" s="7">
        <v>10.0</v>
      </c>
      <c r="B913" s="7">
        <v>2025.0</v>
      </c>
      <c r="C913" s="8">
        <v>45777.0</v>
      </c>
      <c r="D913" s="7" t="s">
        <v>77</v>
      </c>
      <c r="E913" s="7" t="s">
        <v>75</v>
      </c>
      <c r="F913" s="7">
        <v>1.0</v>
      </c>
      <c r="G913" s="7" t="s">
        <v>46</v>
      </c>
      <c r="H913" s="7">
        <v>2.0</v>
      </c>
      <c r="I913" s="7">
        <v>4.0</v>
      </c>
      <c r="J913" s="7">
        <v>1.5</v>
      </c>
      <c r="K913" s="7" t="s">
        <v>35</v>
      </c>
      <c r="L913" s="9" t="str">
        <f>VLOOKUP(K913, 'Alphabetical by species code'!A:B, 2, FALSE)</f>
        <v>Deinandra fasciculata</v>
      </c>
      <c r="M913" s="9" t="str">
        <f>VLOOKUP(L913, 'Alphabetical by species code'!B:C, 2, FALSE)</f>
        <v>Native</v>
      </c>
    </row>
    <row r="914">
      <c r="A914" s="7">
        <v>10.0</v>
      </c>
      <c r="B914" s="7">
        <v>2025.0</v>
      </c>
      <c r="C914" s="8">
        <v>45777.0</v>
      </c>
      <c r="D914" s="7" t="s">
        <v>77</v>
      </c>
      <c r="E914" s="7" t="s">
        <v>75</v>
      </c>
      <c r="F914" s="7">
        <v>1.0</v>
      </c>
      <c r="G914" s="7" t="s">
        <v>46</v>
      </c>
      <c r="H914" s="7">
        <v>2.0</v>
      </c>
      <c r="I914" s="7">
        <v>5.0</v>
      </c>
      <c r="J914" s="7">
        <v>2.5</v>
      </c>
      <c r="K914" s="7" t="s">
        <v>28</v>
      </c>
      <c r="L914" s="9" t="str">
        <f>VLOOKUP(K914, 'Alphabetical by species code'!A:B, 2, FALSE)</f>
        <v>Litter</v>
      </c>
      <c r="M914" s="9" t="str">
        <f>VLOOKUP(L914, 'Alphabetical by species code'!B:C, 2, FALSE)</f>
        <v>Ground Cover</v>
      </c>
    </row>
    <row r="915">
      <c r="A915" s="7">
        <v>10.0</v>
      </c>
      <c r="B915" s="7">
        <v>2025.0</v>
      </c>
      <c r="C915" s="8">
        <v>45777.0</v>
      </c>
      <c r="D915" s="7" t="s">
        <v>77</v>
      </c>
      <c r="E915" s="7" t="s">
        <v>75</v>
      </c>
      <c r="F915" s="7">
        <v>1.0</v>
      </c>
      <c r="G915" s="7" t="s">
        <v>46</v>
      </c>
      <c r="H915" s="7">
        <v>2.0</v>
      </c>
      <c r="I915" s="7">
        <v>6.0</v>
      </c>
      <c r="J915" s="7">
        <v>3.0</v>
      </c>
      <c r="K915" s="7" t="s">
        <v>28</v>
      </c>
      <c r="L915" s="9" t="str">
        <f>VLOOKUP(K915, 'Alphabetical by species code'!A:B, 2, FALSE)</f>
        <v>Litter</v>
      </c>
      <c r="M915" s="9" t="str">
        <f>VLOOKUP(L915, 'Alphabetical by species code'!B:C, 2, FALSE)</f>
        <v>Ground Cover</v>
      </c>
    </row>
    <row r="916">
      <c r="A916" s="7">
        <v>10.0</v>
      </c>
      <c r="B916" s="7">
        <v>2025.0</v>
      </c>
      <c r="C916" s="8">
        <v>45777.0</v>
      </c>
      <c r="D916" s="7" t="s">
        <v>77</v>
      </c>
      <c r="E916" s="7" t="s">
        <v>75</v>
      </c>
      <c r="F916" s="7">
        <v>1.0</v>
      </c>
      <c r="G916" s="7" t="s">
        <v>46</v>
      </c>
      <c r="H916" s="7">
        <v>2.0</v>
      </c>
      <c r="I916" s="7">
        <v>6.0</v>
      </c>
      <c r="J916" s="7">
        <v>3.0</v>
      </c>
      <c r="K916" s="7" t="s">
        <v>35</v>
      </c>
      <c r="L916" s="9" t="str">
        <f>VLOOKUP(K916, 'Alphabetical by species code'!A:B, 2, FALSE)</f>
        <v>Deinandra fasciculata</v>
      </c>
      <c r="M916" s="9" t="str">
        <f>VLOOKUP(L916, 'Alphabetical by species code'!B:C, 2, FALSE)</f>
        <v>Native</v>
      </c>
    </row>
    <row r="917">
      <c r="A917" s="7">
        <v>10.0</v>
      </c>
      <c r="B917" s="7">
        <v>2025.0</v>
      </c>
      <c r="C917" s="8">
        <v>45777.0</v>
      </c>
      <c r="D917" s="7" t="s">
        <v>77</v>
      </c>
      <c r="E917" s="7" t="s">
        <v>75</v>
      </c>
      <c r="F917" s="7">
        <v>1.0</v>
      </c>
      <c r="G917" s="7" t="s">
        <v>46</v>
      </c>
      <c r="H917" s="7">
        <v>2.0</v>
      </c>
      <c r="I917" s="7">
        <v>7.0</v>
      </c>
      <c r="J917" s="7">
        <v>3.5</v>
      </c>
      <c r="K917" s="7" t="s">
        <v>28</v>
      </c>
      <c r="L917" s="9" t="str">
        <f>VLOOKUP(K917, 'Alphabetical by species code'!A:B, 2, FALSE)</f>
        <v>Litter</v>
      </c>
      <c r="M917" s="9" t="str">
        <f>VLOOKUP(L917, 'Alphabetical by species code'!B:C, 2, FALSE)</f>
        <v>Ground Cover</v>
      </c>
    </row>
    <row r="918">
      <c r="A918" s="7">
        <v>10.0</v>
      </c>
      <c r="B918" s="7">
        <v>2025.0</v>
      </c>
      <c r="C918" s="8">
        <v>45777.0</v>
      </c>
      <c r="D918" s="7" t="s">
        <v>77</v>
      </c>
      <c r="E918" s="7" t="s">
        <v>75</v>
      </c>
      <c r="F918" s="7">
        <v>1.0</v>
      </c>
      <c r="G918" s="7" t="s">
        <v>46</v>
      </c>
      <c r="H918" s="7">
        <v>2.0</v>
      </c>
      <c r="I918" s="7">
        <v>8.0</v>
      </c>
      <c r="J918" s="7">
        <v>4.0</v>
      </c>
      <c r="K918" s="7" t="s">
        <v>28</v>
      </c>
      <c r="L918" s="9" t="str">
        <f>VLOOKUP(K918, 'Alphabetical by species code'!A:B, 2, FALSE)</f>
        <v>Litter</v>
      </c>
      <c r="M918" s="9" t="str">
        <f>VLOOKUP(L918, 'Alphabetical by species code'!B:C, 2, FALSE)</f>
        <v>Ground Cover</v>
      </c>
    </row>
    <row r="919">
      <c r="A919" s="7">
        <v>10.0</v>
      </c>
      <c r="B919" s="7">
        <v>2025.0</v>
      </c>
      <c r="C919" s="8">
        <v>45777.0</v>
      </c>
      <c r="D919" s="7" t="s">
        <v>77</v>
      </c>
      <c r="E919" s="7" t="s">
        <v>75</v>
      </c>
      <c r="F919" s="7">
        <v>1.0</v>
      </c>
      <c r="G919" s="7" t="s">
        <v>46</v>
      </c>
      <c r="H919" s="7">
        <v>2.0</v>
      </c>
      <c r="I919" s="7">
        <v>9.0</v>
      </c>
      <c r="J919" s="7">
        <v>4.5</v>
      </c>
      <c r="K919" s="7" t="s">
        <v>51</v>
      </c>
      <c r="L919" s="9" t="str">
        <f>VLOOKUP(K919, 'Alphabetical by species code'!A:B, 2, FALSE)</f>
        <v>Bareground</v>
      </c>
      <c r="M919" s="9" t="str">
        <f>VLOOKUP(L919, 'Alphabetical by species code'!B:C, 2, FALSE)</f>
        <v>Ground Cover</v>
      </c>
    </row>
    <row r="920">
      <c r="A920" s="7">
        <v>10.0</v>
      </c>
      <c r="B920" s="7">
        <v>2025.0</v>
      </c>
      <c r="C920" s="8">
        <v>45777.0</v>
      </c>
      <c r="D920" s="7" t="s">
        <v>77</v>
      </c>
      <c r="E920" s="7" t="s">
        <v>75</v>
      </c>
      <c r="F920" s="7">
        <v>1.0</v>
      </c>
      <c r="G920" s="7" t="s">
        <v>46</v>
      </c>
      <c r="H920" s="7">
        <v>2.0</v>
      </c>
      <c r="I920" s="7">
        <v>10.0</v>
      </c>
      <c r="J920" s="7">
        <v>5.0</v>
      </c>
      <c r="K920" s="7" t="s">
        <v>51</v>
      </c>
      <c r="L920" s="9" t="str">
        <f>VLOOKUP(K920, 'Alphabetical by species code'!A:B, 2, FALSE)</f>
        <v>Bareground</v>
      </c>
      <c r="M920" s="9" t="str">
        <f>VLOOKUP(L920, 'Alphabetical by species code'!B:C, 2, FALSE)</f>
        <v>Ground Cover</v>
      </c>
    </row>
    <row r="921">
      <c r="A921" s="7">
        <v>10.0</v>
      </c>
      <c r="B921" s="7">
        <v>2025.0</v>
      </c>
      <c r="C921" s="8">
        <v>45777.0</v>
      </c>
      <c r="D921" s="7" t="s">
        <v>77</v>
      </c>
      <c r="E921" s="7" t="s">
        <v>75</v>
      </c>
      <c r="F921" s="7">
        <v>1.0</v>
      </c>
      <c r="G921" s="7" t="s">
        <v>46</v>
      </c>
      <c r="H921" s="7">
        <v>2.0</v>
      </c>
      <c r="I921" s="7">
        <v>10.0</v>
      </c>
      <c r="J921" s="7">
        <v>5.0</v>
      </c>
      <c r="K921" s="7" t="s">
        <v>81</v>
      </c>
      <c r="L921" s="9" t="str">
        <f>VLOOKUP(K921, 'Alphabetical by species code'!A:B, 2, FALSE)</f>
        <v>Brachypodium distachyon</v>
      </c>
      <c r="M921" s="9" t="str">
        <f>VLOOKUP(L921, 'Alphabetical by species code'!B:C, 2, FALSE)</f>
        <v>Non-Native</v>
      </c>
    </row>
    <row r="922">
      <c r="A922" s="7">
        <v>10.0</v>
      </c>
      <c r="B922" s="7">
        <v>2025.0</v>
      </c>
      <c r="C922" s="8">
        <v>45777.0</v>
      </c>
      <c r="D922" s="7" t="s">
        <v>77</v>
      </c>
      <c r="E922" s="7" t="s">
        <v>75</v>
      </c>
      <c r="F922" s="7">
        <v>1.0</v>
      </c>
      <c r="G922" s="7" t="s">
        <v>46</v>
      </c>
      <c r="H922" s="7">
        <v>2.0</v>
      </c>
      <c r="I922" s="7">
        <v>10.0</v>
      </c>
      <c r="J922" s="7">
        <v>5.0</v>
      </c>
      <c r="K922" s="7" t="s">
        <v>65</v>
      </c>
      <c r="L922" s="9" t="str">
        <f>VLOOKUP(K922, 'Alphabetical by species code'!A:B, 2, FALSE)</f>
        <v>Cryptantha intermedia</v>
      </c>
      <c r="M922" s="9" t="str">
        <f>VLOOKUP(L922, 'Alphabetical by species code'!B:C, 2, FALSE)</f>
        <v>Native</v>
      </c>
    </row>
    <row r="923">
      <c r="A923" s="7">
        <v>10.0</v>
      </c>
      <c r="B923" s="7">
        <v>2025.0</v>
      </c>
      <c r="C923" s="8">
        <v>45777.0</v>
      </c>
      <c r="D923" s="7" t="s">
        <v>77</v>
      </c>
      <c r="E923" s="7" t="s">
        <v>75</v>
      </c>
      <c r="F923" s="7">
        <v>1.0</v>
      </c>
      <c r="G923" s="7" t="s">
        <v>46</v>
      </c>
      <c r="H923" s="7">
        <v>2.0</v>
      </c>
      <c r="I923" s="7">
        <v>10.0</v>
      </c>
      <c r="J923" s="7">
        <v>5.0</v>
      </c>
      <c r="K923" s="7" t="s">
        <v>82</v>
      </c>
      <c r="L923" s="9" t="str">
        <f>VLOOKUP(K923, 'Alphabetical by species code'!A:B, 2, FALSE)</f>
        <v>Helminthotheca echioides</v>
      </c>
      <c r="M923" s="9" t="str">
        <f>VLOOKUP(L923, 'Alphabetical by species code'!B:C, 2, FALSE)</f>
        <v>Non-Native</v>
      </c>
    </row>
    <row r="924">
      <c r="A924" s="7">
        <v>10.0</v>
      </c>
      <c r="B924" s="7">
        <v>2025.0</v>
      </c>
      <c r="C924" s="8">
        <v>45777.0</v>
      </c>
      <c r="D924" s="7" t="s">
        <v>77</v>
      </c>
      <c r="E924" s="7" t="s">
        <v>75</v>
      </c>
      <c r="F924" s="7">
        <v>1.0</v>
      </c>
      <c r="G924" s="7" t="s">
        <v>46</v>
      </c>
      <c r="H924" s="7">
        <v>2.0</v>
      </c>
      <c r="I924" s="7">
        <v>11.0</v>
      </c>
      <c r="J924" s="7">
        <v>5.5</v>
      </c>
      <c r="K924" s="7" t="s">
        <v>28</v>
      </c>
      <c r="L924" s="9" t="str">
        <f>VLOOKUP(K924, 'Alphabetical by species code'!A:B, 2, FALSE)</f>
        <v>Litter</v>
      </c>
      <c r="M924" s="9" t="str">
        <f>VLOOKUP(L924, 'Alphabetical by species code'!B:C, 2, FALSE)</f>
        <v>Ground Cover</v>
      </c>
    </row>
    <row r="925">
      <c r="A925" s="7">
        <v>10.0</v>
      </c>
      <c r="B925" s="7">
        <v>2025.0</v>
      </c>
      <c r="C925" s="8">
        <v>45777.0</v>
      </c>
      <c r="D925" s="7" t="s">
        <v>77</v>
      </c>
      <c r="E925" s="7" t="s">
        <v>75</v>
      </c>
      <c r="F925" s="7">
        <v>1.0</v>
      </c>
      <c r="G925" s="7" t="s">
        <v>46</v>
      </c>
      <c r="H925" s="7">
        <v>2.0</v>
      </c>
      <c r="I925" s="7">
        <v>11.0</v>
      </c>
      <c r="J925" s="7">
        <v>5.5</v>
      </c>
      <c r="K925" s="7" t="s">
        <v>36</v>
      </c>
      <c r="L925" s="9" t="str">
        <f>VLOOKUP(K925, 'Alphabetical by species code'!A:B, 2, FALSE)</f>
        <v>Bromus madritensis</v>
      </c>
      <c r="M925" s="9" t="str">
        <f>VLOOKUP(L925, 'Alphabetical by species code'!B:C, 2, FALSE)</f>
        <v>Non-Native</v>
      </c>
    </row>
    <row r="926">
      <c r="A926" s="7">
        <v>10.0</v>
      </c>
      <c r="B926" s="7">
        <v>2025.0</v>
      </c>
      <c r="C926" s="8">
        <v>45777.0</v>
      </c>
      <c r="D926" s="7" t="s">
        <v>77</v>
      </c>
      <c r="E926" s="7" t="s">
        <v>75</v>
      </c>
      <c r="F926" s="7">
        <v>1.0</v>
      </c>
      <c r="G926" s="7" t="s">
        <v>46</v>
      </c>
      <c r="H926" s="7">
        <v>2.0</v>
      </c>
      <c r="I926" s="7">
        <v>11.0</v>
      </c>
      <c r="J926" s="7">
        <v>5.5</v>
      </c>
      <c r="K926" s="7" t="s">
        <v>31</v>
      </c>
      <c r="L926" s="9" t="str">
        <f>VLOOKUP(K926, 'Alphabetical by species code'!A:B, 2, FALSE)</f>
        <v>Festuca myuros</v>
      </c>
      <c r="M926" s="9" t="str">
        <f>VLOOKUP(L926, 'Alphabetical by species code'!B:C, 2, FALSE)</f>
        <v>Non-Native</v>
      </c>
    </row>
    <row r="927">
      <c r="A927" s="7">
        <v>10.0</v>
      </c>
      <c r="B927" s="7">
        <v>2025.0</v>
      </c>
      <c r="C927" s="8">
        <v>45777.0</v>
      </c>
      <c r="D927" s="7" t="s">
        <v>77</v>
      </c>
      <c r="E927" s="7" t="s">
        <v>75</v>
      </c>
      <c r="F927" s="7">
        <v>1.0</v>
      </c>
      <c r="G927" s="7" t="s">
        <v>46</v>
      </c>
      <c r="H927" s="7">
        <v>2.0</v>
      </c>
      <c r="I927" s="7">
        <v>11.0</v>
      </c>
      <c r="J927" s="7">
        <v>5.5</v>
      </c>
      <c r="K927" s="7" t="s">
        <v>42</v>
      </c>
      <c r="L927" s="9" t="str">
        <f>VLOOKUP(K927, 'Alphabetical by species code'!A:B, 2, FALSE)</f>
        <v>Centaurea melitensis</v>
      </c>
      <c r="M927" s="9" t="str">
        <f>VLOOKUP(L927, 'Alphabetical by species code'!B:C, 2, FALSE)</f>
        <v>Non-Native</v>
      </c>
    </row>
    <row r="928">
      <c r="A928" s="7">
        <v>10.0</v>
      </c>
      <c r="B928" s="7">
        <v>2025.0</v>
      </c>
      <c r="C928" s="8">
        <v>45777.0</v>
      </c>
      <c r="D928" s="7" t="s">
        <v>77</v>
      </c>
      <c r="E928" s="7" t="s">
        <v>75</v>
      </c>
      <c r="F928" s="7">
        <v>1.0</v>
      </c>
      <c r="G928" s="7" t="s">
        <v>46</v>
      </c>
      <c r="H928" s="7">
        <v>2.0</v>
      </c>
      <c r="I928" s="7">
        <v>12.0</v>
      </c>
      <c r="J928" s="7">
        <v>6.0</v>
      </c>
      <c r="K928" s="7" t="s">
        <v>28</v>
      </c>
      <c r="L928" s="9" t="str">
        <f>VLOOKUP(K928, 'Alphabetical by species code'!A:B, 2, FALSE)</f>
        <v>Litter</v>
      </c>
      <c r="M928" s="9" t="str">
        <f>VLOOKUP(L928, 'Alphabetical by species code'!B:C, 2, FALSE)</f>
        <v>Ground Cover</v>
      </c>
    </row>
    <row r="929">
      <c r="A929" s="7">
        <v>10.0</v>
      </c>
      <c r="B929" s="7">
        <v>2025.0</v>
      </c>
      <c r="C929" s="8">
        <v>45777.0</v>
      </c>
      <c r="D929" s="7" t="s">
        <v>77</v>
      </c>
      <c r="E929" s="7" t="s">
        <v>75</v>
      </c>
      <c r="F929" s="7">
        <v>1.0</v>
      </c>
      <c r="G929" s="7" t="s">
        <v>46</v>
      </c>
      <c r="H929" s="7">
        <v>2.0</v>
      </c>
      <c r="I929" s="7">
        <v>13.0</v>
      </c>
      <c r="J929" s="7">
        <v>6.5</v>
      </c>
      <c r="K929" s="7" t="s">
        <v>28</v>
      </c>
      <c r="L929" s="9" t="str">
        <f>VLOOKUP(K929, 'Alphabetical by species code'!A:B, 2, FALSE)</f>
        <v>Litter</v>
      </c>
      <c r="M929" s="9" t="str">
        <f>VLOOKUP(L929, 'Alphabetical by species code'!B:C, 2, FALSE)</f>
        <v>Ground Cover</v>
      </c>
    </row>
    <row r="930">
      <c r="A930" s="7">
        <v>10.0</v>
      </c>
      <c r="B930" s="7">
        <v>2025.0</v>
      </c>
      <c r="C930" s="8">
        <v>45777.0</v>
      </c>
      <c r="D930" s="7" t="s">
        <v>77</v>
      </c>
      <c r="E930" s="7" t="s">
        <v>75</v>
      </c>
      <c r="F930" s="7">
        <v>1.0</v>
      </c>
      <c r="G930" s="7" t="s">
        <v>46</v>
      </c>
      <c r="H930" s="7">
        <v>2.0</v>
      </c>
      <c r="I930" s="7">
        <v>13.0</v>
      </c>
      <c r="J930" s="7">
        <v>6.5</v>
      </c>
      <c r="K930" s="7" t="s">
        <v>81</v>
      </c>
      <c r="L930" s="9" t="str">
        <f>VLOOKUP(K930, 'Alphabetical by species code'!A:B, 2, FALSE)</f>
        <v>Brachypodium distachyon</v>
      </c>
      <c r="M930" s="9" t="str">
        <f>VLOOKUP(L930, 'Alphabetical by species code'!B:C, 2, FALSE)</f>
        <v>Non-Native</v>
      </c>
    </row>
    <row r="931">
      <c r="A931" s="7">
        <v>10.0</v>
      </c>
      <c r="B931" s="7">
        <v>2025.0</v>
      </c>
      <c r="C931" s="8">
        <v>45777.0</v>
      </c>
      <c r="D931" s="7" t="s">
        <v>77</v>
      </c>
      <c r="E931" s="7" t="s">
        <v>75</v>
      </c>
      <c r="F931" s="7">
        <v>1.0</v>
      </c>
      <c r="G931" s="7" t="s">
        <v>46</v>
      </c>
      <c r="H931" s="7">
        <v>2.0</v>
      </c>
      <c r="I931" s="7">
        <v>14.0</v>
      </c>
      <c r="J931" s="7">
        <v>7.0</v>
      </c>
      <c r="K931" s="7" t="s">
        <v>28</v>
      </c>
      <c r="L931" s="9" t="str">
        <f>VLOOKUP(K931, 'Alphabetical by species code'!A:B, 2, FALSE)</f>
        <v>Litter</v>
      </c>
      <c r="M931" s="9" t="str">
        <f>VLOOKUP(L931, 'Alphabetical by species code'!B:C, 2, FALSE)</f>
        <v>Ground Cover</v>
      </c>
    </row>
    <row r="932">
      <c r="A932" s="7">
        <v>10.0</v>
      </c>
      <c r="B932" s="7">
        <v>2025.0</v>
      </c>
      <c r="C932" s="8">
        <v>45777.0</v>
      </c>
      <c r="D932" s="7" t="s">
        <v>77</v>
      </c>
      <c r="E932" s="7" t="s">
        <v>75</v>
      </c>
      <c r="F932" s="7">
        <v>1.0</v>
      </c>
      <c r="G932" s="7" t="s">
        <v>46</v>
      </c>
      <c r="H932" s="7">
        <v>2.0</v>
      </c>
      <c r="I932" s="7">
        <v>14.0</v>
      </c>
      <c r="J932" s="7">
        <v>7.0</v>
      </c>
      <c r="K932" s="7" t="s">
        <v>76</v>
      </c>
      <c r="L932" s="9" t="str">
        <f>VLOOKUP(K932, 'Alphabetical by species code'!A:B, 2, FALSE)</f>
        <v>Avena fatua</v>
      </c>
      <c r="M932" s="9" t="str">
        <f>VLOOKUP(L932, 'Alphabetical by species code'!B:C, 2, FALSE)</f>
        <v>Non-Native</v>
      </c>
    </row>
    <row r="933">
      <c r="A933" s="7">
        <v>10.0</v>
      </c>
      <c r="B933" s="7">
        <v>2025.0</v>
      </c>
      <c r="C933" s="8">
        <v>45777.0</v>
      </c>
      <c r="D933" s="7" t="s">
        <v>77</v>
      </c>
      <c r="E933" s="7" t="s">
        <v>75</v>
      </c>
      <c r="F933" s="7">
        <v>1.0</v>
      </c>
      <c r="G933" s="7" t="s">
        <v>46</v>
      </c>
      <c r="H933" s="7">
        <v>2.0</v>
      </c>
      <c r="I933" s="7">
        <v>14.0</v>
      </c>
      <c r="J933" s="7">
        <v>7.0</v>
      </c>
      <c r="K933" s="7" t="s">
        <v>81</v>
      </c>
      <c r="L933" s="9" t="str">
        <f>VLOOKUP(K933, 'Alphabetical by species code'!A:B, 2, FALSE)</f>
        <v>Brachypodium distachyon</v>
      </c>
      <c r="M933" s="9" t="str">
        <f>VLOOKUP(L933, 'Alphabetical by species code'!B:C, 2, FALSE)</f>
        <v>Non-Native</v>
      </c>
    </row>
    <row r="934">
      <c r="A934" s="7">
        <v>10.0</v>
      </c>
      <c r="B934" s="7">
        <v>2025.0</v>
      </c>
      <c r="C934" s="8">
        <v>45777.0</v>
      </c>
      <c r="D934" s="7" t="s">
        <v>77</v>
      </c>
      <c r="E934" s="7" t="s">
        <v>75</v>
      </c>
      <c r="F934" s="7">
        <v>1.0</v>
      </c>
      <c r="G934" s="7" t="s">
        <v>46</v>
      </c>
      <c r="H934" s="7">
        <v>2.0</v>
      </c>
      <c r="I934" s="7">
        <v>15.0</v>
      </c>
      <c r="J934" s="7">
        <v>7.5</v>
      </c>
      <c r="K934" s="7" t="s">
        <v>28</v>
      </c>
      <c r="L934" s="9" t="str">
        <f>VLOOKUP(K934, 'Alphabetical by species code'!A:B, 2, FALSE)</f>
        <v>Litter</v>
      </c>
      <c r="M934" s="9" t="str">
        <f>VLOOKUP(L934, 'Alphabetical by species code'!B:C, 2, FALSE)</f>
        <v>Ground Cover</v>
      </c>
    </row>
    <row r="935">
      <c r="A935" s="7">
        <v>10.0</v>
      </c>
      <c r="B935" s="7">
        <v>2025.0</v>
      </c>
      <c r="C935" s="8">
        <v>45777.0</v>
      </c>
      <c r="D935" s="7" t="s">
        <v>77</v>
      </c>
      <c r="E935" s="7" t="s">
        <v>75</v>
      </c>
      <c r="F935" s="7">
        <v>1.0</v>
      </c>
      <c r="G935" s="7" t="s">
        <v>46</v>
      </c>
      <c r="H935" s="7">
        <v>2.0</v>
      </c>
      <c r="I935" s="7">
        <v>15.0</v>
      </c>
      <c r="J935" s="7">
        <v>7.5</v>
      </c>
      <c r="K935" s="7" t="s">
        <v>76</v>
      </c>
      <c r="L935" s="9" t="str">
        <f>VLOOKUP(K935, 'Alphabetical by species code'!A:B, 2, FALSE)</f>
        <v>Avena fatua</v>
      </c>
      <c r="M935" s="9" t="str">
        <f>VLOOKUP(L935, 'Alphabetical by species code'!B:C, 2, FALSE)</f>
        <v>Non-Native</v>
      </c>
    </row>
    <row r="936">
      <c r="A936" s="7">
        <v>10.0</v>
      </c>
      <c r="B936" s="7">
        <v>2025.0</v>
      </c>
      <c r="C936" s="8">
        <v>45777.0</v>
      </c>
      <c r="D936" s="7" t="s">
        <v>77</v>
      </c>
      <c r="E936" s="7" t="s">
        <v>75</v>
      </c>
      <c r="F936" s="7">
        <v>1.0</v>
      </c>
      <c r="G936" s="7" t="s">
        <v>46</v>
      </c>
      <c r="H936" s="7">
        <v>2.0</v>
      </c>
      <c r="I936" s="7">
        <v>15.0</v>
      </c>
      <c r="J936" s="7">
        <v>7.5</v>
      </c>
      <c r="K936" s="7" t="s">
        <v>81</v>
      </c>
      <c r="L936" s="9" t="str">
        <f>VLOOKUP(K936, 'Alphabetical by species code'!A:B, 2, FALSE)</f>
        <v>Brachypodium distachyon</v>
      </c>
      <c r="M936" s="9" t="str">
        <f>VLOOKUP(L936, 'Alphabetical by species code'!B:C, 2, FALSE)</f>
        <v>Non-Native</v>
      </c>
    </row>
    <row r="937">
      <c r="A937" s="7">
        <v>11.0</v>
      </c>
      <c r="B937" s="7">
        <v>2025.0</v>
      </c>
      <c r="C937" s="8">
        <v>45790.0</v>
      </c>
      <c r="D937" s="7" t="s">
        <v>83</v>
      </c>
      <c r="E937" s="7" t="s">
        <v>75</v>
      </c>
      <c r="F937" s="7">
        <v>1.0</v>
      </c>
      <c r="G937" s="7" t="s">
        <v>63</v>
      </c>
      <c r="H937" s="7">
        <v>1.0</v>
      </c>
      <c r="I937" s="7">
        <v>1.0</v>
      </c>
      <c r="J937" s="7">
        <v>0.0</v>
      </c>
      <c r="K937" s="7" t="s">
        <v>28</v>
      </c>
      <c r="L937" s="9" t="str">
        <f>VLOOKUP(K937, 'Alphabetical by species code'!A:B, 2, FALSE)</f>
        <v>Litter</v>
      </c>
      <c r="M937" s="9" t="str">
        <f>VLOOKUP(L937, 'Alphabetical by species code'!B:C, 2, FALSE)</f>
        <v>Ground Cover</v>
      </c>
    </row>
    <row r="938">
      <c r="A938" s="7">
        <v>11.0</v>
      </c>
      <c r="B938" s="7">
        <v>2025.0</v>
      </c>
      <c r="C938" s="8">
        <v>45790.0</v>
      </c>
      <c r="D938" s="7" t="s">
        <v>83</v>
      </c>
      <c r="E938" s="7" t="s">
        <v>75</v>
      </c>
      <c r="F938" s="7">
        <v>1.0</v>
      </c>
      <c r="G938" s="7" t="s">
        <v>63</v>
      </c>
      <c r="H938" s="7">
        <v>1.0</v>
      </c>
      <c r="I938" s="7">
        <v>1.0</v>
      </c>
      <c r="J938" s="7">
        <v>0.0</v>
      </c>
      <c r="K938" s="7" t="s">
        <v>35</v>
      </c>
      <c r="L938" s="9" t="str">
        <f>VLOOKUP(K938, 'Alphabetical by species code'!A:B, 2, FALSE)</f>
        <v>Deinandra fasciculata</v>
      </c>
      <c r="M938" s="9" t="str">
        <f>VLOOKUP(L938, 'Alphabetical by species code'!B:C, 2, FALSE)</f>
        <v>Native</v>
      </c>
    </row>
    <row r="939">
      <c r="A939" s="7">
        <v>11.0</v>
      </c>
      <c r="B939" s="7">
        <v>2025.0</v>
      </c>
      <c r="C939" s="8">
        <v>45790.0</v>
      </c>
      <c r="D939" s="7" t="s">
        <v>83</v>
      </c>
      <c r="E939" s="7" t="s">
        <v>75</v>
      </c>
      <c r="F939" s="7">
        <v>1.0</v>
      </c>
      <c r="G939" s="7" t="s">
        <v>63</v>
      </c>
      <c r="H939" s="7">
        <v>1.0</v>
      </c>
      <c r="I939" s="7">
        <v>2.0</v>
      </c>
      <c r="J939" s="7">
        <v>1.0</v>
      </c>
      <c r="K939" s="7" t="s">
        <v>28</v>
      </c>
      <c r="L939" s="9" t="str">
        <f>VLOOKUP(K939, 'Alphabetical by species code'!A:B, 2, FALSE)</f>
        <v>Litter</v>
      </c>
      <c r="M939" s="9" t="str">
        <f>VLOOKUP(L939, 'Alphabetical by species code'!B:C, 2, FALSE)</f>
        <v>Ground Cover</v>
      </c>
    </row>
    <row r="940">
      <c r="A940" s="7">
        <v>11.0</v>
      </c>
      <c r="B940" s="7">
        <v>2025.0</v>
      </c>
      <c r="C940" s="8">
        <v>45790.0</v>
      </c>
      <c r="D940" s="7" t="s">
        <v>83</v>
      </c>
      <c r="E940" s="7" t="s">
        <v>75</v>
      </c>
      <c r="F940" s="7">
        <v>1.0</v>
      </c>
      <c r="G940" s="7" t="s">
        <v>63</v>
      </c>
      <c r="H940" s="7">
        <v>1.0</v>
      </c>
      <c r="I940" s="7">
        <v>2.0</v>
      </c>
      <c r="J940" s="7">
        <v>1.0</v>
      </c>
      <c r="K940" s="7" t="s">
        <v>47</v>
      </c>
      <c r="L940" s="9" t="str">
        <f>VLOOKUP(K940, 'Alphabetical by species code'!A:B, 2, FALSE)</f>
        <v>Sonchus species</v>
      </c>
      <c r="M940" s="9" t="str">
        <f>VLOOKUP(L940, 'Alphabetical by species code'!B:C, 2, FALSE)</f>
        <v>Non-Native</v>
      </c>
    </row>
    <row r="941">
      <c r="A941" s="7">
        <v>11.0</v>
      </c>
      <c r="B941" s="7">
        <v>2025.0</v>
      </c>
      <c r="C941" s="8">
        <v>45790.0</v>
      </c>
      <c r="D941" s="7" t="s">
        <v>83</v>
      </c>
      <c r="E941" s="7" t="s">
        <v>75</v>
      </c>
      <c r="F941" s="7">
        <v>1.0</v>
      </c>
      <c r="G941" s="7" t="s">
        <v>63</v>
      </c>
      <c r="H941" s="7">
        <v>1.0</v>
      </c>
      <c r="I941" s="7">
        <v>3.0</v>
      </c>
      <c r="J941" s="7">
        <v>1.5</v>
      </c>
      <c r="K941" s="7" t="s">
        <v>28</v>
      </c>
      <c r="L941" s="9" t="str">
        <f>VLOOKUP(K941, 'Alphabetical by species code'!A:B, 2, FALSE)</f>
        <v>Litter</v>
      </c>
      <c r="M941" s="9" t="str">
        <f>VLOOKUP(L941, 'Alphabetical by species code'!B:C, 2, FALSE)</f>
        <v>Ground Cover</v>
      </c>
    </row>
    <row r="942">
      <c r="A942" s="7">
        <v>11.0</v>
      </c>
      <c r="B942" s="7">
        <v>2025.0</v>
      </c>
      <c r="C942" s="8">
        <v>45790.0</v>
      </c>
      <c r="D942" s="7" t="s">
        <v>83</v>
      </c>
      <c r="E942" s="7" t="s">
        <v>75</v>
      </c>
      <c r="F942" s="7">
        <v>1.0</v>
      </c>
      <c r="G942" s="7" t="s">
        <v>63</v>
      </c>
      <c r="H942" s="7">
        <v>1.0</v>
      </c>
      <c r="I942" s="7">
        <v>3.0</v>
      </c>
      <c r="J942" s="7">
        <v>1.5</v>
      </c>
      <c r="K942" s="7" t="s">
        <v>64</v>
      </c>
      <c r="L942" s="9" t="str">
        <f>VLOOKUP(K942, 'Alphabetical by species code'!A:B, 2, FALSE)</f>
        <v>Brassica nigra</v>
      </c>
      <c r="M942" s="9" t="str">
        <f>VLOOKUP(L942, 'Alphabetical by species code'!B:C, 2, FALSE)</f>
        <v>Non-Native</v>
      </c>
    </row>
    <row r="943">
      <c r="A943" s="7">
        <v>11.0</v>
      </c>
      <c r="B943" s="7">
        <v>2025.0</v>
      </c>
      <c r="C943" s="8">
        <v>45790.0</v>
      </c>
      <c r="D943" s="7" t="s">
        <v>83</v>
      </c>
      <c r="E943" s="7" t="s">
        <v>75</v>
      </c>
      <c r="F943" s="7">
        <v>1.0</v>
      </c>
      <c r="G943" s="7" t="s">
        <v>63</v>
      </c>
      <c r="H943" s="7">
        <v>1.0</v>
      </c>
      <c r="I943" s="7">
        <v>3.0</v>
      </c>
      <c r="J943" s="7">
        <v>1.5</v>
      </c>
      <c r="K943" s="7" t="s">
        <v>35</v>
      </c>
      <c r="L943" s="9" t="str">
        <f>VLOOKUP(K943, 'Alphabetical by species code'!A:B, 2, FALSE)</f>
        <v>Deinandra fasciculata</v>
      </c>
      <c r="M943" s="9" t="str">
        <f>VLOOKUP(L943, 'Alphabetical by species code'!B:C, 2, FALSE)</f>
        <v>Native</v>
      </c>
    </row>
    <row r="944">
      <c r="A944" s="7">
        <v>11.0</v>
      </c>
      <c r="B944" s="7">
        <v>2025.0</v>
      </c>
      <c r="C944" s="8">
        <v>45790.0</v>
      </c>
      <c r="D944" s="7" t="s">
        <v>83</v>
      </c>
      <c r="E944" s="7" t="s">
        <v>75</v>
      </c>
      <c r="F944" s="7">
        <v>1.0</v>
      </c>
      <c r="G944" s="7" t="s">
        <v>63</v>
      </c>
      <c r="H944" s="7">
        <v>1.0</v>
      </c>
      <c r="I944" s="7">
        <v>3.0</v>
      </c>
      <c r="J944" s="7">
        <v>1.5</v>
      </c>
      <c r="K944" s="7" t="s">
        <v>31</v>
      </c>
      <c r="L944" s="9" t="str">
        <f>VLOOKUP(K944, 'Alphabetical by species code'!A:B, 2, FALSE)</f>
        <v>Festuca myuros</v>
      </c>
      <c r="M944" s="9" t="str">
        <f>VLOOKUP(L944, 'Alphabetical by species code'!B:C, 2, FALSE)</f>
        <v>Non-Native</v>
      </c>
    </row>
    <row r="945">
      <c r="A945" s="7">
        <v>11.0</v>
      </c>
      <c r="B945" s="7">
        <v>2025.0</v>
      </c>
      <c r="C945" s="8">
        <v>45790.0</v>
      </c>
      <c r="D945" s="7" t="s">
        <v>83</v>
      </c>
      <c r="E945" s="7" t="s">
        <v>75</v>
      </c>
      <c r="F945" s="7">
        <v>1.0</v>
      </c>
      <c r="G945" s="7" t="s">
        <v>63</v>
      </c>
      <c r="H945" s="7">
        <v>1.0</v>
      </c>
      <c r="I945" s="7">
        <v>4.0</v>
      </c>
      <c r="J945" s="7">
        <v>2.0</v>
      </c>
      <c r="K945" s="7" t="s">
        <v>28</v>
      </c>
      <c r="L945" s="9" t="str">
        <f>VLOOKUP(K945, 'Alphabetical by species code'!A:B, 2, FALSE)</f>
        <v>Litter</v>
      </c>
      <c r="M945" s="9" t="str">
        <f>VLOOKUP(L945, 'Alphabetical by species code'!B:C, 2, FALSE)</f>
        <v>Ground Cover</v>
      </c>
    </row>
    <row r="946">
      <c r="A946" s="7">
        <v>11.0</v>
      </c>
      <c r="B946" s="7">
        <v>2025.0</v>
      </c>
      <c r="C946" s="8">
        <v>45790.0</v>
      </c>
      <c r="D946" s="7" t="s">
        <v>83</v>
      </c>
      <c r="E946" s="7" t="s">
        <v>75</v>
      </c>
      <c r="F946" s="7">
        <v>1.0</v>
      </c>
      <c r="G946" s="7" t="s">
        <v>63</v>
      </c>
      <c r="H946" s="7">
        <v>1.0</v>
      </c>
      <c r="I946" s="7">
        <v>4.0</v>
      </c>
      <c r="J946" s="7">
        <v>2.0</v>
      </c>
      <c r="K946" s="7" t="s">
        <v>35</v>
      </c>
      <c r="L946" s="9" t="str">
        <f>VLOOKUP(K946, 'Alphabetical by species code'!A:B, 2, FALSE)</f>
        <v>Deinandra fasciculata</v>
      </c>
      <c r="M946" s="9" t="str">
        <f>VLOOKUP(L946, 'Alphabetical by species code'!B:C, 2, FALSE)</f>
        <v>Native</v>
      </c>
    </row>
    <row r="947">
      <c r="A947" s="7">
        <v>11.0</v>
      </c>
      <c r="B947" s="7">
        <v>2025.0</v>
      </c>
      <c r="C947" s="8">
        <v>45790.0</v>
      </c>
      <c r="D947" s="7" t="s">
        <v>83</v>
      </c>
      <c r="E947" s="7" t="s">
        <v>75</v>
      </c>
      <c r="F947" s="7">
        <v>1.0</v>
      </c>
      <c r="G947" s="7" t="s">
        <v>63</v>
      </c>
      <c r="H947" s="7">
        <v>1.0</v>
      </c>
      <c r="I947" s="7">
        <v>4.0</v>
      </c>
      <c r="J947" s="7">
        <v>2.0</v>
      </c>
      <c r="K947" s="7" t="s">
        <v>47</v>
      </c>
      <c r="L947" s="9" t="str">
        <f>VLOOKUP(K947, 'Alphabetical by species code'!A:B, 2, FALSE)</f>
        <v>Sonchus species</v>
      </c>
      <c r="M947" s="9" t="str">
        <f>VLOOKUP(L947, 'Alphabetical by species code'!B:C, 2, FALSE)</f>
        <v>Non-Native</v>
      </c>
    </row>
    <row r="948">
      <c r="A948" s="7">
        <v>11.0</v>
      </c>
      <c r="B948" s="7">
        <v>2025.0</v>
      </c>
      <c r="C948" s="8">
        <v>45790.0</v>
      </c>
      <c r="D948" s="7" t="s">
        <v>83</v>
      </c>
      <c r="E948" s="7" t="s">
        <v>75</v>
      </c>
      <c r="F948" s="7">
        <v>1.0</v>
      </c>
      <c r="G948" s="7" t="s">
        <v>63</v>
      </c>
      <c r="H948" s="7">
        <v>1.0</v>
      </c>
      <c r="I948" s="7">
        <v>4.0</v>
      </c>
      <c r="J948" s="7">
        <v>2.0</v>
      </c>
      <c r="K948" s="7" t="s">
        <v>64</v>
      </c>
      <c r="L948" s="9" t="str">
        <f>VLOOKUP(K948, 'Alphabetical by species code'!A:B, 2, FALSE)</f>
        <v>Brassica nigra</v>
      </c>
      <c r="M948" s="9" t="str">
        <f>VLOOKUP(L948, 'Alphabetical by species code'!B:C, 2, FALSE)</f>
        <v>Non-Native</v>
      </c>
    </row>
    <row r="949">
      <c r="A949" s="7">
        <v>11.0</v>
      </c>
      <c r="B949" s="7">
        <v>2025.0</v>
      </c>
      <c r="C949" s="8">
        <v>45790.0</v>
      </c>
      <c r="D949" s="7" t="s">
        <v>83</v>
      </c>
      <c r="E949" s="7" t="s">
        <v>75</v>
      </c>
      <c r="F949" s="7">
        <v>1.0</v>
      </c>
      <c r="G949" s="7" t="s">
        <v>63</v>
      </c>
      <c r="H949" s="7">
        <v>1.0</v>
      </c>
      <c r="I949" s="7">
        <v>5.0</v>
      </c>
      <c r="J949" s="7">
        <v>3.0</v>
      </c>
      <c r="K949" s="7" t="s">
        <v>28</v>
      </c>
      <c r="L949" s="9" t="str">
        <f>VLOOKUP(K949, 'Alphabetical by species code'!A:B, 2, FALSE)</f>
        <v>Litter</v>
      </c>
      <c r="M949" s="9" t="str">
        <f>VLOOKUP(L949, 'Alphabetical by species code'!B:C, 2, FALSE)</f>
        <v>Ground Cover</v>
      </c>
    </row>
    <row r="950">
      <c r="A950" s="7">
        <v>11.0</v>
      </c>
      <c r="B950" s="7">
        <v>2025.0</v>
      </c>
      <c r="C950" s="8">
        <v>45790.0</v>
      </c>
      <c r="D950" s="7" t="s">
        <v>83</v>
      </c>
      <c r="E950" s="7" t="s">
        <v>75</v>
      </c>
      <c r="F950" s="7">
        <v>1.0</v>
      </c>
      <c r="G950" s="7" t="s">
        <v>63</v>
      </c>
      <c r="H950" s="7">
        <v>1.0</v>
      </c>
      <c r="I950" s="7">
        <v>5.0</v>
      </c>
      <c r="J950" s="7">
        <v>3.0</v>
      </c>
      <c r="K950" s="7" t="s">
        <v>64</v>
      </c>
      <c r="L950" s="9" t="str">
        <f>VLOOKUP(K950, 'Alphabetical by species code'!A:B, 2, FALSE)</f>
        <v>Brassica nigra</v>
      </c>
      <c r="M950" s="9" t="str">
        <f>VLOOKUP(L950, 'Alphabetical by species code'!B:C, 2, FALSE)</f>
        <v>Non-Native</v>
      </c>
    </row>
    <row r="951">
      <c r="A951" s="7">
        <v>11.0</v>
      </c>
      <c r="B951" s="7">
        <v>2025.0</v>
      </c>
      <c r="C951" s="8">
        <v>45790.0</v>
      </c>
      <c r="D951" s="7" t="s">
        <v>83</v>
      </c>
      <c r="E951" s="7" t="s">
        <v>75</v>
      </c>
      <c r="F951" s="7">
        <v>1.0</v>
      </c>
      <c r="G951" s="7" t="s">
        <v>63</v>
      </c>
      <c r="H951" s="7">
        <v>1.0</v>
      </c>
      <c r="I951" s="7">
        <v>5.0</v>
      </c>
      <c r="J951" s="7">
        <v>3.0</v>
      </c>
      <c r="K951" s="7" t="s">
        <v>35</v>
      </c>
      <c r="L951" s="9" t="str">
        <f>VLOOKUP(K951, 'Alphabetical by species code'!A:B, 2, FALSE)</f>
        <v>Deinandra fasciculata</v>
      </c>
      <c r="M951" s="9" t="str">
        <f>VLOOKUP(L951, 'Alphabetical by species code'!B:C, 2, FALSE)</f>
        <v>Native</v>
      </c>
    </row>
    <row r="952">
      <c r="A952" s="7">
        <v>11.0</v>
      </c>
      <c r="B952" s="7">
        <v>2025.0</v>
      </c>
      <c r="C952" s="8">
        <v>45790.0</v>
      </c>
      <c r="D952" s="7" t="s">
        <v>83</v>
      </c>
      <c r="E952" s="7" t="s">
        <v>75</v>
      </c>
      <c r="F952" s="7">
        <v>1.0</v>
      </c>
      <c r="G952" s="7" t="s">
        <v>63</v>
      </c>
      <c r="H952" s="7">
        <v>1.0</v>
      </c>
      <c r="I952" s="7">
        <v>6.0</v>
      </c>
      <c r="J952" s="7">
        <v>3.5</v>
      </c>
      <c r="K952" s="7" t="s">
        <v>38</v>
      </c>
      <c r="L952" s="9" t="str">
        <f>VLOOKUP(K952, 'Alphabetical by species code'!A:B, 2, FALSE)</f>
        <v>Thatch</v>
      </c>
      <c r="M952" s="9" t="str">
        <f>VLOOKUP(L952, 'Alphabetical by species code'!B:C, 2, FALSE)</f>
        <v>Ground Cover</v>
      </c>
    </row>
    <row r="953">
      <c r="A953" s="7">
        <v>11.0</v>
      </c>
      <c r="B953" s="7">
        <v>2025.0</v>
      </c>
      <c r="C953" s="8">
        <v>45790.0</v>
      </c>
      <c r="D953" s="7" t="s">
        <v>83</v>
      </c>
      <c r="E953" s="7" t="s">
        <v>75</v>
      </c>
      <c r="F953" s="7">
        <v>1.0</v>
      </c>
      <c r="G953" s="7" t="s">
        <v>63</v>
      </c>
      <c r="H953" s="7">
        <v>1.0</v>
      </c>
      <c r="I953" s="7">
        <v>6.0</v>
      </c>
      <c r="J953" s="7">
        <v>3.5</v>
      </c>
      <c r="K953" s="7" t="s">
        <v>64</v>
      </c>
      <c r="L953" s="9" t="str">
        <f>VLOOKUP(K953, 'Alphabetical by species code'!A:B, 2, FALSE)</f>
        <v>Brassica nigra</v>
      </c>
      <c r="M953" s="9" t="str">
        <f>VLOOKUP(L953, 'Alphabetical by species code'!B:C, 2, FALSE)</f>
        <v>Non-Native</v>
      </c>
    </row>
    <row r="954">
      <c r="A954" s="7">
        <v>11.0</v>
      </c>
      <c r="B954" s="7">
        <v>2025.0</v>
      </c>
      <c r="C954" s="8">
        <v>45790.0</v>
      </c>
      <c r="D954" s="7" t="s">
        <v>83</v>
      </c>
      <c r="E954" s="7" t="s">
        <v>75</v>
      </c>
      <c r="F954" s="7">
        <v>1.0</v>
      </c>
      <c r="G954" s="7" t="s">
        <v>63</v>
      </c>
      <c r="H954" s="7">
        <v>1.0</v>
      </c>
      <c r="I954" s="7">
        <v>7.0</v>
      </c>
      <c r="J954" s="7">
        <v>4.0</v>
      </c>
      <c r="K954" s="7" t="s">
        <v>38</v>
      </c>
      <c r="L954" s="9" t="str">
        <f>VLOOKUP(K954, 'Alphabetical by species code'!A:B, 2, FALSE)</f>
        <v>Thatch</v>
      </c>
      <c r="M954" s="9" t="str">
        <f>VLOOKUP(L954, 'Alphabetical by species code'!B:C, 2, FALSE)</f>
        <v>Ground Cover</v>
      </c>
    </row>
    <row r="955">
      <c r="A955" s="7">
        <v>11.0</v>
      </c>
      <c r="B955" s="7">
        <v>2025.0</v>
      </c>
      <c r="C955" s="8">
        <v>45790.0</v>
      </c>
      <c r="D955" s="7" t="s">
        <v>83</v>
      </c>
      <c r="E955" s="7" t="s">
        <v>75</v>
      </c>
      <c r="F955" s="7">
        <v>1.0</v>
      </c>
      <c r="G955" s="7" t="s">
        <v>63</v>
      </c>
      <c r="H955" s="7">
        <v>1.0</v>
      </c>
      <c r="I955" s="7">
        <v>7.0</v>
      </c>
      <c r="J955" s="7">
        <v>4.0</v>
      </c>
      <c r="K955" s="7" t="s">
        <v>35</v>
      </c>
      <c r="L955" s="9" t="str">
        <f>VLOOKUP(K955, 'Alphabetical by species code'!A:B, 2, FALSE)</f>
        <v>Deinandra fasciculata</v>
      </c>
      <c r="M955" s="9" t="str">
        <f>VLOOKUP(L955, 'Alphabetical by species code'!B:C, 2, FALSE)</f>
        <v>Native</v>
      </c>
    </row>
    <row r="956">
      <c r="A956" s="7">
        <v>11.0</v>
      </c>
      <c r="B956" s="7">
        <v>2025.0</v>
      </c>
      <c r="C956" s="8">
        <v>45790.0</v>
      </c>
      <c r="D956" s="7" t="s">
        <v>83</v>
      </c>
      <c r="E956" s="7" t="s">
        <v>75</v>
      </c>
      <c r="F956" s="7">
        <v>1.0</v>
      </c>
      <c r="G956" s="7" t="s">
        <v>63</v>
      </c>
      <c r="H956" s="7">
        <v>1.0</v>
      </c>
      <c r="I956" s="7">
        <v>8.0</v>
      </c>
      <c r="J956" s="7">
        <v>5.0</v>
      </c>
      <c r="K956" s="7" t="s">
        <v>28</v>
      </c>
      <c r="L956" s="9" t="str">
        <f>VLOOKUP(K956, 'Alphabetical by species code'!A:B, 2, FALSE)</f>
        <v>Litter</v>
      </c>
      <c r="M956" s="9" t="str">
        <f>VLOOKUP(L956, 'Alphabetical by species code'!B:C, 2, FALSE)</f>
        <v>Ground Cover</v>
      </c>
    </row>
    <row r="957">
      <c r="A957" s="7">
        <v>11.0</v>
      </c>
      <c r="B957" s="7">
        <v>2025.0</v>
      </c>
      <c r="C957" s="8">
        <v>45790.0</v>
      </c>
      <c r="D957" s="7" t="s">
        <v>83</v>
      </c>
      <c r="E957" s="7" t="s">
        <v>75</v>
      </c>
      <c r="F957" s="7">
        <v>1.0</v>
      </c>
      <c r="G957" s="7" t="s">
        <v>63</v>
      </c>
      <c r="H957" s="7">
        <v>1.0</v>
      </c>
      <c r="I957" s="7">
        <v>8.0</v>
      </c>
      <c r="J957" s="7">
        <v>5.0</v>
      </c>
      <c r="K957" s="7" t="s">
        <v>31</v>
      </c>
      <c r="L957" s="9" t="str">
        <f>VLOOKUP(K957, 'Alphabetical by species code'!A:B, 2, FALSE)</f>
        <v>Festuca myuros</v>
      </c>
      <c r="M957" s="9" t="str">
        <f>VLOOKUP(L957, 'Alphabetical by species code'!B:C, 2, FALSE)</f>
        <v>Non-Native</v>
      </c>
    </row>
    <row r="958">
      <c r="A958" s="7">
        <v>11.0</v>
      </c>
      <c r="B958" s="7">
        <v>2025.0</v>
      </c>
      <c r="C958" s="8">
        <v>45790.0</v>
      </c>
      <c r="D958" s="7" t="s">
        <v>83</v>
      </c>
      <c r="E958" s="7" t="s">
        <v>75</v>
      </c>
      <c r="F958" s="7">
        <v>1.0</v>
      </c>
      <c r="G958" s="7" t="s">
        <v>63</v>
      </c>
      <c r="H958" s="7">
        <v>1.0</v>
      </c>
      <c r="I958" s="7">
        <v>9.0</v>
      </c>
      <c r="J958" s="7">
        <v>7.0</v>
      </c>
      <c r="K958" s="7" t="s">
        <v>28</v>
      </c>
      <c r="L958" s="9" t="str">
        <f>VLOOKUP(K958, 'Alphabetical by species code'!A:B, 2, FALSE)</f>
        <v>Litter</v>
      </c>
      <c r="M958" s="9" t="str">
        <f>VLOOKUP(L958, 'Alphabetical by species code'!B:C, 2, FALSE)</f>
        <v>Ground Cover</v>
      </c>
    </row>
    <row r="959">
      <c r="A959" s="7">
        <v>11.0</v>
      </c>
      <c r="B959" s="7">
        <v>2025.0</v>
      </c>
      <c r="C959" s="8">
        <v>45790.0</v>
      </c>
      <c r="D959" s="7" t="s">
        <v>83</v>
      </c>
      <c r="E959" s="7" t="s">
        <v>75</v>
      </c>
      <c r="F959" s="7">
        <v>1.0</v>
      </c>
      <c r="G959" s="7" t="s">
        <v>63</v>
      </c>
      <c r="H959" s="7">
        <v>1.0</v>
      </c>
      <c r="I959" s="7">
        <v>9.0</v>
      </c>
      <c r="J959" s="7">
        <v>7.0</v>
      </c>
      <c r="K959" s="7" t="s">
        <v>35</v>
      </c>
      <c r="L959" s="9" t="str">
        <f>VLOOKUP(K959, 'Alphabetical by species code'!A:B, 2, FALSE)</f>
        <v>Deinandra fasciculata</v>
      </c>
      <c r="M959" s="9" t="str">
        <f>VLOOKUP(L959, 'Alphabetical by species code'!B:C, 2, FALSE)</f>
        <v>Native</v>
      </c>
    </row>
    <row r="960">
      <c r="A960" s="7">
        <v>11.0</v>
      </c>
      <c r="B960" s="7">
        <v>2025.0</v>
      </c>
      <c r="C960" s="8">
        <v>45790.0</v>
      </c>
      <c r="D960" s="7" t="s">
        <v>83</v>
      </c>
      <c r="E960" s="7" t="s">
        <v>75</v>
      </c>
      <c r="F960" s="7">
        <v>1.0</v>
      </c>
      <c r="G960" s="7" t="s">
        <v>63</v>
      </c>
      <c r="H960" s="7">
        <v>1.0</v>
      </c>
      <c r="I960" s="7">
        <v>9.0</v>
      </c>
      <c r="J960" s="7">
        <v>7.0</v>
      </c>
      <c r="K960" s="7" t="s">
        <v>31</v>
      </c>
      <c r="L960" s="9" t="str">
        <f>VLOOKUP(K960, 'Alphabetical by species code'!A:B, 2, FALSE)</f>
        <v>Festuca myuros</v>
      </c>
      <c r="M960" s="9" t="str">
        <f>VLOOKUP(L960, 'Alphabetical by species code'!B:C, 2, FALSE)</f>
        <v>Non-Native</v>
      </c>
    </row>
    <row r="961">
      <c r="A961" s="7">
        <v>11.0</v>
      </c>
      <c r="B961" s="7">
        <v>2025.0</v>
      </c>
      <c r="C961" s="8">
        <v>45790.0</v>
      </c>
      <c r="D961" s="7" t="s">
        <v>83</v>
      </c>
      <c r="E961" s="7" t="s">
        <v>75</v>
      </c>
      <c r="F961" s="7">
        <v>1.0</v>
      </c>
      <c r="G961" s="7" t="s">
        <v>63</v>
      </c>
      <c r="H961" s="7">
        <v>1.0</v>
      </c>
      <c r="I961" s="7">
        <v>10.0</v>
      </c>
      <c r="J961" s="7">
        <v>8.0</v>
      </c>
      <c r="K961" s="7" t="s">
        <v>28</v>
      </c>
      <c r="L961" s="9" t="str">
        <f>VLOOKUP(K961, 'Alphabetical by species code'!A:B, 2, FALSE)</f>
        <v>Litter</v>
      </c>
      <c r="M961" s="9" t="str">
        <f>VLOOKUP(L961, 'Alphabetical by species code'!B:C, 2, FALSE)</f>
        <v>Ground Cover</v>
      </c>
    </row>
    <row r="962">
      <c r="A962" s="7">
        <v>11.0</v>
      </c>
      <c r="B962" s="7">
        <v>2025.0</v>
      </c>
      <c r="C962" s="8">
        <v>45790.0</v>
      </c>
      <c r="D962" s="7" t="s">
        <v>83</v>
      </c>
      <c r="E962" s="7" t="s">
        <v>75</v>
      </c>
      <c r="F962" s="7">
        <v>1.0</v>
      </c>
      <c r="G962" s="7" t="s">
        <v>63</v>
      </c>
      <c r="H962" s="7">
        <v>1.0</v>
      </c>
      <c r="I962" s="7">
        <v>10.0</v>
      </c>
      <c r="J962" s="7">
        <v>8.0</v>
      </c>
      <c r="K962" s="7" t="s">
        <v>31</v>
      </c>
      <c r="L962" s="9" t="str">
        <f>VLOOKUP(K962, 'Alphabetical by species code'!A:B, 2, FALSE)</f>
        <v>Festuca myuros</v>
      </c>
      <c r="M962" s="9" t="str">
        <f>VLOOKUP(L962, 'Alphabetical by species code'!B:C, 2, FALSE)</f>
        <v>Non-Native</v>
      </c>
    </row>
    <row r="963">
      <c r="A963" s="7">
        <v>11.0</v>
      </c>
      <c r="B963" s="7">
        <v>2025.0</v>
      </c>
      <c r="C963" s="8">
        <v>45790.0</v>
      </c>
      <c r="D963" s="7" t="s">
        <v>83</v>
      </c>
      <c r="E963" s="7" t="s">
        <v>75</v>
      </c>
      <c r="F963" s="7">
        <v>1.0</v>
      </c>
      <c r="G963" s="7" t="s">
        <v>63</v>
      </c>
      <c r="H963" s="7">
        <v>1.0</v>
      </c>
      <c r="I963" s="7">
        <v>10.0</v>
      </c>
      <c r="J963" s="7">
        <v>8.0</v>
      </c>
      <c r="K963" s="7" t="s">
        <v>64</v>
      </c>
      <c r="L963" s="9" t="str">
        <f>VLOOKUP(K963, 'Alphabetical by species code'!A:B, 2, FALSE)</f>
        <v>Brassica nigra</v>
      </c>
      <c r="M963" s="9" t="str">
        <f>VLOOKUP(L963, 'Alphabetical by species code'!B:C, 2, FALSE)</f>
        <v>Non-Native</v>
      </c>
    </row>
    <row r="964">
      <c r="A964" s="7">
        <v>11.0</v>
      </c>
      <c r="B964" s="7">
        <v>2025.0</v>
      </c>
      <c r="C964" s="8">
        <v>45790.0</v>
      </c>
      <c r="D964" s="7" t="s">
        <v>83</v>
      </c>
      <c r="E964" s="7" t="s">
        <v>75</v>
      </c>
      <c r="F964" s="7">
        <v>1.0</v>
      </c>
      <c r="G964" s="7" t="s">
        <v>63</v>
      </c>
      <c r="H964" s="7">
        <v>1.0</v>
      </c>
      <c r="I964" s="7">
        <v>11.0</v>
      </c>
      <c r="J964" s="7">
        <v>8.5</v>
      </c>
      <c r="K964" s="7" t="s">
        <v>28</v>
      </c>
      <c r="L964" s="9" t="str">
        <f>VLOOKUP(K964, 'Alphabetical by species code'!A:B, 2, FALSE)</f>
        <v>Litter</v>
      </c>
      <c r="M964" s="9" t="str">
        <f>VLOOKUP(L964, 'Alphabetical by species code'!B:C, 2, FALSE)</f>
        <v>Ground Cover</v>
      </c>
    </row>
    <row r="965">
      <c r="A965" s="7">
        <v>11.0</v>
      </c>
      <c r="B965" s="7">
        <v>2025.0</v>
      </c>
      <c r="C965" s="8">
        <v>45790.0</v>
      </c>
      <c r="D965" s="7" t="s">
        <v>83</v>
      </c>
      <c r="E965" s="7" t="s">
        <v>75</v>
      </c>
      <c r="F965" s="7">
        <v>1.0</v>
      </c>
      <c r="G965" s="7" t="s">
        <v>63</v>
      </c>
      <c r="H965" s="7">
        <v>1.0</v>
      </c>
      <c r="I965" s="7">
        <v>11.0</v>
      </c>
      <c r="J965" s="7">
        <v>8.5</v>
      </c>
      <c r="K965" s="7" t="s">
        <v>36</v>
      </c>
      <c r="L965" s="9" t="str">
        <f>VLOOKUP(K965, 'Alphabetical by species code'!A:B, 2, FALSE)</f>
        <v>Bromus madritensis</v>
      </c>
      <c r="M965" s="9" t="str">
        <f>VLOOKUP(L965, 'Alphabetical by species code'!B:C, 2, FALSE)</f>
        <v>Non-Native</v>
      </c>
    </row>
    <row r="966">
      <c r="A966" s="7">
        <v>11.0</v>
      </c>
      <c r="B966" s="7">
        <v>2025.0</v>
      </c>
      <c r="C966" s="8">
        <v>45790.0</v>
      </c>
      <c r="D966" s="7" t="s">
        <v>83</v>
      </c>
      <c r="E966" s="7" t="s">
        <v>75</v>
      </c>
      <c r="F966" s="7">
        <v>1.0</v>
      </c>
      <c r="G966" s="7" t="s">
        <v>63</v>
      </c>
      <c r="H966" s="7">
        <v>1.0</v>
      </c>
      <c r="I966" s="7">
        <v>12.0</v>
      </c>
      <c r="J966" s="7">
        <v>9.0</v>
      </c>
      <c r="K966" s="7" t="s">
        <v>28</v>
      </c>
      <c r="L966" s="9" t="str">
        <f>VLOOKUP(K966, 'Alphabetical by species code'!A:B, 2, FALSE)</f>
        <v>Litter</v>
      </c>
      <c r="M966" s="9" t="str">
        <f>VLOOKUP(L966, 'Alphabetical by species code'!B:C, 2, FALSE)</f>
        <v>Ground Cover</v>
      </c>
    </row>
    <row r="967">
      <c r="A967" s="7">
        <v>11.0</v>
      </c>
      <c r="B967" s="7">
        <v>2025.0</v>
      </c>
      <c r="C967" s="8">
        <v>45790.0</v>
      </c>
      <c r="D967" s="7" t="s">
        <v>83</v>
      </c>
      <c r="E967" s="7" t="s">
        <v>75</v>
      </c>
      <c r="F967" s="7">
        <v>1.0</v>
      </c>
      <c r="G967" s="7" t="s">
        <v>63</v>
      </c>
      <c r="H967" s="7">
        <v>1.0</v>
      </c>
      <c r="I967" s="7">
        <v>12.0</v>
      </c>
      <c r="J967" s="7">
        <v>9.0</v>
      </c>
      <c r="K967" s="7" t="s">
        <v>35</v>
      </c>
      <c r="L967" s="9" t="str">
        <f>VLOOKUP(K967, 'Alphabetical by species code'!A:B, 2, FALSE)</f>
        <v>Deinandra fasciculata</v>
      </c>
      <c r="M967" s="9" t="str">
        <f>VLOOKUP(L967, 'Alphabetical by species code'!B:C, 2, FALSE)</f>
        <v>Native</v>
      </c>
    </row>
    <row r="968">
      <c r="A968" s="7">
        <v>11.0</v>
      </c>
      <c r="B968" s="7">
        <v>2025.0</v>
      </c>
      <c r="C968" s="8">
        <v>45790.0</v>
      </c>
      <c r="D968" s="7" t="s">
        <v>83</v>
      </c>
      <c r="E968" s="7" t="s">
        <v>75</v>
      </c>
      <c r="F968" s="7">
        <v>1.0</v>
      </c>
      <c r="G968" s="7" t="s">
        <v>63</v>
      </c>
      <c r="H968" s="7">
        <v>1.0</v>
      </c>
      <c r="I968" s="7">
        <v>13.0</v>
      </c>
      <c r="J968" s="7">
        <v>10.0</v>
      </c>
      <c r="K968" s="7" t="s">
        <v>28</v>
      </c>
      <c r="L968" s="9" t="str">
        <f>VLOOKUP(K968, 'Alphabetical by species code'!A:B, 2, FALSE)</f>
        <v>Litter</v>
      </c>
      <c r="M968" s="9" t="str">
        <f>VLOOKUP(L968, 'Alphabetical by species code'!B:C, 2, FALSE)</f>
        <v>Ground Cover</v>
      </c>
    </row>
    <row r="969">
      <c r="A969" s="7">
        <v>11.0</v>
      </c>
      <c r="B969" s="7">
        <v>2025.0</v>
      </c>
      <c r="C969" s="8">
        <v>45790.0</v>
      </c>
      <c r="D969" s="7" t="s">
        <v>83</v>
      </c>
      <c r="E969" s="7" t="s">
        <v>75</v>
      </c>
      <c r="F969" s="7">
        <v>1.0</v>
      </c>
      <c r="G969" s="7" t="s">
        <v>63</v>
      </c>
      <c r="H969" s="7">
        <v>1.0</v>
      </c>
      <c r="I969" s="7">
        <v>13.0</v>
      </c>
      <c r="J969" s="7">
        <v>10.0</v>
      </c>
      <c r="K969" s="7" t="s">
        <v>31</v>
      </c>
      <c r="L969" s="9" t="str">
        <f>VLOOKUP(K969, 'Alphabetical by species code'!A:B, 2, FALSE)</f>
        <v>Festuca myuros</v>
      </c>
      <c r="M969" s="9" t="str">
        <f>VLOOKUP(L969, 'Alphabetical by species code'!B:C, 2, FALSE)</f>
        <v>Non-Native</v>
      </c>
    </row>
    <row r="970">
      <c r="A970" s="7">
        <v>11.0</v>
      </c>
      <c r="B970" s="7">
        <v>2025.0</v>
      </c>
      <c r="C970" s="8">
        <v>45790.0</v>
      </c>
      <c r="D970" s="7" t="s">
        <v>83</v>
      </c>
      <c r="E970" s="7" t="s">
        <v>75</v>
      </c>
      <c r="F970" s="7">
        <v>1.0</v>
      </c>
      <c r="G970" s="7" t="s">
        <v>63</v>
      </c>
      <c r="H970" s="7">
        <v>1.0</v>
      </c>
      <c r="I970" s="7">
        <v>14.0</v>
      </c>
      <c r="J970" s="7">
        <v>11.0</v>
      </c>
      <c r="K970" s="7" t="s">
        <v>28</v>
      </c>
      <c r="L970" s="9" t="str">
        <f>VLOOKUP(K970, 'Alphabetical by species code'!A:B, 2, FALSE)</f>
        <v>Litter</v>
      </c>
      <c r="M970" s="9" t="str">
        <f>VLOOKUP(L970, 'Alphabetical by species code'!B:C, 2, FALSE)</f>
        <v>Ground Cover</v>
      </c>
    </row>
    <row r="971">
      <c r="A971" s="7">
        <v>11.0</v>
      </c>
      <c r="B971" s="7">
        <v>2025.0</v>
      </c>
      <c r="C971" s="8">
        <v>45790.0</v>
      </c>
      <c r="D971" s="7" t="s">
        <v>83</v>
      </c>
      <c r="E971" s="7" t="s">
        <v>75</v>
      </c>
      <c r="F971" s="7">
        <v>1.0</v>
      </c>
      <c r="G971" s="7" t="s">
        <v>63</v>
      </c>
      <c r="H971" s="7">
        <v>1.0</v>
      </c>
      <c r="I971" s="7">
        <v>14.0</v>
      </c>
      <c r="J971" s="7">
        <v>11.0</v>
      </c>
      <c r="K971" s="7" t="s">
        <v>64</v>
      </c>
      <c r="L971" s="9" t="str">
        <f>VLOOKUP(K971, 'Alphabetical by species code'!A:B, 2, FALSE)</f>
        <v>Brassica nigra</v>
      </c>
      <c r="M971" s="9" t="str">
        <f>VLOOKUP(L971, 'Alphabetical by species code'!B:C, 2, FALSE)</f>
        <v>Non-Native</v>
      </c>
    </row>
    <row r="972">
      <c r="A972" s="7">
        <v>11.0</v>
      </c>
      <c r="B972" s="7">
        <v>2025.0</v>
      </c>
      <c r="C972" s="8">
        <v>45790.0</v>
      </c>
      <c r="D972" s="7" t="s">
        <v>83</v>
      </c>
      <c r="E972" s="7" t="s">
        <v>75</v>
      </c>
      <c r="F972" s="7">
        <v>1.0</v>
      </c>
      <c r="G972" s="7" t="s">
        <v>63</v>
      </c>
      <c r="H972" s="7">
        <v>1.0</v>
      </c>
      <c r="I972" s="7">
        <v>15.0</v>
      </c>
      <c r="J972" s="7">
        <v>12.0</v>
      </c>
      <c r="K972" s="7" t="s">
        <v>28</v>
      </c>
      <c r="L972" s="9" t="str">
        <f>VLOOKUP(K972, 'Alphabetical by species code'!A:B, 2, FALSE)</f>
        <v>Litter</v>
      </c>
      <c r="M972" s="9" t="str">
        <f>VLOOKUP(L972, 'Alphabetical by species code'!B:C, 2, FALSE)</f>
        <v>Ground Cover</v>
      </c>
    </row>
    <row r="973">
      <c r="A973" s="7">
        <v>11.0</v>
      </c>
      <c r="B973" s="7">
        <v>2025.0</v>
      </c>
      <c r="C973" s="8">
        <v>45790.0</v>
      </c>
      <c r="D973" s="7" t="s">
        <v>83</v>
      </c>
      <c r="E973" s="7" t="s">
        <v>75</v>
      </c>
      <c r="F973" s="7">
        <v>1.0</v>
      </c>
      <c r="G973" s="7" t="s">
        <v>63</v>
      </c>
      <c r="H973" s="7">
        <v>1.0</v>
      </c>
      <c r="I973" s="7">
        <v>15.0</v>
      </c>
      <c r="J973" s="7">
        <v>12.0</v>
      </c>
      <c r="K973" s="7" t="s">
        <v>29</v>
      </c>
      <c r="L973" s="9" t="str">
        <f>VLOOKUP(K973, 'Alphabetical by species code'!A:B, 2, FALSE)</f>
        <v>Opuntia littoralis</v>
      </c>
      <c r="M973" s="9" t="str">
        <f>VLOOKUP(L973, 'Alphabetical by species code'!B:C, 2, FALSE)</f>
        <v>Native</v>
      </c>
    </row>
    <row r="974">
      <c r="A974" s="7">
        <v>11.0</v>
      </c>
      <c r="B974" s="7">
        <v>2025.0</v>
      </c>
      <c r="C974" s="8">
        <v>45790.0</v>
      </c>
      <c r="D974" s="7" t="s">
        <v>83</v>
      </c>
      <c r="E974" s="7" t="s">
        <v>75</v>
      </c>
      <c r="F974" s="7">
        <v>1.0</v>
      </c>
      <c r="G974" s="7" t="s">
        <v>63</v>
      </c>
      <c r="H974" s="7">
        <v>2.0</v>
      </c>
      <c r="I974" s="7">
        <v>1.0</v>
      </c>
      <c r="J974" s="7">
        <v>0.0</v>
      </c>
      <c r="K974" s="7" t="s">
        <v>28</v>
      </c>
      <c r="L974" s="9" t="str">
        <f>VLOOKUP(K974, 'Alphabetical by species code'!A:B, 2, FALSE)</f>
        <v>Litter</v>
      </c>
      <c r="M974" s="9" t="str">
        <f>VLOOKUP(L974, 'Alphabetical by species code'!B:C, 2, FALSE)</f>
        <v>Ground Cover</v>
      </c>
    </row>
    <row r="975">
      <c r="A975" s="7">
        <v>11.0</v>
      </c>
      <c r="B975" s="7">
        <v>2025.0</v>
      </c>
      <c r="C975" s="8">
        <v>45790.0</v>
      </c>
      <c r="D975" s="7" t="s">
        <v>83</v>
      </c>
      <c r="E975" s="7" t="s">
        <v>75</v>
      </c>
      <c r="F975" s="7">
        <v>1.0</v>
      </c>
      <c r="G975" s="7" t="s">
        <v>63</v>
      </c>
      <c r="H975" s="7">
        <v>2.0</v>
      </c>
      <c r="I975" s="7">
        <v>1.0</v>
      </c>
      <c r="J975" s="7">
        <v>0.0</v>
      </c>
      <c r="K975" s="7" t="s">
        <v>36</v>
      </c>
      <c r="L975" s="9" t="str">
        <f>VLOOKUP(K975, 'Alphabetical by species code'!A:B, 2, FALSE)</f>
        <v>Bromus madritensis</v>
      </c>
      <c r="M975" s="9" t="str">
        <f>VLOOKUP(L975, 'Alphabetical by species code'!B:C, 2, FALSE)</f>
        <v>Non-Native</v>
      </c>
    </row>
    <row r="976">
      <c r="A976" s="7">
        <v>11.0</v>
      </c>
      <c r="B976" s="7">
        <v>2025.0</v>
      </c>
      <c r="C976" s="8">
        <v>45790.0</v>
      </c>
      <c r="D976" s="7" t="s">
        <v>83</v>
      </c>
      <c r="E976" s="7" t="s">
        <v>75</v>
      </c>
      <c r="F976" s="7">
        <v>1.0</v>
      </c>
      <c r="G976" s="7" t="s">
        <v>63</v>
      </c>
      <c r="H976" s="7">
        <v>2.0</v>
      </c>
      <c r="I976" s="7">
        <v>1.0</v>
      </c>
      <c r="J976" s="7">
        <v>0.0</v>
      </c>
      <c r="K976" s="7" t="s">
        <v>29</v>
      </c>
      <c r="L976" s="9" t="str">
        <f>VLOOKUP(K976, 'Alphabetical by species code'!A:B, 2, FALSE)</f>
        <v>Opuntia littoralis</v>
      </c>
      <c r="M976" s="9" t="str">
        <f>VLOOKUP(L976, 'Alphabetical by species code'!B:C, 2, FALSE)</f>
        <v>Native</v>
      </c>
    </row>
    <row r="977">
      <c r="A977" s="7">
        <v>11.0</v>
      </c>
      <c r="B977" s="7">
        <v>2025.0</v>
      </c>
      <c r="C977" s="8">
        <v>45790.0</v>
      </c>
      <c r="D977" s="7" t="s">
        <v>83</v>
      </c>
      <c r="E977" s="7" t="s">
        <v>75</v>
      </c>
      <c r="F977" s="7">
        <v>1.0</v>
      </c>
      <c r="G977" s="7" t="s">
        <v>63</v>
      </c>
      <c r="H977" s="7">
        <v>2.0</v>
      </c>
      <c r="I977" s="7">
        <v>2.0</v>
      </c>
      <c r="J977" s="7">
        <v>1.0</v>
      </c>
      <c r="K977" s="7" t="s">
        <v>28</v>
      </c>
      <c r="L977" s="9" t="str">
        <f>VLOOKUP(K977, 'Alphabetical by species code'!A:B, 2, FALSE)</f>
        <v>Litter</v>
      </c>
      <c r="M977" s="9" t="str">
        <f>VLOOKUP(L977, 'Alphabetical by species code'!B:C, 2, FALSE)</f>
        <v>Ground Cover</v>
      </c>
    </row>
    <row r="978">
      <c r="A978" s="7">
        <v>11.0</v>
      </c>
      <c r="B978" s="7">
        <v>2025.0</v>
      </c>
      <c r="C978" s="8">
        <v>45790.0</v>
      </c>
      <c r="D978" s="7" t="s">
        <v>83</v>
      </c>
      <c r="E978" s="7" t="s">
        <v>75</v>
      </c>
      <c r="F978" s="7">
        <v>1.0</v>
      </c>
      <c r="G978" s="7" t="s">
        <v>63</v>
      </c>
      <c r="H978" s="7">
        <v>2.0</v>
      </c>
      <c r="I978" s="7">
        <v>2.0</v>
      </c>
      <c r="J978" s="7">
        <v>1.0</v>
      </c>
      <c r="K978" s="7" t="s">
        <v>47</v>
      </c>
      <c r="L978" s="9" t="str">
        <f>VLOOKUP(K978, 'Alphabetical by species code'!A:B, 2, FALSE)</f>
        <v>Sonchus species</v>
      </c>
      <c r="M978" s="9" t="str">
        <f>VLOOKUP(L978, 'Alphabetical by species code'!B:C, 2, FALSE)</f>
        <v>Non-Native</v>
      </c>
    </row>
    <row r="979">
      <c r="A979" s="7">
        <v>11.0</v>
      </c>
      <c r="B979" s="7">
        <v>2025.0</v>
      </c>
      <c r="C979" s="8">
        <v>45790.0</v>
      </c>
      <c r="D979" s="7" t="s">
        <v>83</v>
      </c>
      <c r="E979" s="7" t="s">
        <v>75</v>
      </c>
      <c r="F979" s="7">
        <v>1.0</v>
      </c>
      <c r="G979" s="7" t="s">
        <v>63</v>
      </c>
      <c r="H979" s="7">
        <v>2.0</v>
      </c>
      <c r="I979" s="7">
        <v>2.0</v>
      </c>
      <c r="J979" s="7">
        <v>1.0</v>
      </c>
      <c r="K979" s="7" t="s">
        <v>67</v>
      </c>
      <c r="L979" s="9" t="str">
        <f>VLOOKUP(K979, 'Alphabetical by species code'!A:B, 2, FALSE)</f>
        <v>Galium aparine</v>
      </c>
      <c r="M979" s="9" t="str">
        <f>VLOOKUP(L979, 'Alphabetical by species code'!B:C, 2, FALSE)</f>
        <v>Native</v>
      </c>
    </row>
    <row r="980">
      <c r="A980" s="7">
        <v>11.0</v>
      </c>
      <c r="B980" s="7">
        <v>2025.0</v>
      </c>
      <c r="C980" s="8">
        <v>45790.0</v>
      </c>
      <c r="D980" s="7" t="s">
        <v>83</v>
      </c>
      <c r="E980" s="7" t="s">
        <v>75</v>
      </c>
      <c r="F980" s="7">
        <v>1.0</v>
      </c>
      <c r="G980" s="7" t="s">
        <v>63</v>
      </c>
      <c r="H980" s="7">
        <v>2.0</v>
      </c>
      <c r="I980" s="7">
        <v>3.0</v>
      </c>
      <c r="J980" s="7">
        <v>1.5</v>
      </c>
      <c r="K980" s="7" t="s">
        <v>52</v>
      </c>
      <c r="L980" s="9" t="str">
        <f>VLOOKUP(K980, 'Alphabetical by species code'!A:B, 2, FALSE)</f>
        <v>Rock</v>
      </c>
      <c r="M980" s="9" t="str">
        <f>VLOOKUP(L980, 'Alphabetical by species code'!B:C, 2, FALSE)</f>
        <v>Ground Cover</v>
      </c>
    </row>
    <row r="981">
      <c r="A981" s="7">
        <v>11.0</v>
      </c>
      <c r="B981" s="7">
        <v>2025.0</v>
      </c>
      <c r="C981" s="8">
        <v>45790.0</v>
      </c>
      <c r="D981" s="7" t="s">
        <v>83</v>
      </c>
      <c r="E981" s="7" t="s">
        <v>75</v>
      </c>
      <c r="F981" s="7">
        <v>1.0</v>
      </c>
      <c r="G981" s="7" t="s">
        <v>63</v>
      </c>
      <c r="H981" s="7">
        <v>2.0</v>
      </c>
      <c r="I981" s="7">
        <v>4.0</v>
      </c>
      <c r="J981" s="7">
        <v>2.0</v>
      </c>
      <c r="K981" s="7" t="s">
        <v>28</v>
      </c>
      <c r="L981" s="9" t="str">
        <f>VLOOKUP(K981, 'Alphabetical by species code'!A:B, 2, FALSE)</f>
        <v>Litter</v>
      </c>
      <c r="M981" s="9" t="str">
        <f>VLOOKUP(L981, 'Alphabetical by species code'!B:C, 2, FALSE)</f>
        <v>Ground Cover</v>
      </c>
    </row>
    <row r="982">
      <c r="A982" s="7">
        <v>11.0</v>
      </c>
      <c r="B982" s="7">
        <v>2025.0</v>
      </c>
      <c r="C982" s="8">
        <v>45790.0</v>
      </c>
      <c r="D982" s="7" t="s">
        <v>83</v>
      </c>
      <c r="E982" s="7" t="s">
        <v>75</v>
      </c>
      <c r="F982" s="7">
        <v>1.0</v>
      </c>
      <c r="G982" s="7" t="s">
        <v>63</v>
      </c>
      <c r="H982" s="7">
        <v>2.0</v>
      </c>
      <c r="I982" s="7">
        <v>5.0</v>
      </c>
      <c r="J982" s="7">
        <v>3.0</v>
      </c>
      <c r="K982" s="7" t="s">
        <v>28</v>
      </c>
      <c r="L982" s="9" t="str">
        <f>VLOOKUP(K982, 'Alphabetical by species code'!A:B, 2, FALSE)</f>
        <v>Litter</v>
      </c>
      <c r="M982" s="9" t="str">
        <f>VLOOKUP(L982, 'Alphabetical by species code'!B:C, 2, FALSE)</f>
        <v>Ground Cover</v>
      </c>
    </row>
    <row r="983">
      <c r="A983" s="7">
        <v>11.0</v>
      </c>
      <c r="B983" s="7">
        <v>2025.0</v>
      </c>
      <c r="C983" s="8">
        <v>45790.0</v>
      </c>
      <c r="D983" s="7" t="s">
        <v>83</v>
      </c>
      <c r="E983" s="7" t="s">
        <v>75</v>
      </c>
      <c r="F983" s="7">
        <v>1.0</v>
      </c>
      <c r="G983" s="7" t="s">
        <v>63</v>
      </c>
      <c r="H983" s="7">
        <v>2.0</v>
      </c>
      <c r="I983" s="7">
        <v>5.0</v>
      </c>
      <c r="J983" s="7">
        <v>3.0</v>
      </c>
      <c r="K983" s="7" t="s">
        <v>35</v>
      </c>
      <c r="L983" s="9" t="str">
        <f>VLOOKUP(K983, 'Alphabetical by species code'!A:B, 2, FALSE)</f>
        <v>Deinandra fasciculata</v>
      </c>
      <c r="M983" s="9" t="str">
        <f>VLOOKUP(L983, 'Alphabetical by species code'!B:C, 2, FALSE)</f>
        <v>Native</v>
      </c>
    </row>
    <row r="984">
      <c r="A984" s="7">
        <v>11.0</v>
      </c>
      <c r="B984" s="7">
        <v>2025.0</v>
      </c>
      <c r="C984" s="8">
        <v>45790.0</v>
      </c>
      <c r="D984" s="7" t="s">
        <v>83</v>
      </c>
      <c r="E984" s="7" t="s">
        <v>75</v>
      </c>
      <c r="F984" s="7">
        <v>1.0</v>
      </c>
      <c r="G984" s="7" t="s">
        <v>63</v>
      </c>
      <c r="H984" s="7">
        <v>2.0</v>
      </c>
      <c r="I984" s="7">
        <v>5.0</v>
      </c>
      <c r="J984" s="7">
        <v>3.0</v>
      </c>
      <c r="K984" s="7" t="s">
        <v>31</v>
      </c>
      <c r="L984" s="9" t="str">
        <f>VLOOKUP(K984, 'Alphabetical by species code'!A:B, 2, FALSE)</f>
        <v>Festuca myuros</v>
      </c>
      <c r="M984" s="9" t="str">
        <f>VLOOKUP(L984, 'Alphabetical by species code'!B:C, 2, FALSE)</f>
        <v>Non-Native</v>
      </c>
    </row>
    <row r="985">
      <c r="A985" s="7">
        <v>11.0</v>
      </c>
      <c r="B985" s="7">
        <v>2025.0</v>
      </c>
      <c r="C985" s="8">
        <v>45790.0</v>
      </c>
      <c r="D985" s="7" t="s">
        <v>83</v>
      </c>
      <c r="E985" s="7" t="s">
        <v>75</v>
      </c>
      <c r="F985" s="7">
        <v>1.0</v>
      </c>
      <c r="G985" s="7" t="s">
        <v>63</v>
      </c>
      <c r="H985" s="7">
        <v>2.0</v>
      </c>
      <c r="I985" s="7">
        <v>6.0</v>
      </c>
      <c r="J985" s="7">
        <v>3.5</v>
      </c>
      <c r="K985" s="7" t="s">
        <v>28</v>
      </c>
      <c r="L985" s="9" t="str">
        <f>VLOOKUP(K985, 'Alphabetical by species code'!A:B, 2, FALSE)</f>
        <v>Litter</v>
      </c>
      <c r="M985" s="9" t="str">
        <f>VLOOKUP(L985, 'Alphabetical by species code'!B:C, 2, FALSE)</f>
        <v>Ground Cover</v>
      </c>
    </row>
    <row r="986">
      <c r="A986" s="7">
        <v>11.0</v>
      </c>
      <c r="B986" s="7">
        <v>2025.0</v>
      </c>
      <c r="C986" s="8">
        <v>45790.0</v>
      </c>
      <c r="D986" s="7" t="s">
        <v>83</v>
      </c>
      <c r="E986" s="7" t="s">
        <v>75</v>
      </c>
      <c r="F986" s="7">
        <v>1.0</v>
      </c>
      <c r="G986" s="7" t="s">
        <v>63</v>
      </c>
      <c r="H986" s="7">
        <v>2.0</v>
      </c>
      <c r="I986" s="7">
        <v>6.0</v>
      </c>
      <c r="J986" s="7">
        <v>3.5</v>
      </c>
      <c r="K986" s="7" t="s">
        <v>31</v>
      </c>
      <c r="L986" s="9" t="str">
        <f>VLOOKUP(K986, 'Alphabetical by species code'!A:B, 2, FALSE)</f>
        <v>Festuca myuros</v>
      </c>
      <c r="M986" s="9" t="str">
        <f>VLOOKUP(L986, 'Alphabetical by species code'!B:C, 2, FALSE)</f>
        <v>Non-Native</v>
      </c>
    </row>
    <row r="987">
      <c r="A987" s="7">
        <v>11.0</v>
      </c>
      <c r="B987" s="7">
        <v>2025.0</v>
      </c>
      <c r="C987" s="8">
        <v>45790.0</v>
      </c>
      <c r="D987" s="7" t="s">
        <v>83</v>
      </c>
      <c r="E987" s="7" t="s">
        <v>75</v>
      </c>
      <c r="F987" s="7">
        <v>1.0</v>
      </c>
      <c r="G987" s="7" t="s">
        <v>63</v>
      </c>
      <c r="H987" s="7">
        <v>2.0</v>
      </c>
      <c r="I987" s="7">
        <v>7.0</v>
      </c>
      <c r="J987" s="7">
        <v>4.0</v>
      </c>
      <c r="K987" s="7" t="s">
        <v>28</v>
      </c>
      <c r="L987" s="9" t="str">
        <f>VLOOKUP(K987, 'Alphabetical by species code'!A:B, 2, FALSE)</f>
        <v>Litter</v>
      </c>
      <c r="M987" s="9" t="str">
        <f>VLOOKUP(L987, 'Alphabetical by species code'!B:C, 2, FALSE)</f>
        <v>Ground Cover</v>
      </c>
    </row>
    <row r="988">
      <c r="A988" s="7">
        <v>11.0</v>
      </c>
      <c r="B988" s="7">
        <v>2025.0</v>
      </c>
      <c r="C988" s="8">
        <v>45790.0</v>
      </c>
      <c r="D988" s="7" t="s">
        <v>83</v>
      </c>
      <c r="E988" s="7" t="s">
        <v>75</v>
      </c>
      <c r="F988" s="7">
        <v>1.0</v>
      </c>
      <c r="G988" s="7" t="s">
        <v>63</v>
      </c>
      <c r="H988" s="7">
        <v>2.0</v>
      </c>
      <c r="I988" s="7">
        <v>7.0</v>
      </c>
      <c r="J988" s="7">
        <v>4.0</v>
      </c>
      <c r="K988" s="7" t="s">
        <v>36</v>
      </c>
      <c r="L988" s="9" t="str">
        <f>VLOOKUP(K988, 'Alphabetical by species code'!A:B, 2, FALSE)</f>
        <v>Bromus madritensis</v>
      </c>
      <c r="M988" s="9" t="str">
        <f>VLOOKUP(L988, 'Alphabetical by species code'!B:C, 2, FALSE)</f>
        <v>Non-Native</v>
      </c>
    </row>
    <row r="989">
      <c r="A989" s="7">
        <v>11.0</v>
      </c>
      <c r="B989" s="7">
        <v>2025.0</v>
      </c>
      <c r="C989" s="8">
        <v>45790.0</v>
      </c>
      <c r="D989" s="7" t="s">
        <v>83</v>
      </c>
      <c r="E989" s="7" t="s">
        <v>75</v>
      </c>
      <c r="F989" s="7">
        <v>1.0</v>
      </c>
      <c r="G989" s="7" t="s">
        <v>63</v>
      </c>
      <c r="H989" s="7">
        <v>2.0</v>
      </c>
      <c r="I989" s="7">
        <v>8.0</v>
      </c>
      <c r="J989" s="7">
        <v>5.0</v>
      </c>
      <c r="K989" s="7" t="s">
        <v>28</v>
      </c>
      <c r="L989" s="9" t="str">
        <f>VLOOKUP(K989, 'Alphabetical by species code'!A:B, 2, FALSE)</f>
        <v>Litter</v>
      </c>
      <c r="M989" s="9" t="str">
        <f>VLOOKUP(L989, 'Alphabetical by species code'!B:C, 2, FALSE)</f>
        <v>Ground Cover</v>
      </c>
    </row>
    <row r="990">
      <c r="A990" s="7">
        <v>11.0</v>
      </c>
      <c r="B990" s="7">
        <v>2025.0</v>
      </c>
      <c r="C990" s="8">
        <v>45790.0</v>
      </c>
      <c r="D990" s="7" t="s">
        <v>83</v>
      </c>
      <c r="E990" s="7" t="s">
        <v>75</v>
      </c>
      <c r="F990" s="7">
        <v>1.0</v>
      </c>
      <c r="G990" s="7" t="s">
        <v>63</v>
      </c>
      <c r="H990" s="7">
        <v>2.0</v>
      </c>
      <c r="I990" s="7">
        <v>8.0</v>
      </c>
      <c r="J990" s="7">
        <v>5.0</v>
      </c>
      <c r="K990" s="7" t="s">
        <v>35</v>
      </c>
      <c r="L990" s="9" t="str">
        <f>VLOOKUP(K990, 'Alphabetical by species code'!A:B, 2, FALSE)</f>
        <v>Deinandra fasciculata</v>
      </c>
      <c r="M990" s="9" t="str">
        <f>VLOOKUP(L990, 'Alphabetical by species code'!B:C, 2, FALSE)</f>
        <v>Native</v>
      </c>
    </row>
    <row r="991">
      <c r="A991" s="7">
        <v>11.0</v>
      </c>
      <c r="B991" s="7">
        <v>2025.0</v>
      </c>
      <c r="C991" s="8">
        <v>45790.0</v>
      </c>
      <c r="D991" s="7" t="s">
        <v>83</v>
      </c>
      <c r="E991" s="7" t="s">
        <v>75</v>
      </c>
      <c r="F991" s="7">
        <v>1.0</v>
      </c>
      <c r="G991" s="7" t="s">
        <v>63</v>
      </c>
      <c r="H991" s="7">
        <v>2.0</v>
      </c>
      <c r="I991" s="7">
        <v>8.0</v>
      </c>
      <c r="J991" s="7">
        <v>5.0</v>
      </c>
      <c r="K991" s="7" t="s">
        <v>36</v>
      </c>
      <c r="L991" s="9" t="str">
        <f>VLOOKUP(K991, 'Alphabetical by species code'!A:B, 2, FALSE)</f>
        <v>Bromus madritensis</v>
      </c>
      <c r="M991" s="9" t="str">
        <f>VLOOKUP(L991, 'Alphabetical by species code'!B:C, 2, FALSE)</f>
        <v>Non-Native</v>
      </c>
    </row>
    <row r="992">
      <c r="A992" s="7">
        <v>11.0</v>
      </c>
      <c r="B992" s="7">
        <v>2025.0</v>
      </c>
      <c r="C992" s="8">
        <v>45790.0</v>
      </c>
      <c r="D992" s="7" t="s">
        <v>83</v>
      </c>
      <c r="E992" s="7" t="s">
        <v>75</v>
      </c>
      <c r="F992" s="7">
        <v>1.0</v>
      </c>
      <c r="G992" s="7" t="s">
        <v>63</v>
      </c>
      <c r="H992" s="7">
        <v>2.0</v>
      </c>
      <c r="I992" s="7">
        <v>9.0</v>
      </c>
      <c r="J992" s="7">
        <v>7.0</v>
      </c>
      <c r="K992" s="7" t="s">
        <v>28</v>
      </c>
      <c r="L992" s="9" t="str">
        <f>VLOOKUP(K992, 'Alphabetical by species code'!A:B, 2, FALSE)</f>
        <v>Litter</v>
      </c>
      <c r="M992" s="9" t="str">
        <f>VLOOKUP(L992, 'Alphabetical by species code'!B:C, 2, FALSE)</f>
        <v>Ground Cover</v>
      </c>
    </row>
    <row r="993">
      <c r="A993" s="7">
        <v>11.0</v>
      </c>
      <c r="B993" s="7">
        <v>2025.0</v>
      </c>
      <c r="C993" s="8">
        <v>45790.0</v>
      </c>
      <c r="D993" s="7" t="s">
        <v>83</v>
      </c>
      <c r="E993" s="7" t="s">
        <v>75</v>
      </c>
      <c r="F993" s="7">
        <v>1.0</v>
      </c>
      <c r="G993" s="7" t="s">
        <v>63</v>
      </c>
      <c r="H993" s="7">
        <v>2.0</v>
      </c>
      <c r="I993" s="7">
        <v>9.0</v>
      </c>
      <c r="J993" s="7">
        <v>7.0</v>
      </c>
      <c r="K993" s="7" t="s">
        <v>35</v>
      </c>
      <c r="L993" s="9" t="str">
        <f>VLOOKUP(K993, 'Alphabetical by species code'!A:B, 2, FALSE)</f>
        <v>Deinandra fasciculata</v>
      </c>
      <c r="M993" s="9" t="str">
        <f>VLOOKUP(L993, 'Alphabetical by species code'!B:C, 2, FALSE)</f>
        <v>Native</v>
      </c>
    </row>
    <row r="994">
      <c r="A994" s="7">
        <v>11.0</v>
      </c>
      <c r="B994" s="7">
        <v>2025.0</v>
      </c>
      <c r="C994" s="8">
        <v>45790.0</v>
      </c>
      <c r="D994" s="7" t="s">
        <v>83</v>
      </c>
      <c r="E994" s="7" t="s">
        <v>75</v>
      </c>
      <c r="F994" s="7">
        <v>1.0</v>
      </c>
      <c r="G994" s="7" t="s">
        <v>63</v>
      </c>
      <c r="H994" s="7">
        <v>2.0</v>
      </c>
      <c r="I994" s="7">
        <v>9.0</v>
      </c>
      <c r="J994" s="7">
        <v>7.0</v>
      </c>
      <c r="K994" s="7" t="s">
        <v>47</v>
      </c>
      <c r="L994" s="9" t="str">
        <f>VLOOKUP(K994, 'Alphabetical by species code'!A:B, 2, FALSE)</f>
        <v>Sonchus species</v>
      </c>
      <c r="M994" s="9" t="str">
        <f>VLOOKUP(L994, 'Alphabetical by species code'!B:C, 2, FALSE)</f>
        <v>Non-Native</v>
      </c>
    </row>
    <row r="995">
      <c r="A995" s="7">
        <v>11.0</v>
      </c>
      <c r="B995" s="7">
        <v>2025.0</v>
      </c>
      <c r="C995" s="8">
        <v>45790.0</v>
      </c>
      <c r="D995" s="7" t="s">
        <v>83</v>
      </c>
      <c r="E995" s="7" t="s">
        <v>75</v>
      </c>
      <c r="F995" s="7">
        <v>1.0</v>
      </c>
      <c r="G995" s="7" t="s">
        <v>63</v>
      </c>
      <c r="H995" s="7">
        <v>2.0</v>
      </c>
      <c r="I995" s="7">
        <v>9.0</v>
      </c>
      <c r="J995" s="7">
        <v>7.0</v>
      </c>
      <c r="K995" s="7" t="s">
        <v>84</v>
      </c>
      <c r="L995" s="9" t="str">
        <f>VLOOKUP(K995, 'Alphabetical by species code'!A:B, 2, FALSE)</f>
        <v>Bromus diandrus</v>
      </c>
      <c r="M995" s="9" t="str">
        <f>VLOOKUP(L995, 'Alphabetical by species code'!B:C, 2, FALSE)</f>
        <v>Non-Native</v>
      </c>
    </row>
    <row r="996">
      <c r="A996" s="7">
        <v>11.0</v>
      </c>
      <c r="B996" s="7">
        <v>2025.0</v>
      </c>
      <c r="C996" s="8">
        <v>45790.0</v>
      </c>
      <c r="D996" s="7" t="s">
        <v>83</v>
      </c>
      <c r="E996" s="7" t="s">
        <v>75</v>
      </c>
      <c r="F996" s="7">
        <v>1.0</v>
      </c>
      <c r="G996" s="7" t="s">
        <v>63</v>
      </c>
      <c r="H996" s="7">
        <v>2.0</v>
      </c>
      <c r="I996" s="7">
        <v>10.0</v>
      </c>
      <c r="J996" s="7">
        <v>8.0</v>
      </c>
      <c r="K996" s="7" t="s">
        <v>28</v>
      </c>
      <c r="L996" s="9" t="str">
        <f>VLOOKUP(K996, 'Alphabetical by species code'!A:B, 2, FALSE)</f>
        <v>Litter</v>
      </c>
      <c r="M996" s="9" t="str">
        <f>VLOOKUP(L996, 'Alphabetical by species code'!B:C, 2, FALSE)</f>
        <v>Ground Cover</v>
      </c>
    </row>
    <row r="997">
      <c r="A997" s="7">
        <v>11.0</v>
      </c>
      <c r="B997" s="7">
        <v>2025.0</v>
      </c>
      <c r="C997" s="8">
        <v>45790.0</v>
      </c>
      <c r="D997" s="7" t="s">
        <v>83</v>
      </c>
      <c r="E997" s="7" t="s">
        <v>75</v>
      </c>
      <c r="F997" s="7">
        <v>1.0</v>
      </c>
      <c r="G997" s="7" t="s">
        <v>63</v>
      </c>
      <c r="H997" s="7">
        <v>2.0</v>
      </c>
      <c r="I997" s="7">
        <v>10.0</v>
      </c>
      <c r="J997" s="7">
        <v>8.0</v>
      </c>
      <c r="K997" s="7" t="s">
        <v>35</v>
      </c>
      <c r="L997" s="9" t="str">
        <f>VLOOKUP(K997, 'Alphabetical by species code'!A:B, 2, FALSE)</f>
        <v>Deinandra fasciculata</v>
      </c>
      <c r="M997" s="9" t="str">
        <f>VLOOKUP(L997, 'Alphabetical by species code'!B:C, 2, FALSE)</f>
        <v>Native</v>
      </c>
    </row>
    <row r="998">
      <c r="A998" s="7">
        <v>11.0</v>
      </c>
      <c r="B998" s="7">
        <v>2025.0</v>
      </c>
      <c r="C998" s="8">
        <v>45790.0</v>
      </c>
      <c r="D998" s="7" t="s">
        <v>83</v>
      </c>
      <c r="E998" s="7" t="s">
        <v>75</v>
      </c>
      <c r="F998" s="7">
        <v>1.0</v>
      </c>
      <c r="G998" s="7" t="s">
        <v>63</v>
      </c>
      <c r="H998" s="7">
        <v>2.0</v>
      </c>
      <c r="I998" s="7">
        <v>10.0</v>
      </c>
      <c r="J998" s="7">
        <v>8.0</v>
      </c>
      <c r="K998" s="7" t="s">
        <v>31</v>
      </c>
      <c r="L998" s="9" t="str">
        <f>VLOOKUP(K998, 'Alphabetical by species code'!A:B, 2, FALSE)</f>
        <v>Festuca myuros</v>
      </c>
      <c r="M998" s="9" t="str">
        <f>VLOOKUP(L998, 'Alphabetical by species code'!B:C, 2, FALSE)</f>
        <v>Non-Native</v>
      </c>
    </row>
    <row r="999">
      <c r="A999" s="7">
        <v>11.0</v>
      </c>
      <c r="B999" s="7">
        <v>2025.0</v>
      </c>
      <c r="C999" s="8">
        <v>45790.0</v>
      </c>
      <c r="D999" s="7" t="s">
        <v>83</v>
      </c>
      <c r="E999" s="7" t="s">
        <v>75</v>
      </c>
      <c r="F999" s="7">
        <v>1.0</v>
      </c>
      <c r="G999" s="7" t="s">
        <v>63</v>
      </c>
      <c r="H999" s="7">
        <v>2.0</v>
      </c>
      <c r="I999" s="7">
        <v>11.0</v>
      </c>
      <c r="J999" s="7">
        <v>8.5</v>
      </c>
      <c r="K999" s="7" t="s">
        <v>28</v>
      </c>
      <c r="L999" s="9" t="str">
        <f>VLOOKUP(K999, 'Alphabetical by species code'!A:B, 2, FALSE)</f>
        <v>Litter</v>
      </c>
      <c r="M999" s="9" t="str">
        <f>VLOOKUP(L999, 'Alphabetical by species code'!B:C, 2, FALSE)</f>
        <v>Ground Cover</v>
      </c>
    </row>
    <row r="1000">
      <c r="A1000" s="7">
        <v>11.0</v>
      </c>
      <c r="B1000" s="7">
        <v>2025.0</v>
      </c>
      <c r="C1000" s="8">
        <v>45790.0</v>
      </c>
      <c r="D1000" s="7" t="s">
        <v>83</v>
      </c>
      <c r="E1000" s="7" t="s">
        <v>75</v>
      </c>
      <c r="F1000" s="7">
        <v>1.0</v>
      </c>
      <c r="G1000" s="7" t="s">
        <v>63</v>
      </c>
      <c r="H1000" s="7">
        <v>2.0</v>
      </c>
      <c r="I1000" s="7">
        <v>11.0</v>
      </c>
      <c r="J1000" s="7">
        <v>8.5</v>
      </c>
      <c r="K1000" s="7" t="s">
        <v>64</v>
      </c>
      <c r="L1000" s="9" t="str">
        <f>VLOOKUP(K1000, 'Alphabetical by species code'!A:B, 2, FALSE)</f>
        <v>Brassica nigra</v>
      </c>
      <c r="M1000" s="9" t="str">
        <f>VLOOKUP(L1000, 'Alphabetical by species code'!B:C, 2, FALSE)</f>
        <v>Non-Native</v>
      </c>
    </row>
    <row r="1001">
      <c r="A1001" s="7">
        <v>11.0</v>
      </c>
      <c r="B1001" s="7">
        <v>2025.0</v>
      </c>
      <c r="C1001" s="8">
        <v>45790.0</v>
      </c>
      <c r="D1001" s="7" t="s">
        <v>83</v>
      </c>
      <c r="E1001" s="7" t="s">
        <v>75</v>
      </c>
      <c r="F1001" s="7">
        <v>1.0</v>
      </c>
      <c r="G1001" s="7" t="s">
        <v>63</v>
      </c>
      <c r="H1001" s="7">
        <v>2.0</v>
      </c>
      <c r="I1001" s="7">
        <v>11.0</v>
      </c>
      <c r="J1001" s="7">
        <v>8.5</v>
      </c>
      <c r="K1001" s="7" t="s">
        <v>35</v>
      </c>
      <c r="L1001" s="9" t="str">
        <f>VLOOKUP(K1001, 'Alphabetical by species code'!A:B, 2, FALSE)</f>
        <v>Deinandra fasciculata</v>
      </c>
      <c r="M1001" s="9" t="str">
        <f>VLOOKUP(L1001, 'Alphabetical by species code'!B:C, 2, FALSE)</f>
        <v>Native</v>
      </c>
    </row>
    <row r="1002">
      <c r="A1002" s="7">
        <v>11.0</v>
      </c>
      <c r="B1002" s="7">
        <v>2025.0</v>
      </c>
      <c r="C1002" s="8">
        <v>45790.0</v>
      </c>
      <c r="D1002" s="7" t="s">
        <v>83</v>
      </c>
      <c r="E1002" s="7" t="s">
        <v>75</v>
      </c>
      <c r="F1002" s="7">
        <v>1.0</v>
      </c>
      <c r="G1002" s="7" t="s">
        <v>63</v>
      </c>
      <c r="H1002" s="7">
        <v>2.0</v>
      </c>
      <c r="I1002" s="7">
        <v>12.0</v>
      </c>
      <c r="J1002" s="7">
        <v>9.0</v>
      </c>
      <c r="K1002" s="7" t="s">
        <v>28</v>
      </c>
      <c r="L1002" s="9" t="str">
        <f>VLOOKUP(K1002, 'Alphabetical by species code'!A:B, 2, FALSE)</f>
        <v>Litter</v>
      </c>
      <c r="M1002" s="9" t="str">
        <f>VLOOKUP(L1002, 'Alphabetical by species code'!B:C, 2, FALSE)</f>
        <v>Ground Cover</v>
      </c>
    </row>
    <row r="1003">
      <c r="A1003" s="7">
        <v>11.0</v>
      </c>
      <c r="B1003" s="7">
        <v>2025.0</v>
      </c>
      <c r="C1003" s="8">
        <v>45790.0</v>
      </c>
      <c r="D1003" s="7" t="s">
        <v>83</v>
      </c>
      <c r="E1003" s="7" t="s">
        <v>75</v>
      </c>
      <c r="F1003" s="7">
        <v>1.0</v>
      </c>
      <c r="G1003" s="7" t="s">
        <v>63</v>
      </c>
      <c r="H1003" s="7">
        <v>2.0</v>
      </c>
      <c r="I1003" s="7">
        <v>12.0</v>
      </c>
      <c r="J1003" s="7">
        <v>9.0</v>
      </c>
      <c r="K1003" s="7" t="s">
        <v>35</v>
      </c>
      <c r="L1003" s="9" t="str">
        <f>VLOOKUP(K1003, 'Alphabetical by species code'!A:B, 2, FALSE)</f>
        <v>Deinandra fasciculata</v>
      </c>
      <c r="M1003" s="9" t="str">
        <f>VLOOKUP(L1003, 'Alphabetical by species code'!B:C, 2, FALSE)</f>
        <v>Native</v>
      </c>
    </row>
    <row r="1004">
      <c r="A1004" s="7">
        <v>11.0</v>
      </c>
      <c r="B1004" s="7">
        <v>2025.0</v>
      </c>
      <c r="C1004" s="8">
        <v>45790.0</v>
      </c>
      <c r="D1004" s="7" t="s">
        <v>83</v>
      </c>
      <c r="E1004" s="7" t="s">
        <v>75</v>
      </c>
      <c r="F1004" s="7">
        <v>1.0</v>
      </c>
      <c r="G1004" s="7" t="s">
        <v>63</v>
      </c>
      <c r="H1004" s="7">
        <v>2.0</v>
      </c>
      <c r="I1004" s="7">
        <v>12.0</v>
      </c>
      <c r="J1004" s="7">
        <v>9.0</v>
      </c>
      <c r="K1004" s="7" t="s">
        <v>47</v>
      </c>
      <c r="L1004" s="9" t="str">
        <f>VLOOKUP(K1004, 'Alphabetical by species code'!A:B, 2, FALSE)</f>
        <v>Sonchus species</v>
      </c>
      <c r="M1004" s="9" t="str">
        <f>VLOOKUP(L1004, 'Alphabetical by species code'!B:C, 2, FALSE)</f>
        <v>Non-Native</v>
      </c>
    </row>
    <row r="1005">
      <c r="A1005" s="7">
        <v>11.0</v>
      </c>
      <c r="B1005" s="7">
        <v>2025.0</v>
      </c>
      <c r="C1005" s="8">
        <v>45790.0</v>
      </c>
      <c r="D1005" s="7" t="s">
        <v>83</v>
      </c>
      <c r="E1005" s="7" t="s">
        <v>75</v>
      </c>
      <c r="F1005" s="7">
        <v>1.0</v>
      </c>
      <c r="G1005" s="7" t="s">
        <v>63</v>
      </c>
      <c r="H1005" s="7">
        <v>2.0</v>
      </c>
      <c r="I1005" s="7">
        <v>13.0</v>
      </c>
      <c r="J1005" s="7">
        <v>10.0</v>
      </c>
      <c r="K1005" s="7" t="s">
        <v>28</v>
      </c>
      <c r="L1005" s="9" t="str">
        <f>VLOOKUP(K1005, 'Alphabetical by species code'!A:B, 2, FALSE)</f>
        <v>Litter</v>
      </c>
      <c r="M1005" s="9" t="str">
        <f>VLOOKUP(L1005, 'Alphabetical by species code'!B:C, 2, FALSE)</f>
        <v>Ground Cover</v>
      </c>
    </row>
    <row r="1006">
      <c r="A1006" s="7">
        <v>11.0</v>
      </c>
      <c r="B1006" s="7">
        <v>2025.0</v>
      </c>
      <c r="C1006" s="8">
        <v>45790.0</v>
      </c>
      <c r="D1006" s="7" t="s">
        <v>83</v>
      </c>
      <c r="E1006" s="7" t="s">
        <v>75</v>
      </c>
      <c r="F1006" s="7">
        <v>1.0</v>
      </c>
      <c r="G1006" s="7" t="s">
        <v>63</v>
      </c>
      <c r="H1006" s="7">
        <v>2.0</v>
      </c>
      <c r="I1006" s="7">
        <v>13.0</v>
      </c>
      <c r="J1006" s="7">
        <v>10.0</v>
      </c>
      <c r="K1006" s="7" t="s">
        <v>64</v>
      </c>
      <c r="L1006" s="9" t="str">
        <f>VLOOKUP(K1006, 'Alphabetical by species code'!A:B, 2, FALSE)</f>
        <v>Brassica nigra</v>
      </c>
      <c r="M1006" s="9" t="str">
        <f>VLOOKUP(L1006, 'Alphabetical by species code'!B:C, 2, FALSE)</f>
        <v>Non-Native</v>
      </c>
    </row>
    <row r="1007">
      <c r="A1007" s="7">
        <v>11.0</v>
      </c>
      <c r="B1007" s="7">
        <v>2025.0</v>
      </c>
      <c r="C1007" s="8">
        <v>45790.0</v>
      </c>
      <c r="D1007" s="7" t="s">
        <v>83</v>
      </c>
      <c r="E1007" s="7" t="s">
        <v>75</v>
      </c>
      <c r="F1007" s="7">
        <v>1.0</v>
      </c>
      <c r="G1007" s="7" t="s">
        <v>63</v>
      </c>
      <c r="H1007" s="7">
        <v>2.0</v>
      </c>
      <c r="I1007" s="7">
        <v>14.0</v>
      </c>
      <c r="J1007" s="7">
        <v>11.0</v>
      </c>
      <c r="K1007" s="7" t="s">
        <v>28</v>
      </c>
      <c r="L1007" s="9" t="str">
        <f>VLOOKUP(K1007, 'Alphabetical by species code'!A:B, 2, FALSE)</f>
        <v>Litter</v>
      </c>
      <c r="M1007" s="9" t="str">
        <f>VLOOKUP(L1007, 'Alphabetical by species code'!B:C, 2, FALSE)</f>
        <v>Ground Cover</v>
      </c>
    </row>
    <row r="1008">
      <c r="A1008" s="7">
        <v>11.0</v>
      </c>
      <c r="B1008" s="7">
        <v>2025.0</v>
      </c>
      <c r="C1008" s="8">
        <v>45790.0</v>
      </c>
      <c r="D1008" s="7" t="s">
        <v>83</v>
      </c>
      <c r="E1008" s="7" t="s">
        <v>75</v>
      </c>
      <c r="F1008" s="7">
        <v>1.0</v>
      </c>
      <c r="G1008" s="7" t="s">
        <v>63</v>
      </c>
      <c r="H1008" s="7">
        <v>2.0</v>
      </c>
      <c r="I1008" s="7">
        <v>14.0</v>
      </c>
      <c r="J1008" s="7">
        <v>11.0</v>
      </c>
      <c r="K1008" s="7" t="s">
        <v>64</v>
      </c>
      <c r="L1008" s="9" t="str">
        <f>VLOOKUP(K1008, 'Alphabetical by species code'!A:B, 2, FALSE)</f>
        <v>Brassica nigra</v>
      </c>
      <c r="M1008" s="9" t="str">
        <f>VLOOKUP(L1008, 'Alphabetical by species code'!B:C, 2, FALSE)</f>
        <v>Non-Native</v>
      </c>
    </row>
    <row r="1009">
      <c r="A1009" s="7">
        <v>11.0</v>
      </c>
      <c r="B1009" s="7">
        <v>2025.0</v>
      </c>
      <c r="C1009" s="8">
        <v>45790.0</v>
      </c>
      <c r="D1009" s="7" t="s">
        <v>83</v>
      </c>
      <c r="E1009" s="7" t="s">
        <v>75</v>
      </c>
      <c r="F1009" s="7">
        <v>1.0</v>
      </c>
      <c r="G1009" s="7" t="s">
        <v>63</v>
      </c>
      <c r="H1009" s="7">
        <v>2.0</v>
      </c>
      <c r="I1009" s="7">
        <v>14.0</v>
      </c>
      <c r="J1009" s="7">
        <v>11.0</v>
      </c>
      <c r="K1009" s="7" t="s">
        <v>35</v>
      </c>
      <c r="L1009" s="9" t="str">
        <f>VLOOKUP(K1009, 'Alphabetical by species code'!A:B, 2, FALSE)</f>
        <v>Deinandra fasciculata</v>
      </c>
      <c r="M1009" s="9" t="str">
        <f>VLOOKUP(L1009, 'Alphabetical by species code'!B:C, 2, FALSE)</f>
        <v>Native</v>
      </c>
    </row>
    <row r="1010">
      <c r="A1010" s="7">
        <v>11.0</v>
      </c>
      <c r="B1010" s="7">
        <v>2025.0</v>
      </c>
      <c r="C1010" s="8">
        <v>45790.0</v>
      </c>
      <c r="D1010" s="7" t="s">
        <v>83</v>
      </c>
      <c r="E1010" s="7" t="s">
        <v>75</v>
      </c>
      <c r="F1010" s="7">
        <v>1.0</v>
      </c>
      <c r="G1010" s="7" t="s">
        <v>63</v>
      </c>
      <c r="H1010" s="7">
        <v>2.0</v>
      </c>
      <c r="I1010" s="7">
        <v>15.0</v>
      </c>
      <c r="J1010" s="7">
        <v>12.0</v>
      </c>
      <c r="K1010" s="7" t="s">
        <v>28</v>
      </c>
      <c r="L1010" s="9" t="str">
        <f>VLOOKUP(K1010, 'Alphabetical by species code'!A:B, 2, FALSE)</f>
        <v>Litter</v>
      </c>
      <c r="M1010" s="9" t="str">
        <f>VLOOKUP(L1010, 'Alphabetical by species code'!B:C, 2, FALSE)</f>
        <v>Ground Cover</v>
      </c>
    </row>
    <row r="1011">
      <c r="A1011" s="7">
        <v>11.0</v>
      </c>
      <c r="B1011" s="7">
        <v>2025.0</v>
      </c>
      <c r="C1011" s="8">
        <v>45790.0</v>
      </c>
      <c r="D1011" s="7" t="s">
        <v>83</v>
      </c>
      <c r="E1011" s="7" t="s">
        <v>75</v>
      </c>
      <c r="F1011" s="7">
        <v>1.0</v>
      </c>
      <c r="G1011" s="7" t="s">
        <v>63</v>
      </c>
      <c r="H1011" s="7">
        <v>2.0</v>
      </c>
      <c r="I1011" s="7">
        <v>15.0</v>
      </c>
      <c r="J1011" s="7">
        <v>12.0</v>
      </c>
      <c r="K1011" s="7" t="s">
        <v>35</v>
      </c>
      <c r="L1011" s="9" t="str">
        <f>VLOOKUP(K1011, 'Alphabetical by species code'!A:B, 2, FALSE)</f>
        <v>Deinandra fasciculata</v>
      </c>
      <c r="M1011" s="9" t="str">
        <f>VLOOKUP(L1011, 'Alphabetical by species code'!B:C, 2, FALSE)</f>
        <v>Native</v>
      </c>
    </row>
    <row r="1012">
      <c r="A1012" s="7">
        <v>12.0</v>
      </c>
      <c r="B1012" s="7">
        <v>2025.0</v>
      </c>
      <c r="C1012" s="8">
        <v>45790.0</v>
      </c>
      <c r="D1012" s="7" t="s">
        <v>83</v>
      </c>
      <c r="E1012" s="7" t="s">
        <v>75</v>
      </c>
      <c r="F1012" s="7">
        <v>1.0</v>
      </c>
      <c r="G1012" s="7" t="s">
        <v>66</v>
      </c>
      <c r="H1012" s="7">
        <v>1.0</v>
      </c>
      <c r="I1012" s="7">
        <v>1.0</v>
      </c>
      <c r="J1012" s="7">
        <v>0.0</v>
      </c>
      <c r="K1012" s="7" t="s">
        <v>28</v>
      </c>
      <c r="L1012" s="9" t="str">
        <f>VLOOKUP(K1012, 'Alphabetical by species code'!A:B, 2, FALSE)</f>
        <v>Litter</v>
      </c>
      <c r="M1012" s="9" t="str">
        <f>VLOOKUP(L1012, 'Alphabetical by species code'!B:C, 2, FALSE)</f>
        <v>Ground Cover</v>
      </c>
    </row>
    <row r="1013">
      <c r="A1013" s="7">
        <v>12.0</v>
      </c>
      <c r="B1013" s="7">
        <v>2025.0</v>
      </c>
      <c r="C1013" s="8">
        <v>45790.0</v>
      </c>
      <c r="D1013" s="7" t="s">
        <v>83</v>
      </c>
      <c r="E1013" s="7" t="s">
        <v>75</v>
      </c>
      <c r="F1013" s="7">
        <v>1.0</v>
      </c>
      <c r="G1013" s="7" t="s">
        <v>66</v>
      </c>
      <c r="H1013" s="7">
        <v>1.0</v>
      </c>
      <c r="I1013" s="7">
        <v>1.0</v>
      </c>
      <c r="J1013" s="7">
        <v>0.0</v>
      </c>
      <c r="K1013" s="7" t="s">
        <v>64</v>
      </c>
      <c r="L1013" s="9" t="str">
        <f>VLOOKUP(K1013, 'Alphabetical by species code'!A:B, 2, FALSE)</f>
        <v>Brassica nigra</v>
      </c>
      <c r="M1013" s="9" t="str">
        <f>VLOOKUP(L1013, 'Alphabetical by species code'!B:C, 2, FALSE)</f>
        <v>Non-Native</v>
      </c>
    </row>
    <row r="1014">
      <c r="A1014" s="7">
        <v>12.0</v>
      </c>
      <c r="B1014" s="7">
        <v>2025.0</v>
      </c>
      <c r="C1014" s="8">
        <v>45790.0</v>
      </c>
      <c r="D1014" s="7" t="s">
        <v>83</v>
      </c>
      <c r="E1014" s="7" t="s">
        <v>75</v>
      </c>
      <c r="F1014" s="7">
        <v>1.0</v>
      </c>
      <c r="G1014" s="7" t="s">
        <v>66</v>
      </c>
      <c r="H1014" s="7">
        <v>1.0</v>
      </c>
      <c r="I1014" s="7">
        <v>2.0</v>
      </c>
      <c r="J1014" s="7">
        <v>1.0</v>
      </c>
      <c r="K1014" s="7" t="s">
        <v>28</v>
      </c>
      <c r="L1014" s="9" t="str">
        <f>VLOOKUP(K1014, 'Alphabetical by species code'!A:B, 2, FALSE)</f>
        <v>Litter</v>
      </c>
      <c r="M1014" s="9" t="str">
        <f>VLOOKUP(L1014, 'Alphabetical by species code'!B:C, 2, FALSE)</f>
        <v>Ground Cover</v>
      </c>
    </row>
    <row r="1015">
      <c r="A1015" s="7">
        <v>12.0</v>
      </c>
      <c r="B1015" s="7">
        <v>2025.0</v>
      </c>
      <c r="C1015" s="8">
        <v>45790.0</v>
      </c>
      <c r="D1015" s="7" t="s">
        <v>83</v>
      </c>
      <c r="E1015" s="7" t="s">
        <v>75</v>
      </c>
      <c r="F1015" s="7">
        <v>1.0</v>
      </c>
      <c r="G1015" s="7" t="s">
        <v>66</v>
      </c>
      <c r="H1015" s="7">
        <v>1.0</v>
      </c>
      <c r="I1015" s="7">
        <v>2.0</v>
      </c>
      <c r="J1015" s="7">
        <v>1.0</v>
      </c>
      <c r="K1015" s="7" t="s">
        <v>34</v>
      </c>
      <c r="L1015" s="9" t="str">
        <f>VLOOKUP(K1015, 'Alphabetical by species code'!A:B, 2, FALSE)</f>
        <v>Erodium cicutarium</v>
      </c>
      <c r="M1015" s="9" t="str">
        <f>VLOOKUP(L1015, 'Alphabetical by species code'!B:C, 2, FALSE)</f>
        <v>Non-Native</v>
      </c>
    </row>
    <row r="1016">
      <c r="A1016" s="7">
        <v>12.0</v>
      </c>
      <c r="B1016" s="7">
        <v>2025.0</v>
      </c>
      <c r="C1016" s="8">
        <v>45790.0</v>
      </c>
      <c r="D1016" s="7" t="s">
        <v>83</v>
      </c>
      <c r="E1016" s="7" t="s">
        <v>75</v>
      </c>
      <c r="F1016" s="7">
        <v>1.0</v>
      </c>
      <c r="G1016" s="7" t="s">
        <v>66</v>
      </c>
      <c r="H1016" s="7">
        <v>1.0</v>
      </c>
      <c r="I1016" s="7">
        <v>3.0</v>
      </c>
      <c r="J1016" s="7">
        <v>1.5</v>
      </c>
      <c r="K1016" s="7" t="s">
        <v>28</v>
      </c>
      <c r="L1016" s="9" t="str">
        <f>VLOOKUP(K1016, 'Alphabetical by species code'!A:B, 2, FALSE)</f>
        <v>Litter</v>
      </c>
      <c r="M1016" s="9" t="str">
        <f>VLOOKUP(L1016, 'Alphabetical by species code'!B:C, 2, FALSE)</f>
        <v>Ground Cover</v>
      </c>
    </row>
    <row r="1017">
      <c r="A1017" s="7">
        <v>12.0</v>
      </c>
      <c r="B1017" s="7">
        <v>2025.0</v>
      </c>
      <c r="C1017" s="8">
        <v>45790.0</v>
      </c>
      <c r="D1017" s="7" t="s">
        <v>83</v>
      </c>
      <c r="E1017" s="7" t="s">
        <v>75</v>
      </c>
      <c r="F1017" s="7">
        <v>1.0</v>
      </c>
      <c r="G1017" s="7" t="s">
        <v>66</v>
      </c>
      <c r="H1017" s="7">
        <v>1.0</v>
      </c>
      <c r="I1017" s="7">
        <v>4.0</v>
      </c>
      <c r="J1017" s="7">
        <v>2.0</v>
      </c>
      <c r="K1017" s="7" t="s">
        <v>28</v>
      </c>
      <c r="L1017" s="9" t="str">
        <f>VLOOKUP(K1017, 'Alphabetical by species code'!A:B, 2, FALSE)</f>
        <v>Litter</v>
      </c>
      <c r="M1017" s="9" t="str">
        <f>VLOOKUP(L1017, 'Alphabetical by species code'!B:C, 2, FALSE)</f>
        <v>Ground Cover</v>
      </c>
    </row>
    <row r="1018">
      <c r="A1018" s="7">
        <v>12.0</v>
      </c>
      <c r="B1018" s="7">
        <v>2025.0</v>
      </c>
      <c r="C1018" s="8">
        <v>45790.0</v>
      </c>
      <c r="D1018" s="7" t="s">
        <v>83</v>
      </c>
      <c r="E1018" s="7" t="s">
        <v>75</v>
      </c>
      <c r="F1018" s="7">
        <v>1.0</v>
      </c>
      <c r="G1018" s="7" t="s">
        <v>66</v>
      </c>
      <c r="H1018" s="7">
        <v>1.0</v>
      </c>
      <c r="I1018" s="7">
        <v>4.0</v>
      </c>
      <c r="J1018" s="7">
        <v>2.0</v>
      </c>
      <c r="K1018" s="7" t="s">
        <v>35</v>
      </c>
      <c r="L1018" s="9" t="str">
        <f>VLOOKUP(K1018, 'Alphabetical by species code'!A:B, 2, FALSE)</f>
        <v>Deinandra fasciculata</v>
      </c>
      <c r="M1018" s="9" t="str">
        <f>VLOOKUP(L1018, 'Alphabetical by species code'!B:C, 2, FALSE)</f>
        <v>Native</v>
      </c>
    </row>
    <row r="1019">
      <c r="A1019" s="7">
        <v>12.0</v>
      </c>
      <c r="B1019" s="7">
        <v>2025.0</v>
      </c>
      <c r="C1019" s="8">
        <v>45790.0</v>
      </c>
      <c r="D1019" s="7" t="s">
        <v>83</v>
      </c>
      <c r="E1019" s="7" t="s">
        <v>75</v>
      </c>
      <c r="F1019" s="7">
        <v>1.0</v>
      </c>
      <c r="G1019" s="7" t="s">
        <v>66</v>
      </c>
      <c r="H1019" s="7">
        <v>1.0</v>
      </c>
      <c r="I1019" s="7">
        <v>5.0</v>
      </c>
      <c r="J1019" s="7">
        <v>3.0</v>
      </c>
      <c r="K1019" s="7" t="s">
        <v>28</v>
      </c>
      <c r="L1019" s="9" t="str">
        <f>VLOOKUP(K1019, 'Alphabetical by species code'!A:B, 2, FALSE)</f>
        <v>Litter</v>
      </c>
      <c r="M1019" s="9" t="str">
        <f>VLOOKUP(L1019, 'Alphabetical by species code'!B:C, 2, FALSE)</f>
        <v>Ground Cover</v>
      </c>
    </row>
    <row r="1020">
      <c r="A1020" s="7">
        <v>12.0</v>
      </c>
      <c r="B1020" s="7">
        <v>2025.0</v>
      </c>
      <c r="C1020" s="8">
        <v>45790.0</v>
      </c>
      <c r="D1020" s="7" t="s">
        <v>83</v>
      </c>
      <c r="E1020" s="7" t="s">
        <v>75</v>
      </c>
      <c r="F1020" s="7">
        <v>1.0</v>
      </c>
      <c r="G1020" s="7" t="s">
        <v>66</v>
      </c>
      <c r="H1020" s="7">
        <v>1.0</v>
      </c>
      <c r="I1020" s="7">
        <v>5.0</v>
      </c>
      <c r="J1020" s="7">
        <v>3.0</v>
      </c>
      <c r="K1020" s="7" t="s">
        <v>35</v>
      </c>
      <c r="L1020" s="9" t="str">
        <f>VLOOKUP(K1020, 'Alphabetical by species code'!A:B, 2, FALSE)</f>
        <v>Deinandra fasciculata</v>
      </c>
      <c r="M1020" s="9" t="str">
        <f>VLOOKUP(L1020, 'Alphabetical by species code'!B:C, 2, FALSE)</f>
        <v>Native</v>
      </c>
    </row>
    <row r="1021">
      <c r="A1021" s="7">
        <v>12.0</v>
      </c>
      <c r="B1021" s="7">
        <v>2025.0</v>
      </c>
      <c r="C1021" s="8">
        <v>45790.0</v>
      </c>
      <c r="D1021" s="7" t="s">
        <v>83</v>
      </c>
      <c r="E1021" s="7" t="s">
        <v>75</v>
      </c>
      <c r="F1021" s="7">
        <v>1.0</v>
      </c>
      <c r="G1021" s="7" t="s">
        <v>66</v>
      </c>
      <c r="H1021" s="7">
        <v>1.0</v>
      </c>
      <c r="I1021" s="7">
        <v>6.0</v>
      </c>
      <c r="J1021" s="7">
        <v>3.5</v>
      </c>
      <c r="K1021" s="7" t="s">
        <v>28</v>
      </c>
      <c r="L1021" s="9" t="str">
        <f>VLOOKUP(K1021, 'Alphabetical by species code'!A:B, 2, FALSE)</f>
        <v>Litter</v>
      </c>
      <c r="M1021" s="9" t="str">
        <f>VLOOKUP(L1021, 'Alphabetical by species code'!B:C, 2, FALSE)</f>
        <v>Ground Cover</v>
      </c>
    </row>
    <row r="1022">
      <c r="A1022" s="7">
        <v>12.0</v>
      </c>
      <c r="B1022" s="7">
        <v>2025.0</v>
      </c>
      <c r="C1022" s="8">
        <v>45790.0</v>
      </c>
      <c r="D1022" s="7" t="s">
        <v>83</v>
      </c>
      <c r="E1022" s="7" t="s">
        <v>75</v>
      </c>
      <c r="F1022" s="7">
        <v>1.0</v>
      </c>
      <c r="G1022" s="7" t="s">
        <v>66</v>
      </c>
      <c r="H1022" s="7">
        <v>1.0</v>
      </c>
      <c r="I1022" s="7">
        <v>6.0</v>
      </c>
      <c r="J1022" s="7">
        <v>3.5</v>
      </c>
      <c r="K1022" s="7" t="s">
        <v>64</v>
      </c>
      <c r="L1022" s="9" t="str">
        <f>VLOOKUP(K1022, 'Alphabetical by species code'!A:B, 2, FALSE)</f>
        <v>Brassica nigra</v>
      </c>
      <c r="M1022" s="9" t="str">
        <f>VLOOKUP(L1022, 'Alphabetical by species code'!B:C, 2, FALSE)</f>
        <v>Non-Native</v>
      </c>
    </row>
    <row r="1023">
      <c r="A1023" s="7">
        <v>12.0</v>
      </c>
      <c r="B1023" s="7">
        <v>2025.0</v>
      </c>
      <c r="C1023" s="8">
        <v>45790.0</v>
      </c>
      <c r="D1023" s="7" t="s">
        <v>83</v>
      </c>
      <c r="E1023" s="7" t="s">
        <v>75</v>
      </c>
      <c r="F1023" s="7">
        <v>1.0</v>
      </c>
      <c r="G1023" s="7" t="s">
        <v>66</v>
      </c>
      <c r="H1023" s="7">
        <v>1.0</v>
      </c>
      <c r="I1023" s="7">
        <v>7.0</v>
      </c>
      <c r="J1023" s="7">
        <v>4.0</v>
      </c>
      <c r="K1023" s="7" t="s">
        <v>28</v>
      </c>
      <c r="L1023" s="9" t="str">
        <f>VLOOKUP(K1023, 'Alphabetical by species code'!A:B, 2, FALSE)</f>
        <v>Litter</v>
      </c>
      <c r="M1023" s="9" t="str">
        <f>VLOOKUP(L1023, 'Alphabetical by species code'!B:C, 2, FALSE)</f>
        <v>Ground Cover</v>
      </c>
    </row>
    <row r="1024">
      <c r="A1024" s="7">
        <v>12.0</v>
      </c>
      <c r="B1024" s="7">
        <v>2025.0</v>
      </c>
      <c r="C1024" s="8">
        <v>45790.0</v>
      </c>
      <c r="D1024" s="7" t="s">
        <v>83</v>
      </c>
      <c r="E1024" s="7" t="s">
        <v>75</v>
      </c>
      <c r="F1024" s="7">
        <v>1.0</v>
      </c>
      <c r="G1024" s="7" t="s">
        <v>66</v>
      </c>
      <c r="H1024" s="7">
        <v>1.0</v>
      </c>
      <c r="I1024" s="7">
        <v>7.0</v>
      </c>
      <c r="J1024" s="7">
        <v>4.0</v>
      </c>
      <c r="K1024" s="7" t="s">
        <v>35</v>
      </c>
      <c r="L1024" s="9" t="str">
        <f>VLOOKUP(K1024, 'Alphabetical by species code'!A:B, 2, FALSE)</f>
        <v>Deinandra fasciculata</v>
      </c>
      <c r="M1024" s="9" t="str">
        <f>VLOOKUP(L1024, 'Alphabetical by species code'!B:C, 2, FALSE)</f>
        <v>Native</v>
      </c>
    </row>
    <row r="1025">
      <c r="A1025" s="7">
        <v>12.0</v>
      </c>
      <c r="B1025" s="7">
        <v>2025.0</v>
      </c>
      <c r="C1025" s="8">
        <v>45790.0</v>
      </c>
      <c r="D1025" s="7" t="s">
        <v>83</v>
      </c>
      <c r="E1025" s="7" t="s">
        <v>75</v>
      </c>
      <c r="F1025" s="7">
        <v>1.0</v>
      </c>
      <c r="G1025" s="7" t="s">
        <v>66</v>
      </c>
      <c r="H1025" s="7">
        <v>1.0</v>
      </c>
      <c r="I1025" s="7">
        <v>8.0</v>
      </c>
      <c r="J1025" s="7">
        <v>5.0</v>
      </c>
      <c r="K1025" s="7" t="s">
        <v>28</v>
      </c>
      <c r="L1025" s="9" t="str">
        <f>VLOOKUP(K1025, 'Alphabetical by species code'!A:B, 2, FALSE)</f>
        <v>Litter</v>
      </c>
      <c r="M1025" s="9" t="str">
        <f>VLOOKUP(L1025, 'Alphabetical by species code'!B:C, 2, FALSE)</f>
        <v>Ground Cover</v>
      </c>
    </row>
    <row r="1026">
      <c r="A1026" s="7">
        <v>12.0</v>
      </c>
      <c r="B1026" s="7">
        <v>2025.0</v>
      </c>
      <c r="C1026" s="8">
        <v>45790.0</v>
      </c>
      <c r="D1026" s="7" t="s">
        <v>83</v>
      </c>
      <c r="E1026" s="7" t="s">
        <v>75</v>
      </c>
      <c r="F1026" s="7">
        <v>1.0</v>
      </c>
      <c r="G1026" s="7" t="s">
        <v>66</v>
      </c>
      <c r="H1026" s="7">
        <v>1.0</v>
      </c>
      <c r="I1026" s="7">
        <v>8.0</v>
      </c>
      <c r="J1026" s="7">
        <v>5.0</v>
      </c>
      <c r="K1026" s="7" t="s">
        <v>64</v>
      </c>
      <c r="L1026" s="9" t="str">
        <f>VLOOKUP(K1026, 'Alphabetical by species code'!A:B, 2, FALSE)</f>
        <v>Brassica nigra</v>
      </c>
      <c r="M1026" s="9" t="str">
        <f>VLOOKUP(L1026, 'Alphabetical by species code'!B:C, 2, FALSE)</f>
        <v>Non-Native</v>
      </c>
    </row>
    <row r="1027">
      <c r="A1027" s="7">
        <v>12.0</v>
      </c>
      <c r="B1027" s="7">
        <v>2025.0</v>
      </c>
      <c r="C1027" s="8">
        <v>45790.0</v>
      </c>
      <c r="D1027" s="7" t="s">
        <v>83</v>
      </c>
      <c r="E1027" s="7" t="s">
        <v>75</v>
      </c>
      <c r="F1027" s="7">
        <v>1.0</v>
      </c>
      <c r="G1027" s="7" t="s">
        <v>66</v>
      </c>
      <c r="H1027" s="7">
        <v>1.0</v>
      </c>
      <c r="I1027" s="7">
        <v>9.0</v>
      </c>
      <c r="J1027" s="7">
        <v>7.0</v>
      </c>
      <c r="K1027" s="7" t="s">
        <v>28</v>
      </c>
      <c r="L1027" s="9" t="str">
        <f>VLOOKUP(K1027, 'Alphabetical by species code'!A:B, 2, FALSE)</f>
        <v>Litter</v>
      </c>
      <c r="M1027" s="9" t="str">
        <f>VLOOKUP(L1027, 'Alphabetical by species code'!B:C, 2, FALSE)</f>
        <v>Ground Cover</v>
      </c>
    </row>
    <row r="1028">
      <c r="A1028" s="7">
        <v>12.0</v>
      </c>
      <c r="B1028" s="7">
        <v>2025.0</v>
      </c>
      <c r="C1028" s="8">
        <v>45790.0</v>
      </c>
      <c r="D1028" s="7" t="s">
        <v>83</v>
      </c>
      <c r="E1028" s="7" t="s">
        <v>75</v>
      </c>
      <c r="F1028" s="7">
        <v>1.0</v>
      </c>
      <c r="G1028" s="7" t="s">
        <v>66</v>
      </c>
      <c r="H1028" s="7">
        <v>1.0</v>
      </c>
      <c r="I1028" s="7">
        <v>9.0</v>
      </c>
      <c r="J1028" s="7">
        <v>7.0</v>
      </c>
      <c r="K1028" s="7" t="s">
        <v>76</v>
      </c>
      <c r="L1028" s="9" t="str">
        <f>VLOOKUP(K1028, 'Alphabetical by species code'!A:B, 2, FALSE)</f>
        <v>Avena fatua</v>
      </c>
      <c r="M1028" s="9" t="str">
        <f>VLOOKUP(L1028, 'Alphabetical by species code'!B:C, 2, FALSE)</f>
        <v>Non-Native</v>
      </c>
    </row>
    <row r="1029">
      <c r="A1029" s="7">
        <v>12.0</v>
      </c>
      <c r="B1029" s="7">
        <v>2025.0</v>
      </c>
      <c r="C1029" s="8">
        <v>45790.0</v>
      </c>
      <c r="D1029" s="7" t="s">
        <v>83</v>
      </c>
      <c r="E1029" s="7" t="s">
        <v>75</v>
      </c>
      <c r="F1029" s="7">
        <v>1.0</v>
      </c>
      <c r="G1029" s="7" t="s">
        <v>66</v>
      </c>
      <c r="H1029" s="7">
        <v>1.0</v>
      </c>
      <c r="I1029" s="7">
        <v>9.0</v>
      </c>
      <c r="J1029" s="7">
        <v>7.0</v>
      </c>
      <c r="K1029" s="7" t="s">
        <v>64</v>
      </c>
      <c r="L1029" s="9" t="str">
        <f>VLOOKUP(K1029, 'Alphabetical by species code'!A:B, 2, FALSE)</f>
        <v>Brassica nigra</v>
      </c>
      <c r="M1029" s="9" t="str">
        <f>VLOOKUP(L1029, 'Alphabetical by species code'!B:C, 2, FALSE)</f>
        <v>Non-Native</v>
      </c>
    </row>
    <row r="1030">
      <c r="A1030" s="7">
        <v>12.0</v>
      </c>
      <c r="B1030" s="7">
        <v>2025.0</v>
      </c>
      <c r="C1030" s="8">
        <v>45790.0</v>
      </c>
      <c r="D1030" s="7" t="s">
        <v>83</v>
      </c>
      <c r="E1030" s="7" t="s">
        <v>75</v>
      </c>
      <c r="F1030" s="7">
        <v>1.0</v>
      </c>
      <c r="G1030" s="7" t="s">
        <v>66</v>
      </c>
      <c r="H1030" s="7">
        <v>1.0</v>
      </c>
      <c r="I1030" s="7">
        <v>10.0</v>
      </c>
      <c r="J1030" s="7">
        <v>8.0</v>
      </c>
      <c r="K1030" s="7" t="s">
        <v>52</v>
      </c>
      <c r="L1030" s="9" t="str">
        <f>VLOOKUP(K1030, 'Alphabetical by species code'!A:B, 2, FALSE)</f>
        <v>Rock</v>
      </c>
      <c r="M1030" s="9" t="str">
        <f>VLOOKUP(L1030, 'Alphabetical by species code'!B:C, 2, FALSE)</f>
        <v>Ground Cover</v>
      </c>
    </row>
    <row r="1031">
      <c r="A1031" s="7">
        <v>12.0</v>
      </c>
      <c r="B1031" s="7">
        <v>2025.0</v>
      </c>
      <c r="C1031" s="8">
        <v>45790.0</v>
      </c>
      <c r="D1031" s="7" t="s">
        <v>83</v>
      </c>
      <c r="E1031" s="7" t="s">
        <v>75</v>
      </c>
      <c r="F1031" s="7">
        <v>1.0</v>
      </c>
      <c r="G1031" s="7" t="s">
        <v>66</v>
      </c>
      <c r="H1031" s="7">
        <v>1.0</v>
      </c>
      <c r="I1031" s="7">
        <v>11.0</v>
      </c>
      <c r="J1031" s="7">
        <v>8.5</v>
      </c>
      <c r="K1031" s="7" t="s">
        <v>28</v>
      </c>
      <c r="L1031" s="9" t="str">
        <f>VLOOKUP(K1031, 'Alphabetical by species code'!A:B, 2, FALSE)</f>
        <v>Litter</v>
      </c>
      <c r="M1031" s="9" t="str">
        <f>VLOOKUP(L1031, 'Alphabetical by species code'!B:C, 2, FALSE)</f>
        <v>Ground Cover</v>
      </c>
    </row>
    <row r="1032">
      <c r="A1032" s="7">
        <v>12.0</v>
      </c>
      <c r="B1032" s="7">
        <v>2025.0</v>
      </c>
      <c r="C1032" s="8">
        <v>45790.0</v>
      </c>
      <c r="D1032" s="7" t="s">
        <v>83</v>
      </c>
      <c r="E1032" s="7" t="s">
        <v>75</v>
      </c>
      <c r="F1032" s="7">
        <v>1.0</v>
      </c>
      <c r="G1032" s="7" t="s">
        <v>66</v>
      </c>
      <c r="H1032" s="7">
        <v>1.0</v>
      </c>
      <c r="I1032" s="7">
        <v>12.0</v>
      </c>
      <c r="J1032" s="7">
        <v>9.0</v>
      </c>
      <c r="K1032" s="7" t="s">
        <v>52</v>
      </c>
      <c r="L1032" s="9" t="str">
        <f>VLOOKUP(K1032, 'Alphabetical by species code'!A:B, 2, FALSE)</f>
        <v>Rock</v>
      </c>
      <c r="M1032" s="9" t="str">
        <f>VLOOKUP(L1032, 'Alphabetical by species code'!B:C, 2, FALSE)</f>
        <v>Ground Cover</v>
      </c>
    </row>
    <row r="1033">
      <c r="A1033" s="7">
        <v>12.0</v>
      </c>
      <c r="B1033" s="7">
        <v>2025.0</v>
      </c>
      <c r="C1033" s="8">
        <v>45790.0</v>
      </c>
      <c r="D1033" s="7" t="s">
        <v>83</v>
      </c>
      <c r="E1033" s="7" t="s">
        <v>75</v>
      </c>
      <c r="F1033" s="7">
        <v>1.0</v>
      </c>
      <c r="G1033" s="7" t="s">
        <v>66</v>
      </c>
      <c r="H1033" s="7">
        <v>1.0</v>
      </c>
      <c r="I1033" s="7">
        <v>13.0</v>
      </c>
      <c r="J1033" s="7">
        <v>10.0</v>
      </c>
      <c r="K1033" s="7" t="s">
        <v>28</v>
      </c>
      <c r="L1033" s="9" t="str">
        <f>VLOOKUP(K1033, 'Alphabetical by species code'!A:B, 2, FALSE)</f>
        <v>Litter</v>
      </c>
      <c r="M1033" s="9" t="str">
        <f>VLOOKUP(L1033, 'Alphabetical by species code'!B:C, 2, FALSE)</f>
        <v>Ground Cover</v>
      </c>
    </row>
    <row r="1034">
      <c r="A1034" s="7">
        <v>12.0</v>
      </c>
      <c r="B1034" s="7">
        <v>2025.0</v>
      </c>
      <c r="C1034" s="8">
        <v>45790.0</v>
      </c>
      <c r="D1034" s="7" t="s">
        <v>83</v>
      </c>
      <c r="E1034" s="7" t="s">
        <v>75</v>
      </c>
      <c r="F1034" s="7">
        <v>1.0</v>
      </c>
      <c r="G1034" s="7" t="s">
        <v>66</v>
      </c>
      <c r="H1034" s="7">
        <v>1.0</v>
      </c>
      <c r="I1034" s="7">
        <v>13.0</v>
      </c>
      <c r="J1034" s="7">
        <v>10.0</v>
      </c>
      <c r="K1034" s="7" t="s">
        <v>35</v>
      </c>
      <c r="L1034" s="9" t="str">
        <f>VLOOKUP(K1034, 'Alphabetical by species code'!A:B, 2, FALSE)</f>
        <v>Deinandra fasciculata</v>
      </c>
      <c r="M1034" s="9" t="str">
        <f>VLOOKUP(L1034, 'Alphabetical by species code'!B:C, 2, FALSE)</f>
        <v>Native</v>
      </c>
    </row>
    <row r="1035">
      <c r="A1035" s="7">
        <v>12.0</v>
      </c>
      <c r="B1035" s="7">
        <v>2025.0</v>
      </c>
      <c r="C1035" s="8">
        <v>45790.0</v>
      </c>
      <c r="D1035" s="7" t="s">
        <v>83</v>
      </c>
      <c r="E1035" s="7" t="s">
        <v>75</v>
      </c>
      <c r="F1035" s="7">
        <v>1.0</v>
      </c>
      <c r="G1035" s="7" t="s">
        <v>66</v>
      </c>
      <c r="H1035" s="7">
        <v>1.0</v>
      </c>
      <c r="I1035" s="7">
        <v>14.0</v>
      </c>
      <c r="J1035" s="7">
        <v>11.0</v>
      </c>
      <c r="K1035" s="7" t="s">
        <v>51</v>
      </c>
      <c r="L1035" s="9" t="str">
        <f>VLOOKUP(K1035, 'Alphabetical by species code'!A:B, 2, FALSE)</f>
        <v>Bareground</v>
      </c>
      <c r="M1035" s="9" t="str">
        <f>VLOOKUP(L1035, 'Alphabetical by species code'!B:C, 2, FALSE)</f>
        <v>Ground Cover</v>
      </c>
    </row>
    <row r="1036">
      <c r="A1036" s="7">
        <v>12.0</v>
      </c>
      <c r="B1036" s="7">
        <v>2025.0</v>
      </c>
      <c r="C1036" s="8">
        <v>45790.0</v>
      </c>
      <c r="D1036" s="7" t="s">
        <v>83</v>
      </c>
      <c r="E1036" s="7" t="s">
        <v>75</v>
      </c>
      <c r="F1036" s="7">
        <v>1.0</v>
      </c>
      <c r="G1036" s="7" t="s">
        <v>66</v>
      </c>
      <c r="H1036" s="7">
        <v>1.0</v>
      </c>
      <c r="I1036" s="7">
        <v>15.0</v>
      </c>
      <c r="J1036" s="7">
        <v>12.0</v>
      </c>
      <c r="K1036" s="7" t="s">
        <v>28</v>
      </c>
      <c r="L1036" s="9" t="str">
        <f>VLOOKUP(K1036, 'Alphabetical by species code'!A:B, 2, FALSE)</f>
        <v>Litter</v>
      </c>
      <c r="M1036" s="9" t="str">
        <f>VLOOKUP(L1036, 'Alphabetical by species code'!B:C, 2, FALSE)</f>
        <v>Ground Cover</v>
      </c>
    </row>
    <row r="1037">
      <c r="A1037" s="7">
        <v>12.0</v>
      </c>
      <c r="B1037" s="7">
        <v>2025.0</v>
      </c>
      <c r="C1037" s="8">
        <v>45790.0</v>
      </c>
      <c r="D1037" s="7" t="s">
        <v>83</v>
      </c>
      <c r="E1037" s="7" t="s">
        <v>75</v>
      </c>
      <c r="F1037" s="7">
        <v>1.0</v>
      </c>
      <c r="G1037" s="7" t="s">
        <v>66</v>
      </c>
      <c r="H1037" s="7">
        <v>1.0</v>
      </c>
      <c r="I1037" s="7">
        <v>15.0</v>
      </c>
      <c r="J1037" s="7">
        <v>12.0</v>
      </c>
      <c r="K1037" s="7" t="s">
        <v>35</v>
      </c>
      <c r="L1037" s="9" t="str">
        <f>VLOOKUP(K1037, 'Alphabetical by species code'!A:B, 2, FALSE)</f>
        <v>Deinandra fasciculata</v>
      </c>
      <c r="M1037" s="9" t="str">
        <f>VLOOKUP(L1037, 'Alphabetical by species code'!B:C, 2, FALSE)</f>
        <v>Native</v>
      </c>
    </row>
    <row r="1038">
      <c r="A1038" s="7">
        <v>12.0</v>
      </c>
      <c r="B1038" s="7">
        <v>2025.0</v>
      </c>
      <c r="C1038" s="8">
        <v>45790.0</v>
      </c>
      <c r="D1038" s="7" t="s">
        <v>83</v>
      </c>
      <c r="E1038" s="7" t="s">
        <v>75</v>
      </c>
      <c r="F1038" s="7">
        <v>1.0</v>
      </c>
      <c r="G1038" s="7" t="s">
        <v>66</v>
      </c>
      <c r="H1038" s="7">
        <v>2.0</v>
      </c>
      <c r="I1038" s="7">
        <v>1.0</v>
      </c>
      <c r="J1038" s="7">
        <v>0.0</v>
      </c>
      <c r="K1038" s="7" t="s">
        <v>28</v>
      </c>
      <c r="L1038" s="9" t="str">
        <f>VLOOKUP(K1038, 'Alphabetical by species code'!A:B, 2, FALSE)</f>
        <v>Litter</v>
      </c>
      <c r="M1038" s="9" t="str">
        <f>VLOOKUP(L1038, 'Alphabetical by species code'!B:C, 2, FALSE)</f>
        <v>Ground Cover</v>
      </c>
    </row>
    <row r="1039">
      <c r="A1039" s="7">
        <v>12.0</v>
      </c>
      <c r="B1039" s="7">
        <v>2025.0</v>
      </c>
      <c r="C1039" s="8">
        <v>45790.0</v>
      </c>
      <c r="D1039" s="7" t="s">
        <v>83</v>
      </c>
      <c r="E1039" s="7" t="s">
        <v>75</v>
      </c>
      <c r="F1039" s="7">
        <v>1.0</v>
      </c>
      <c r="G1039" s="7" t="s">
        <v>66</v>
      </c>
      <c r="H1039" s="7">
        <v>2.0</v>
      </c>
      <c r="I1039" s="7">
        <v>2.0</v>
      </c>
      <c r="J1039" s="7">
        <v>1.0</v>
      </c>
      <c r="K1039" s="7" t="s">
        <v>28</v>
      </c>
      <c r="L1039" s="9" t="str">
        <f>VLOOKUP(K1039, 'Alphabetical by species code'!A:B, 2, FALSE)</f>
        <v>Litter</v>
      </c>
      <c r="M1039" s="9" t="str">
        <f>VLOOKUP(L1039, 'Alphabetical by species code'!B:C, 2, FALSE)</f>
        <v>Ground Cover</v>
      </c>
    </row>
    <row r="1040">
      <c r="A1040" s="7">
        <v>12.0</v>
      </c>
      <c r="B1040" s="7">
        <v>2025.0</v>
      </c>
      <c r="C1040" s="8">
        <v>45790.0</v>
      </c>
      <c r="D1040" s="7" t="s">
        <v>83</v>
      </c>
      <c r="E1040" s="7" t="s">
        <v>75</v>
      </c>
      <c r="F1040" s="7">
        <v>1.0</v>
      </c>
      <c r="G1040" s="7" t="s">
        <v>66</v>
      </c>
      <c r="H1040" s="7">
        <v>2.0</v>
      </c>
      <c r="I1040" s="7">
        <v>2.0</v>
      </c>
      <c r="J1040" s="7">
        <v>1.0</v>
      </c>
      <c r="K1040" s="7" t="s">
        <v>36</v>
      </c>
      <c r="L1040" s="9" t="str">
        <f>VLOOKUP(K1040, 'Alphabetical by species code'!A:B, 2, FALSE)</f>
        <v>Bromus madritensis</v>
      </c>
      <c r="M1040" s="9" t="str">
        <f>VLOOKUP(L1040, 'Alphabetical by species code'!B:C, 2, FALSE)</f>
        <v>Non-Native</v>
      </c>
    </row>
    <row r="1041">
      <c r="A1041" s="7">
        <v>12.0</v>
      </c>
      <c r="B1041" s="7">
        <v>2025.0</v>
      </c>
      <c r="C1041" s="8">
        <v>45790.0</v>
      </c>
      <c r="D1041" s="7" t="s">
        <v>83</v>
      </c>
      <c r="E1041" s="7" t="s">
        <v>75</v>
      </c>
      <c r="F1041" s="7">
        <v>1.0</v>
      </c>
      <c r="G1041" s="7" t="s">
        <v>66</v>
      </c>
      <c r="H1041" s="7">
        <v>2.0</v>
      </c>
      <c r="I1041" s="7">
        <v>3.0</v>
      </c>
      <c r="J1041" s="7">
        <v>1.5</v>
      </c>
      <c r="K1041" s="7" t="s">
        <v>28</v>
      </c>
      <c r="L1041" s="9" t="str">
        <f>VLOOKUP(K1041, 'Alphabetical by species code'!A:B, 2, FALSE)</f>
        <v>Litter</v>
      </c>
      <c r="M1041" s="9" t="str">
        <f>VLOOKUP(L1041, 'Alphabetical by species code'!B:C, 2, FALSE)</f>
        <v>Ground Cover</v>
      </c>
    </row>
    <row r="1042">
      <c r="A1042" s="7">
        <v>12.0</v>
      </c>
      <c r="B1042" s="7">
        <v>2025.0</v>
      </c>
      <c r="C1042" s="8">
        <v>45790.0</v>
      </c>
      <c r="D1042" s="7" t="s">
        <v>83</v>
      </c>
      <c r="E1042" s="7" t="s">
        <v>75</v>
      </c>
      <c r="F1042" s="7">
        <v>1.0</v>
      </c>
      <c r="G1042" s="7" t="s">
        <v>66</v>
      </c>
      <c r="H1042" s="7">
        <v>2.0</v>
      </c>
      <c r="I1042" s="7">
        <v>3.0</v>
      </c>
      <c r="J1042" s="7">
        <v>1.5</v>
      </c>
      <c r="K1042" s="7" t="s">
        <v>64</v>
      </c>
      <c r="L1042" s="9" t="str">
        <f>VLOOKUP(K1042, 'Alphabetical by species code'!A:B, 2, FALSE)</f>
        <v>Brassica nigra</v>
      </c>
      <c r="M1042" s="9" t="str">
        <f>VLOOKUP(L1042, 'Alphabetical by species code'!B:C, 2, FALSE)</f>
        <v>Non-Native</v>
      </c>
    </row>
    <row r="1043">
      <c r="A1043" s="7">
        <v>12.0</v>
      </c>
      <c r="B1043" s="7">
        <v>2025.0</v>
      </c>
      <c r="C1043" s="8">
        <v>45790.0</v>
      </c>
      <c r="D1043" s="7" t="s">
        <v>83</v>
      </c>
      <c r="E1043" s="7" t="s">
        <v>75</v>
      </c>
      <c r="F1043" s="7">
        <v>1.0</v>
      </c>
      <c r="G1043" s="7" t="s">
        <v>66</v>
      </c>
      <c r="H1043" s="7">
        <v>2.0</v>
      </c>
      <c r="I1043" s="7">
        <v>3.0</v>
      </c>
      <c r="J1043" s="7">
        <v>1.5</v>
      </c>
      <c r="K1043" s="7" t="s">
        <v>35</v>
      </c>
      <c r="L1043" s="9" t="str">
        <f>VLOOKUP(K1043, 'Alphabetical by species code'!A:B, 2, FALSE)</f>
        <v>Deinandra fasciculata</v>
      </c>
      <c r="M1043" s="9" t="str">
        <f>VLOOKUP(L1043, 'Alphabetical by species code'!B:C, 2, FALSE)</f>
        <v>Native</v>
      </c>
    </row>
    <row r="1044">
      <c r="A1044" s="7">
        <v>12.0</v>
      </c>
      <c r="B1044" s="7">
        <v>2025.0</v>
      </c>
      <c r="C1044" s="8">
        <v>45790.0</v>
      </c>
      <c r="D1044" s="7" t="s">
        <v>83</v>
      </c>
      <c r="E1044" s="7" t="s">
        <v>75</v>
      </c>
      <c r="F1044" s="7">
        <v>1.0</v>
      </c>
      <c r="G1044" s="7" t="s">
        <v>66</v>
      </c>
      <c r="H1044" s="7">
        <v>2.0</v>
      </c>
      <c r="I1044" s="7">
        <v>4.0</v>
      </c>
      <c r="J1044" s="7">
        <v>2.0</v>
      </c>
      <c r="K1044" s="7" t="s">
        <v>28</v>
      </c>
      <c r="L1044" s="9" t="str">
        <f>VLOOKUP(K1044, 'Alphabetical by species code'!A:B, 2, FALSE)</f>
        <v>Litter</v>
      </c>
      <c r="M1044" s="9" t="str">
        <f>VLOOKUP(L1044, 'Alphabetical by species code'!B:C, 2, FALSE)</f>
        <v>Ground Cover</v>
      </c>
    </row>
    <row r="1045">
      <c r="A1045" s="7">
        <v>12.0</v>
      </c>
      <c r="B1045" s="7">
        <v>2025.0</v>
      </c>
      <c r="C1045" s="8">
        <v>45790.0</v>
      </c>
      <c r="D1045" s="7" t="s">
        <v>83</v>
      </c>
      <c r="E1045" s="7" t="s">
        <v>75</v>
      </c>
      <c r="F1045" s="7">
        <v>1.0</v>
      </c>
      <c r="G1045" s="7" t="s">
        <v>66</v>
      </c>
      <c r="H1045" s="7">
        <v>2.0</v>
      </c>
      <c r="I1045" s="7">
        <v>4.0</v>
      </c>
      <c r="J1045" s="7">
        <v>2.0</v>
      </c>
      <c r="K1045" s="7" t="s">
        <v>36</v>
      </c>
      <c r="L1045" s="9" t="str">
        <f>VLOOKUP(K1045, 'Alphabetical by species code'!A:B, 2, FALSE)</f>
        <v>Bromus madritensis</v>
      </c>
      <c r="M1045" s="9" t="str">
        <f>VLOOKUP(L1045, 'Alphabetical by species code'!B:C, 2, FALSE)</f>
        <v>Non-Native</v>
      </c>
    </row>
    <row r="1046">
      <c r="A1046" s="7">
        <v>12.0</v>
      </c>
      <c r="B1046" s="7">
        <v>2025.0</v>
      </c>
      <c r="C1046" s="8">
        <v>45790.0</v>
      </c>
      <c r="D1046" s="7" t="s">
        <v>83</v>
      </c>
      <c r="E1046" s="7" t="s">
        <v>75</v>
      </c>
      <c r="F1046" s="7">
        <v>1.0</v>
      </c>
      <c r="G1046" s="7" t="s">
        <v>66</v>
      </c>
      <c r="H1046" s="7">
        <v>2.0</v>
      </c>
      <c r="I1046" s="7">
        <v>5.0</v>
      </c>
      <c r="J1046" s="7">
        <v>3.0</v>
      </c>
      <c r="K1046" s="7" t="s">
        <v>38</v>
      </c>
      <c r="L1046" s="9" t="str">
        <f>VLOOKUP(K1046, 'Alphabetical by species code'!A:B, 2, FALSE)</f>
        <v>Thatch</v>
      </c>
      <c r="M1046" s="9" t="str">
        <f>VLOOKUP(L1046, 'Alphabetical by species code'!B:C, 2, FALSE)</f>
        <v>Ground Cover</v>
      </c>
    </row>
    <row r="1047">
      <c r="A1047" s="7">
        <v>12.0</v>
      </c>
      <c r="B1047" s="7">
        <v>2025.0</v>
      </c>
      <c r="C1047" s="8">
        <v>45790.0</v>
      </c>
      <c r="D1047" s="7" t="s">
        <v>83</v>
      </c>
      <c r="E1047" s="7" t="s">
        <v>75</v>
      </c>
      <c r="F1047" s="7">
        <v>1.0</v>
      </c>
      <c r="G1047" s="7" t="s">
        <v>66</v>
      </c>
      <c r="H1047" s="7">
        <v>2.0</v>
      </c>
      <c r="I1047" s="7">
        <v>5.0</v>
      </c>
      <c r="J1047" s="7">
        <v>3.0</v>
      </c>
      <c r="K1047" s="7" t="s">
        <v>31</v>
      </c>
      <c r="L1047" s="9" t="str">
        <f>VLOOKUP(K1047, 'Alphabetical by species code'!A:B, 2, FALSE)</f>
        <v>Festuca myuros</v>
      </c>
      <c r="M1047" s="9" t="str">
        <f>VLOOKUP(L1047, 'Alphabetical by species code'!B:C, 2, FALSE)</f>
        <v>Non-Native</v>
      </c>
    </row>
    <row r="1048">
      <c r="A1048" s="7">
        <v>12.0</v>
      </c>
      <c r="B1048" s="7">
        <v>2025.0</v>
      </c>
      <c r="C1048" s="8">
        <v>45790.0</v>
      </c>
      <c r="D1048" s="7" t="s">
        <v>83</v>
      </c>
      <c r="E1048" s="7" t="s">
        <v>75</v>
      </c>
      <c r="F1048" s="7">
        <v>1.0</v>
      </c>
      <c r="G1048" s="7" t="s">
        <v>66</v>
      </c>
      <c r="H1048" s="7">
        <v>2.0</v>
      </c>
      <c r="I1048" s="7">
        <v>6.0</v>
      </c>
      <c r="J1048" s="7">
        <v>3.5</v>
      </c>
      <c r="K1048" s="7" t="s">
        <v>38</v>
      </c>
      <c r="L1048" s="9" t="str">
        <f>VLOOKUP(K1048, 'Alphabetical by species code'!A:B, 2, FALSE)</f>
        <v>Thatch</v>
      </c>
      <c r="M1048" s="9" t="str">
        <f>VLOOKUP(L1048, 'Alphabetical by species code'!B:C, 2, FALSE)</f>
        <v>Ground Cover</v>
      </c>
    </row>
    <row r="1049">
      <c r="A1049" s="7">
        <v>12.0</v>
      </c>
      <c r="B1049" s="7">
        <v>2025.0</v>
      </c>
      <c r="C1049" s="8">
        <v>45790.0</v>
      </c>
      <c r="D1049" s="7" t="s">
        <v>83</v>
      </c>
      <c r="E1049" s="7" t="s">
        <v>75</v>
      </c>
      <c r="F1049" s="7">
        <v>1.0</v>
      </c>
      <c r="G1049" s="7" t="s">
        <v>66</v>
      </c>
      <c r="H1049" s="7">
        <v>2.0</v>
      </c>
      <c r="I1049" s="7">
        <v>6.0</v>
      </c>
      <c r="J1049" s="7">
        <v>3.5</v>
      </c>
      <c r="K1049" s="7" t="s">
        <v>36</v>
      </c>
      <c r="L1049" s="9" t="str">
        <f>VLOOKUP(K1049, 'Alphabetical by species code'!A:B, 2, FALSE)</f>
        <v>Bromus madritensis</v>
      </c>
      <c r="M1049" s="9" t="str">
        <f>VLOOKUP(L1049, 'Alphabetical by species code'!B:C, 2, FALSE)</f>
        <v>Non-Native</v>
      </c>
    </row>
    <row r="1050">
      <c r="A1050" s="7">
        <v>12.0</v>
      </c>
      <c r="B1050" s="7">
        <v>2025.0</v>
      </c>
      <c r="C1050" s="8">
        <v>45790.0</v>
      </c>
      <c r="D1050" s="7" t="s">
        <v>83</v>
      </c>
      <c r="E1050" s="7" t="s">
        <v>75</v>
      </c>
      <c r="F1050" s="7">
        <v>1.0</v>
      </c>
      <c r="G1050" s="7" t="s">
        <v>66</v>
      </c>
      <c r="H1050" s="7">
        <v>2.0</v>
      </c>
      <c r="I1050" s="7">
        <v>7.0</v>
      </c>
      <c r="J1050" s="7">
        <v>4.0</v>
      </c>
      <c r="K1050" s="7" t="s">
        <v>28</v>
      </c>
      <c r="L1050" s="9" t="str">
        <f>VLOOKUP(K1050, 'Alphabetical by species code'!A:B, 2, FALSE)</f>
        <v>Litter</v>
      </c>
      <c r="M1050" s="9" t="str">
        <f>VLOOKUP(L1050, 'Alphabetical by species code'!B:C, 2, FALSE)</f>
        <v>Ground Cover</v>
      </c>
    </row>
    <row r="1051">
      <c r="A1051" s="7">
        <v>12.0</v>
      </c>
      <c r="B1051" s="7">
        <v>2025.0</v>
      </c>
      <c r="C1051" s="8">
        <v>45790.0</v>
      </c>
      <c r="D1051" s="7" t="s">
        <v>83</v>
      </c>
      <c r="E1051" s="7" t="s">
        <v>75</v>
      </c>
      <c r="F1051" s="7">
        <v>1.0</v>
      </c>
      <c r="G1051" s="7" t="s">
        <v>66</v>
      </c>
      <c r="H1051" s="7">
        <v>2.0</v>
      </c>
      <c r="I1051" s="7">
        <v>7.0</v>
      </c>
      <c r="J1051" s="7">
        <v>4.0</v>
      </c>
      <c r="K1051" s="7" t="s">
        <v>35</v>
      </c>
      <c r="L1051" s="9" t="str">
        <f>VLOOKUP(K1051, 'Alphabetical by species code'!A:B, 2, FALSE)</f>
        <v>Deinandra fasciculata</v>
      </c>
      <c r="M1051" s="9" t="str">
        <f>VLOOKUP(L1051, 'Alphabetical by species code'!B:C, 2, FALSE)</f>
        <v>Native</v>
      </c>
    </row>
    <row r="1052">
      <c r="A1052" s="7">
        <v>12.0</v>
      </c>
      <c r="B1052" s="7">
        <v>2025.0</v>
      </c>
      <c r="C1052" s="8">
        <v>45790.0</v>
      </c>
      <c r="D1052" s="7" t="s">
        <v>83</v>
      </c>
      <c r="E1052" s="7" t="s">
        <v>75</v>
      </c>
      <c r="F1052" s="7">
        <v>1.0</v>
      </c>
      <c r="G1052" s="7" t="s">
        <v>66</v>
      </c>
      <c r="H1052" s="7">
        <v>2.0</v>
      </c>
      <c r="I1052" s="7">
        <v>8.0</v>
      </c>
      <c r="J1052" s="7">
        <v>5.0</v>
      </c>
      <c r="K1052" s="7" t="s">
        <v>28</v>
      </c>
      <c r="L1052" s="9" t="str">
        <f>VLOOKUP(K1052, 'Alphabetical by species code'!A:B, 2, FALSE)</f>
        <v>Litter</v>
      </c>
      <c r="M1052" s="9" t="str">
        <f>VLOOKUP(L1052, 'Alphabetical by species code'!B:C, 2, FALSE)</f>
        <v>Ground Cover</v>
      </c>
    </row>
    <row r="1053">
      <c r="A1053" s="7">
        <v>12.0</v>
      </c>
      <c r="B1053" s="7">
        <v>2025.0</v>
      </c>
      <c r="C1053" s="8">
        <v>45790.0</v>
      </c>
      <c r="D1053" s="7" t="s">
        <v>83</v>
      </c>
      <c r="E1053" s="7" t="s">
        <v>75</v>
      </c>
      <c r="F1053" s="7">
        <v>1.0</v>
      </c>
      <c r="G1053" s="7" t="s">
        <v>66</v>
      </c>
      <c r="H1053" s="7">
        <v>2.0</v>
      </c>
      <c r="I1053" s="7">
        <v>8.0</v>
      </c>
      <c r="J1053" s="7">
        <v>5.0</v>
      </c>
      <c r="K1053" s="7" t="s">
        <v>34</v>
      </c>
      <c r="L1053" s="9" t="str">
        <f>VLOOKUP(K1053, 'Alphabetical by species code'!A:B, 2, FALSE)</f>
        <v>Erodium cicutarium</v>
      </c>
      <c r="M1053" s="9" t="str">
        <f>VLOOKUP(L1053, 'Alphabetical by species code'!B:C, 2, FALSE)</f>
        <v>Non-Native</v>
      </c>
    </row>
    <row r="1054">
      <c r="A1054" s="7">
        <v>12.0</v>
      </c>
      <c r="B1054" s="7">
        <v>2025.0</v>
      </c>
      <c r="C1054" s="8">
        <v>45790.0</v>
      </c>
      <c r="D1054" s="7" t="s">
        <v>83</v>
      </c>
      <c r="E1054" s="7" t="s">
        <v>75</v>
      </c>
      <c r="F1054" s="7">
        <v>1.0</v>
      </c>
      <c r="G1054" s="7" t="s">
        <v>66</v>
      </c>
      <c r="H1054" s="7">
        <v>2.0</v>
      </c>
      <c r="I1054" s="7">
        <v>9.0</v>
      </c>
      <c r="J1054" s="7">
        <v>7.0</v>
      </c>
      <c r="K1054" s="7" t="s">
        <v>28</v>
      </c>
      <c r="L1054" s="9" t="str">
        <f>VLOOKUP(K1054, 'Alphabetical by species code'!A:B, 2, FALSE)</f>
        <v>Litter</v>
      </c>
      <c r="M1054" s="9" t="str">
        <f>VLOOKUP(L1054, 'Alphabetical by species code'!B:C, 2, FALSE)</f>
        <v>Ground Cover</v>
      </c>
    </row>
    <row r="1055">
      <c r="A1055" s="7">
        <v>12.0</v>
      </c>
      <c r="B1055" s="7">
        <v>2025.0</v>
      </c>
      <c r="C1055" s="8">
        <v>45790.0</v>
      </c>
      <c r="D1055" s="7" t="s">
        <v>83</v>
      </c>
      <c r="E1055" s="7" t="s">
        <v>75</v>
      </c>
      <c r="F1055" s="7">
        <v>1.0</v>
      </c>
      <c r="G1055" s="7" t="s">
        <v>66</v>
      </c>
      <c r="H1055" s="7">
        <v>2.0</v>
      </c>
      <c r="I1055" s="7">
        <v>9.0</v>
      </c>
      <c r="J1055" s="7">
        <v>7.0</v>
      </c>
      <c r="K1055" s="7" t="s">
        <v>36</v>
      </c>
      <c r="L1055" s="9" t="str">
        <f>VLOOKUP(K1055, 'Alphabetical by species code'!A:B, 2, FALSE)</f>
        <v>Bromus madritensis</v>
      </c>
      <c r="M1055" s="9" t="str">
        <f>VLOOKUP(L1055, 'Alphabetical by species code'!B:C, 2, FALSE)</f>
        <v>Non-Native</v>
      </c>
    </row>
    <row r="1056">
      <c r="A1056" s="7">
        <v>12.0</v>
      </c>
      <c r="B1056" s="7">
        <v>2025.0</v>
      </c>
      <c r="C1056" s="8">
        <v>45790.0</v>
      </c>
      <c r="D1056" s="7" t="s">
        <v>83</v>
      </c>
      <c r="E1056" s="7" t="s">
        <v>75</v>
      </c>
      <c r="F1056" s="7">
        <v>1.0</v>
      </c>
      <c r="G1056" s="7" t="s">
        <v>66</v>
      </c>
      <c r="H1056" s="7">
        <v>2.0</v>
      </c>
      <c r="I1056" s="7">
        <v>9.0</v>
      </c>
      <c r="J1056" s="7">
        <v>7.0</v>
      </c>
      <c r="K1056" s="7" t="s">
        <v>31</v>
      </c>
      <c r="L1056" s="9" t="str">
        <f>VLOOKUP(K1056, 'Alphabetical by species code'!A:B, 2, FALSE)</f>
        <v>Festuca myuros</v>
      </c>
      <c r="M1056" s="9" t="str">
        <f>VLOOKUP(L1056, 'Alphabetical by species code'!B:C, 2, FALSE)</f>
        <v>Non-Native</v>
      </c>
    </row>
    <row r="1057">
      <c r="A1057" s="7">
        <v>12.0</v>
      </c>
      <c r="B1057" s="7">
        <v>2025.0</v>
      </c>
      <c r="C1057" s="8">
        <v>45790.0</v>
      </c>
      <c r="D1057" s="7" t="s">
        <v>83</v>
      </c>
      <c r="E1057" s="7" t="s">
        <v>75</v>
      </c>
      <c r="F1057" s="7">
        <v>1.0</v>
      </c>
      <c r="G1057" s="7" t="s">
        <v>66</v>
      </c>
      <c r="H1057" s="7">
        <v>2.0</v>
      </c>
      <c r="I1057" s="7">
        <v>10.0</v>
      </c>
      <c r="J1057" s="7">
        <v>8.0</v>
      </c>
      <c r="K1057" s="7" t="s">
        <v>28</v>
      </c>
      <c r="L1057" s="9" t="str">
        <f>VLOOKUP(K1057, 'Alphabetical by species code'!A:B, 2, FALSE)</f>
        <v>Litter</v>
      </c>
      <c r="M1057" s="9" t="str">
        <f>VLOOKUP(L1057, 'Alphabetical by species code'!B:C, 2, FALSE)</f>
        <v>Ground Cover</v>
      </c>
    </row>
    <row r="1058">
      <c r="A1058" s="7">
        <v>12.0</v>
      </c>
      <c r="B1058" s="7">
        <v>2025.0</v>
      </c>
      <c r="C1058" s="8">
        <v>45790.0</v>
      </c>
      <c r="D1058" s="7" t="s">
        <v>83</v>
      </c>
      <c r="E1058" s="7" t="s">
        <v>75</v>
      </c>
      <c r="F1058" s="7">
        <v>1.0</v>
      </c>
      <c r="G1058" s="7" t="s">
        <v>66</v>
      </c>
      <c r="H1058" s="7">
        <v>2.0</v>
      </c>
      <c r="I1058" s="7">
        <v>10.0</v>
      </c>
      <c r="J1058" s="7">
        <v>8.0</v>
      </c>
      <c r="K1058" s="7" t="s">
        <v>64</v>
      </c>
      <c r="L1058" s="9" t="str">
        <f>VLOOKUP(K1058, 'Alphabetical by species code'!A:B, 2, FALSE)</f>
        <v>Brassica nigra</v>
      </c>
      <c r="M1058" s="9" t="str">
        <f>VLOOKUP(L1058, 'Alphabetical by species code'!B:C, 2, FALSE)</f>
        <v>Non-Native</v>
      </c>
    </row>
    <row r="1059">
      <c r="A1059" s="7">
        <v>12.0</v>
      </c>
      <c r="B1059" s="7">
        <v>2025.0</v>
      </c>
      <c r="C1059" s="8">
        <v>45790.0</v>
      </c>
      <c r="D1059" s="7" t="s">
        <v>83</v>
      </c>
      <c r="E1059" s="7" t="s">
        <v>75</v>
      </c>
      <c r="F1059" s="7">
        <v>1.0</v>
      </c>
      <c r="G1059" s="7" t="s">
        <v>66</v>
      </c>
      <c r="H1059" s="7">
        <v>2.0</v>
      </c>
      <c r="I1059" s="7">
        <v>11.0</v>
      </c>
      <c r="J1059" s="7">
        <v>8.5</v>
      </c>
      <c r="K1059" s="7" t="s">
        <v>52</v>
      </c>
      <c r="L1059" s="9" t="str">
        <f>VLOOKUP(K1059, 'Alphabetical by species code'!A:B, 2, FALSE)</f>
        <v>Rock</v>
      </c>
      <c r="M1059" s="9" t="str">
        <f>VLOOKUP(L1059, 'Alphabetical by species code'!B:C, 2, FALSE)</f>
        <v>Ground Cover</v>
      </c>
    </row>
    <row r="1060">
      <c r="A1060" s="7">
        <v>12.0</v>
      </c>
      <c r="B1060" s="7">
        <v>2025.0</v>
      </c>
      <c r="C1060" s="8">
        <v>45790.0</v>
      </c>
      <c r="D1060" s="7" t="s">
        <v>83</v>
      </c>
      <c r="E1060" s="7" t="s">
        <v>75</v>
      </c>
      <c r="F1060" s="7">
        <v>1.0</v>
      </c>
      <c r="G1060" s="7" t="s">
        <v>66</v>
      </c>
      <c r="H1060" s="7">
        <v>2.0</v>
      </c>
      <c r="I1060" s="7">
        <v>12.0</v>
      </c>
      <c r="J1060" s="7">
        <v>9.0</v>
      </c>
      <c r="K1060" s="7" t="s">
        <v>52</v>
      </c>
      <c r="L1060" s="9" t="str">
        <f>VLOOKUP(K1060, 'Alphabetical by species code'!A:B, 2, FALSE)</f>
        <v>Rock</v>
      </c>
      <c r="M1060" s="9" t="str">
        <f>VLOOKUP(L1060, 'Alphabetical by species code'!B:C, 2, FALSE)</f>
        <v>Ground Cover</v>
      </c>
    </row>
    <row r="1061">
      <c r="A1061" s="7">
        <v>12.0</v>
      </c>
      <c r="B1061" s="7">
        <v>2025.0</v>
      </c>
      <c r="C1061" s="8">
        <v>45790.0</v>
      </c>
      <c r="D1061" s="7" t="s">
        <v>83</v>
      </c>
      <c r="E1061" s="7" t="s">
        <v>75</v>
      </c>
      <c r="F1061" s="7">
        <v>1.0</v>
      </c>
      <c r="G1061" s="7" t="s">
        <v>66</v>
      </c>
      <c r="H1061" s="7">
        <v>2.0</v>
      </c>
      <c r="I1061" s="7">
        <v>13.0</v>
      </c>
      <c r="J1061" s="7">
        <v>10.0</v>
      </c>
      <c r="K1061" s="7" t="s">
        <v>28</v>
      </c>
      <c r="L1061" s="9" t="str">
        <f>VLOOKUP(K1061, 'Alphabetical by species code'!A:B, 2, FALSE)</f>
        <v>Litter</v>
      </c>
      <c r="M1061" s="9" t="str">
        <f>VLOOKUP(L1061, 'Alphabetical by species code'!B:C, 2, FALSE)</f>
        <v>Ground Cover</v>
      </c>
    </row>
    <row r="1062">
      <c r="A1062" s="7">
        <v>12.0</v>
      </c>
      <c r="B1062" s="7">
        <v>2025.0</v>
      </c>
      <c r="C1062" s="8">
        <v>45790.0</v>
      </c>
      <c r="D1062" s="7" t="s">
        <v>83</v>
      </c>
      <c r="E1062" s="7" t="s">
        <v>75</v>
      </c>
      <c r="F1062" s="7">
        <v>1.0</v>
      </c>
      <c r="G1062" s="7" t="s">
        <v>66</v>
      </c>
      <c r="H1062" s="7">
        <v>2.0</v>
      </c>
      <c r="I1062" s="7">
        <v>13.0</v>
      </c>
      <c r="J1062" s="7">
        <v>10.0</v>
      </c>
      <c r="K1062" s="7" t="s">
        <v>47</v>
      </c>
      <c r="L1062" s="9" t="str">
        <f>VLOOKUP(K1062, 'Alphabetical by species code'!A:B, 2, FALSE)</f>
        <v>Sonchus species</v>
      </c>
      <c r="M1062" s="9" t="str">
        <f>VLOOKUP(L1062, 'Alphabetical by species code'!B:C, 2, FALSE)</f>
        <v>Non-Native</v>
      </c>
    </row>
    <row r="1063">
      <c r="A1063" s="7">
        <v>12.0</v>
      </c>
      <c r="B1063" s="7">
        <v>2025.0</v>
      </c>
      <c r="C1063" s="8">
        <v>45790.0</v>
      </c>
      <c r="D1063" s="7" t="s">
        <v>83</v>
      </c>
      <c r="E1063" s="7" t="s">
        <v>75</v>
      </c>
      <c r="F1063" s="7">
        <v>1.0</v>
      </c>
      <c r="G1063" s="7" t="s">
        <v>66</v>
      </c>
      <c r="H1063" s="7">
        <v>2.0</v>
      </c>
      <c r="I1063" s="7">
        <v>13.0</v>
      </c>
      <c r="J1063" s="7">
        <v>10.0</v>
      </c>
      <c r="K1063" s="7" t="s">
        <v>65</v>
      </c>
      <c r="L1063" s="9" t="str">
        <f>VLOOKUP(K1063, 'Alphabetical by species code'!A:B, 2, FALSE)</f>
        <v>Cryptantha intermedia</v>
      </c>
      <c r="M1063" s="9" t="str">
        <f>VLOOKUP(L1063, 'Alphabetical by species code'!B:C, 2, FALSE)</f>
        <v>Native</v>
      </c>
    </row>
    <row r="1064">
      <c r="A1064" s="7">
        <v>12.0</v>
      </c>
      <c r="B1064" s="7">
        <v>2025.0</v>
      </c>
      <c r="C1064" s="8">
        <v>45790.0</v>
      </c>
      <c r="D1064" s="7" t="s">
        <v>83</v>
      </c>
      <c r="E1064" s="7" t="s">
        <v>75</v>
      </c>
      <c r="F1064" s="7">
        <v>1.0</v>
      </c>
      <c r="G1064" s="7" t="s">
        <v>66</v>
      </c>
      <c r="H1064" s="7">
        <v>2.0</v>
      </c>
      <c r="I1064" s="7">
        <v>13.0</v>
      </c>
      <c r="J1064" s="7">
        <v>10.0</v>
      </c>
      <c r="K1064" s="7" t="s">
        <v>64</v>
      </c>
      <c r="L1064" s="9" t="str">
        <f>VLOOKUP(K1064, 'Alphabetical by species code'!A:B, 2, FALSE)</f>
        <v>Brassica nigra</v>
      </c>
      <c r="M1064" s="9" t="str">
        <f>VLOOKUP(L1064, 'Alphabetical by species code'!B:C, 2, FALSE)</f>
        <v>Non-Native</v>
      </c>
    </row>
    <row r="1065">
      <c r="A1065" s="7">
        <v>12.0</v>
      </c>
      <c r="B1065" s="7">
        <v>2025.0</v>
      </c>
      <c r="C1065" s="8">
        <v>45790.0</v>
      </c>
      <c r="D1065" s="7" t="s">
        <v>83</v>
      </c>
      <c r="E1065" s="7" t="s">
        <v>75</v>
      </c>
      <c r="F1065" s="7">
        <v>1.0</v>
      </c>
      <c r="G1065" s="7" t="s">
        <v>66</v>
      </c>
      <c r="H1065" s="7">
        <v>2.0</v>
      </c>
      <c r="I1065" s="7">
        <v>14.0</v>
      </c>
      <c r="J1065" s="7">
        <v>11.0</v>
      </c>
      <c r="K1065" s="7" t="s">
        <v>28</v>
      </c>
      <c r="L1065" s="9" t="str">
        <f>VLOOKUP(K1065, 'Alphabetical by species code'!A:B, 2, FALSE)</f>
        <v>Litter</v>
      </c>
      <c r="M1065" s="9" t="str">
        <f>VLOOKUP(L1065, 'Alphabetical by species code'!B:C, 2, FALSE)</f>
        <v>Ground Cover</v>
      </c>
    </row>
    <row r="1066">
      <c r="A1066" s="7">
        <v>12.0</v>
      </c>
      <c r="B1066" s="7">
        <v>2025.0</v>
      </c>
      <c r="C1066" s="8">
        <v>45790.0</v>
      </c>
      <c r="D1066" s="7" t="s">
        <v>83</v>
      </c>
      <c r="E1066" s="7" t="s">
        <v>75</v>
      </c>
      <c r="F1066" s="7">
        <v>1.0</v>
      </c>
      <c r="G1066" s="7" t="s">
        <v>66</v>
      </c>
      <c r="H1066" s="7">
        <v>2.0</v>
      </c>
      <c r="I1066" s="7">
        <v>14.0</v>
      </c>
      <c r="J1066" s="7">
        <v>11.0</v>
      </c>
      <c r="K1066" s="7" t="s">
        <v>35</v>
      </c>
      <c r="L1066" s="9" t="str">
        <f>VLOOKUP(K1066, 'Alphabetical by species code'!A:B, 2, FALSE)</f>
        <v>Deinandra fasciculata</v>
      </c>
      <c r="M1066" s="9" t="str">
        <f>VLOOKUP(L1066, 'Alphabetical by species code'!B:C, 2, FALSE)</f>
        <v>Native</v>
      </c>
    </row>
    <row r="1067">
      <c r="A1067" s="7">
        <v>12.0</v>
      </c>
      <c r="B1067" s="7">
        <v>2025.0</v>
      </c>
      <c r="C1067" s="8">
        <v>45790.0</v>
      </c>
      <c r="D1067" s="7" t="s">
        <v>83</v>
      </c>
      <c r="E1067" s="7" t="s">
        <v>75</v>
      </c>
      <c r="F1067" s="7">
        <v>1.0</v>
      </c>
      <c r="G1067" s="7" t="s">
        <v>66</v>
      </c>
      <c r="H1067" s="7">
        <v>2.0</v>
      </c>
      <c r="I1067" s="7">
        <v>15.0</v>
      </c>
      <c r="J1067" s="7">
        <v>12.0</v>
      </c>
      <c r="K1067" s="7" t="s">
        <v>52</v>
      </c>
      <c r="L1067" s="9" t="str">
        <f>VLOOKUP(K1067, 'Alphabetical by species code'!A:B, 2, FALSE)</f>
        <v>Rock</v>
      </c>
      <c r="M1067" s="9" t="str">
        <f>VLOOKUP(L1067, 'Alphabetical by species code'!B:C, 2, FALSE)</f>
        <v>Ground Cover</v>
      </c>
    </row>
    <row r="1068">
      <c r="A1068" s="7">
        <v>12.0</v>
      </c>
      <c r="B1068" s="7">
        <v>2025.0</v>
      </c>
      <c r="C1068" s="8">
        <v>45790.0</v>
      </c>
      <c r="D1068" s="7" t="s">
        <v>83</v>
      </c>
      <c r="E1068" s="7" t="s">
        <v>75</v>
      </c>
      <c r="F1068" s="7">
        <v>1.0</v>
      </c>
      <c r="G1068" s="7" t="s">
        <v>66</v>
      </c>
      <c r="H1068" s="7">
        <v>2.0</v>
      </c>
      <c r="I1068" s="7">
        <v>15.0</v>
      </c>
      <c r="J1068" s="7">
        <v>12.0</v>
      </c>
      <c r="K1068" s="7" t="s">
        <v>29</v>
      </c>
      <c r="L1068" s="9" t="str">
        <f>VLOOKUP(K1068, 'Alphabetical by species code'!A:B, 2, FALSE)</f>
        <v>Opuntia littoralis</v>
      </c>
      <c r="M1068" s="9" t="str">
        <f>VLOOKUP(L1068, 'Alphabetical by species code'!B:C, 2, FALSE)</f>
        <v>Native</v>
      </c>
    </row>
    <row r="1069">
      <c r="A1069" s="7">
        <v>13.0</v>
      </c>
      <c r="B1069" s="7">
        <v>2025.0</v>
      </c>
      <c r="C1069" s="8">
        <v>45790.0</v>
      </c>
      <c r="D1069" s="7" t="s">
        <v>83</v>
      </c>
      <c r="E1069" s="7" t="s">
        <v>85</v>
      </c>
      <c r="F1069" s="7">
        <v>3.0</v>
      </c>
      <c r="G1069" s="7" t="s">
        <v>27</v>
      </c>
      <c r="H1069" s="7">
        <v>1.0</v>
      </c>
      <c r="I1069" s="7">
        <v>1.0</v>
      </c>
      <c r="J1069" s="7">
        <v>0.0</v>
      </c>
      <c r="K1069" s="7" t="s">
        <v>28</v>
      </c>
      <c r="L1069" s="9" t="str">
        <f>VLOOKUP(K1069, 'Alphabetical by species code'!A:B, 2, FALSE)</f>
        <v>Litter</v>
      </c>
      <c r="M1069" s="9" t="str">
        <f>VLOOKUP(L1069, 'Alphabetical by species code'!B:C, 2, FALSE)</f>
        <v>Ground Cover</v>
      </c>
    </row>
    <row r="1070">
      <c r="A1070" s="7">
        <v>13.0</v>
      </c>
      <c r="B1070" s="7">
        <v>2025.0</v>
      </c>
      <c r="C1070" s="8">
        <v>45790.0</v>
      </c>
      <c r="D1070" s="7" t="s">
        <v>83</v>
      </c>
      <c r="E1070" s="7" t="s">
        <v>85</v>
      </c>
      <c r="F1070" s="7">
        <v>3.0</v>
      </c>
      <c r="G1070" s="7" t="s">
        <v>27</v>
      </c>
      <c r="H1070" s="7">
        <v>1.0</v>
      </c>
      <c r="I1070" s="7">
        <v>1.0</v>
      </c>
      <c r="J1070" s="7">
        <v>0.0</v>
      </c>
      <c r="K1070" s="7" t="s">
        <v>64</v>
      </c>
      <c r="L1070" s="9" t="str">
        <f>VLOOKUP(K1070, 'Alphabetical by species code'!A:B, 2, FALSE)</f>
        <v>Brassica nigra</v>
      </c>
      <c r="M1070" s="9" t="str">
        <f>VLOOKUP(L1070, 'Alphabetical by species code'!B:C, 2, FALSE)</f>
        <v>Non-Native</v>
      </c>
    </row>
    <row r="1071">
      <c r="A1071" s="7">
        <v>13.0</v>
      </c>
      <c r="B1071" s="7">
        <v>2025.0</v>
      </c>
      <c r="C1071" s="8">
        <v>45790.0</v>
      </c>
      <c r="D1071" s="7" t="s">
        <v>83</v>
      </c>
      <c r="E1071" s="7" t="s">
        <v>85</v>
      </c>
      <c r="F1071" s="7">
        <v>3.0</v>
      </c>
      <c r="G1071" s="7" t="s">
        <v>27</v>
      </c>
      <c r="H1071" s="7">
        <v>1.0</v>
      </c>
      <c r="I1071" s="7">
        <v>1.0</v>
      </c>
      <c r="J1071" s="7">
        <v>0.0</v>
      </c>
      <c r="K1071" s="7" t="s">
        <v>36</v>
      </c>
      <c r="L1071" s="9" t="str">
        <f>VLOOKUP(K1071, 'Alphabetical by species code'!A:B, 2, FALSE)</f>
        <v>Bromus madritensis</v>
      </c>
      <c r="M1071" s="9" t="str">
        <f>VLOOKUP(L1071, 'Alphabetical by species code'!B:C, 2, FALSE)</f>
        <v>Non-Native</v>
      </c>
    </row>
    <row r="1072">
      <c r="A1072" s="7">
        <v>13.0</v>
      </c>
      <c r="B1072" s="7">
        <v>2025.0</v>
      </c>
      <c r="C1072" s="8">
        <v>45790.0</v>
      </c>
      <c r="D1072" s="7" t="s">
        <v>83</v>
      </c>
      <c r="E1072" s="7" t="s">
        <v>85</v>
      </c>
      <c r="F1072" s="7">
        <v>3.0</v>
      </c>
      <c r="G1072" s="7" t="s">
        <v>27</v>
      </c>
      <c r="H1072" s="7">
        <v>1.0</v>
      </c>
      <c r="I1072" s="7">
        <v>2.0</v>
      </c>
      <c r="J1072" s="7">
        <v>0.5</v>
      </c>
      <c r="K1072" s="7" t="s">
        <v>28</v>
      </c>
      <c r="L1072" s="9" t="str">
        <f>VLOOKUP(K1072, 'Alphabetical by species code'!A:B, 2, FALSE)</f>
        <v>Litter</v>
      </c>
      <c r="M1072" s="9" t="str">
        <f>VLOOKUP(L1072, 'Alphabetical by species code'!B:C, 2, FALSE)</f>
        <v>Ground Cover</v>
      </c>
    </row>
    <row r="1073">
      <c r="A1073" s="7">
        <v>13.0</v>
      </c>
      <c r="B1073" s="7">
        <v>2025.0</v>
      </c>
      <c r="C1073" s="8">
        <v>45790.0</v>
      </c>
      <c r="D1073" s="7" t="s">
        <v>83</v>
      </c>
      <c r="E1073" s="7" t="s">
        <v>85</v>
      </c>
      <c r="F1073" s="7">
        <v>3.0</v>
      </c>
      <c r="G1073" s="7" t="s">
        <v>27</v>
      </c>
      <c r="H1073" s="7">
        <v>1.0</v>
      </c>
      <c r="I1073" s="7">
        <v>2.0</v>
      </c>
      <c r="J1073" s="7">
        <v>0.5</v>
      </c>
      <c r="K1073" s="7" t="s">
        <v>36</v>
      </c>
      <c r="L1073" s="9" t="str">
        <f>VLOOKUP(K1073, 'Alphabetical by species code'!A:B, 2, FALSE)</f>
        <v>Bromus madritensis</v>
      </c>
      <c r="M1073" s="9" t="str">
        <f>VLOOKUP(L1073, 'Alphabetical by species code'!B:C, 2, FALSE)</f>
        <v>Non-Native</v>
      </c>
    </row>
    <row r="1074">
      <c r="A1074" s="7">
        <v>13.0</v>
      </c>
      <c r="B1074" s="7">
        <v>2025.0</v>
      </c>
      <c r="C1074" s="8">
        <v>45790.0</v>
      </c>
      <c r="D1074" s="7" t="s">
        <v>83</v>
      </c>
      <c r="E1074" s="7" t="s">
        <v>85</v>
      </c>
      <c r="F1074" s="7">
        <v>3.0</v>
      </c>
      <c r="G1074" s="7" t="s">
        <v>27</v>
      </c>
      <c r="H1074" s="7">
        <v>1.0</v>
      </c>
      <c r="I1074" s="7">
        <v>2.0</v>
      </c>
      <c r="J1074" s="7">
        <v>0.5</v>
      </c>
      <c r="K1074" s="7" t="s">
        <v>29</v>
      </c>
      <c r="L1074" s="9" t="str">
        <f>VLOOKUP(K1074, 'Alphabetical by species code'!A:B, 2, FALSE)</f>
        <v>Opuntia littoralis</v>
      </c>
      <c r="M1074" s="9" t="str">
        <f>VLOOKUP(L1074, 'Alphabetical by species code'!B:C, 2, FALSE)</f>
        <v>Native</v>
      </c>
    </row>
    <row r="1075">
      <c r="A1075" s="7">
        <v>13.0</v>
      </c>
      <c r="B1075" s="7">
        <v>2025.0</v>
      </c>
      <c r="C1075" s="8">
        <v>45790.0</v>
      </c>
      <c r="D1075" s="7" t="s">
        <v>83</v>
      </c>
      <c r="E1075" s="7" t="s">
        <v>85</v>
      </c>
      <c r="F1075" s="7">
        <v>3.0</v>
      </c>
      <c r="G1075" s="7" t="s">
        <v>27</v>
      </c>
      <c r="H1075" s="7">
        <v>1.0</v>
      </c>
      <c r="I1075" s="7">
        <v>3.0</v>
      </c>
      <c r="J1075" s="7">
        <v>1.0</v>
      </c>
      <c r="K1075" s="7" t="s">
        <v>28</v>
      </c>
      <c r="L1075" s="9" t="str">
        <f>VLOOKUP(K1075, 'Alphabetical by species code'!A:B, 2, FALSE)</f>
        <v>Litter</v>
      </c>
      <c r="M1075" s="9" t="str">
        <f>VLOOKUP(L1075, 'Alphabetical by species code'!B:C, 2, FALSE)</f>
        <v>Ground Cover</v>
      </c>
    </row>
    <row r="1076">
      <c r="A1076" s="7">
        <v>13.0</v>
      </c>
      <c r="B1076" s="7">
        <v>2025.0</v>
      </c>
      <c r="C1076" s="8">
        <v>45790.0</v>
      </c>
      <c r="D1076" s="7" t="s">
        <v>83</v>
      </c>
      <c r="E1076" s="7" t="s">
        <v>85</v>
      </c>
      <c r="F1076" s="7">
        <v>3.0</v>
      </c>
      <c r="G1076" s="7" t="s">
        <v>27</v>
      </c>
      <c r="H1076" s="7">
        <v>1.0</v>
      </c>
      <c r="I1076" s="7">
        <v>3.0</v>
      </c>
      <c r="J1076" s="7">
        <v>1.0</v>
      </c>
      <c r="K1076" s="7" t="s">
        <v>64</v>
      </c>
      <c r="L1076" s="9" t="str">
        <f>VLOOKUP(K1076, 'Alphabetical by species code'!A:B, 2, FALSE)</f>
        <v>Brassica nigra</v>
      </c>
      <c r="M1076" s="9" t="str">
        <f>VLOOKUP(L1076, 'Alphabetical by species code'!B:C, 2, FALSE)</f>
        <v>Non-Native</v>
      </c>
    </row>
    <row r="1077">
      <c r="A1077" s="7">
        <v>13.0</v>
      </c>
      <c r="B1077" s="7">
        <v>2025.0</v>
      </c>
      <c r="C1077" s="8">
        <v>45790.0</v>
      </c>
      <c r="D1077" s="7" t="s">
        <v>83</v>
      </c>
      <c r="E1077" s="7" t="s">
        <v>85</v>
      </c>
      <c r="F1077" s="7">
        <v>3.0</v>
      </c>
      <c r="G1077" s="7" t="s">
        <v>27</v>
      </c>
      <c r="H1077" s="7">
        <v>1.0</v>
      </c>
      <c r="I1077" s="7">
        <v>3.0</v>
      </c>
      <c r="J1077" s="7">
        <v>1.0</v>
      </c>
      <c r="K1077" s="7" t="s">
        <v>49</v>
      </c>
      <c r="L1077" s="9" t="str">
        <f>VLOOKUP(K1077, 'Alphabetical by species code'!A:B, 2, FALSE)</f>
        <v>Anagallis arvensis</v>
      </c>
      <c r="M1077" s="9" t="str">
        <f>VLOOKUP(L1077, 'Alphabetical by species code'!B:C, 2, FALSE)</f>
        <v>Non-Native</v>
      </c>
    </row>
    <row r="1078">
      <c r="A1078" s="7">
        <v>13.0</v>
      </c>
      <c r="B1078" s="7">
        <v>2025.0</v>
      </c>
      <c r="C1078" s="8">
        <v>45790.0</v>
      </c>
      <c r="D1078" s="7" t="s">
        <v>83</v>
      </c>
      <c r="E1078" s="7" t="s">
        <v>85</v>
      </c>
      <c r="F1078" s="7">
        <v>3.0</v>
      </c>
      <c r="G1078" s="7" t="s">
        <v>27</v>
      </c>
      <c r="H1078" s="7">
        <v>1.0</v>
      </c>
      <c r="I1078" s="7">
        <v>4.0</v>
      </c>
      <c r="J1078" s="7">
        <v>1.5</v>
      </c>
      <c r="K1078" s="7" t="s">
        <v>28</v>
      </c>
      <c r="L1078" s="9" t="str">
        <f>VLOOKUP(K1078, 'Alphabetical by species code'!A:B, 2, FALSE)</f>
        <v>Litter</v>
      </c>
      <c r="M1078" s="9" t="str">
        <f>VLOOKUP(L1078, 'Alphabetical by species code'!B:C, 2, FALSE)</f>
        <v>Ground Cover</v>
      </c>
    </row>
    <row r="1079">
      <c r="A1079" s="7">
        <v>13.0</v>
      </c>
      <c r="B1079" s="7">
        <v>2025.0</v>
      </c>
      <c r="C1079" s="8">
        <v>45790.0</v>
      </c>
      <c r="D1079" s="7" t="s">
        <v>83</v>
      </c>
      <c r="E1079" s="7" t="s">
        <v>85</v>
      </c>
      <c r="F1079" s="7">
        <v>3.0</v>
      </c>
      <c r="G1079" s="7" t="s">
        <v>27</v>
      </c>
      <c r="H1079" s="7">
        <v>1.0</v>
      </c>
      <c r="I1079" s="7">
        <v>4.0</v>
      </c>
      <c r="J1079" s="7">
        <v>1.5</v>
      </c>
      <c r="K1079" s="7" t="s">
        <v>64</v>
      </c>
      <c r="L1079" s="9" t="str">
        <f>VLOOKUP(K1079, 'Alphabetical by species code'!A:B, 2, FALSE)</f>
        <v>Brassica nigra</v>
      </c>
      <c r="M1079" s="9" t="str">
        <f>VLOOKUP(L1079, 'Alphabetical by species code'!B:C, 2, FALSE)</f>
        <v>Non-Native</v>
      </c>
    </row>
    <row r="1080">
      <c r="A1080" s="7">
        <v>13.0</v>
      </c>
      <c r="B1080" s="7">
        <v>2025.0</v>
      </c>
      <c r="C1080" s="8">
        <v>45790.0</v>
      </c>
      <c r="D1080" s="7" t="s">
        <v>83</v>
      </c>
      <c r="E1080" s="7" t="s">
        <v>85</v>
      </c>
      <c r="F1080" s="7">
        <v>3.0</v>
      </c>
      <c r="G1080" s="7" t="s">
        <v>27</v>
      </c>
      <c r="H1080" s="7">
        <v>1.0</v>
      </c>
      <c r="I1080" s="7">
        <v>4.0</v>
      </c>
      <c r="J1080" s="7">
        <v>1.5</v>
      </c>
      <c r="K1080" s="7" t="s">
        <v>36</v>
      </c>
      <c r="L1080" s="9" t="str">
        <f>VLOOKUP(K1080, 'Alphabetical by species code'!A:B, 2, FALSE)</f>
        <v>Bromus madritensis</v>
      </c>
      <c r="M1080" s="9" t="str">
        <f>VLOOKUP(L1080, 'Alphabetical by species code'!B:C, 2, FALSE)</f>
        <v>Non-Native</v>
      </c>
    </row>
    <row r="1081">
      <c r="A1081" s="7">
        <v>13.0</v>
      </c>
      <c r="B1081" s="7">
        <v>2025.0</v>
      </c>
      <c r="C1081" s="8">
        <v>45790.0</v>
      </c>
      <c r="D1081" s="7" t="s">
        <v>83</v>
      </c>
      <c r="E1081" s="7" t="s">
        <v>85</v>
      </c>
      <c r="F1081" s="7">
        <v>3.0</v>
      </c>
      <c r="G1081" s="7" t="s">
        <v>27</v>
      </c>
      <c r="H1081" s="7">
        <v>1.0</v>
      </c>
      <c r="I1081" s="7">
        <v>4.0</v>
      </c>
      <c r="J1081" s="7">
        <v>1.5</v>
      </c>
      <c r="K1081" s="7" t="s">
        <v>31</v>
      </c>
      <c r="L1081" s="9" t="str">
        <f>VLOOKUP(K1081, 'Alphabetical by species code'!A:B, 2, FALSE)</f>
        <v>Festuca myuros</v>
      </c>
      <c r="M1081" s="9" t="str">
        <f>VLOOKUP(L1081, 'Alphabetical by species code'!B:C, 2, FALSE)</f>
        <v>Non-Native</v>
      </c>
    </row>
    <row r="1082">
      <c r="A1082" s="7">
        <v>13.0</v>
      </c>
      <c r="B1082" s="7">
        <v>2025.0</v>
      </c>
      <c r="C1082" s="8">
        <v>45790.0</v>
      </c>
      <c r="D1082" s="7" t="s">
        <v>83</v>
      </c>
      <c r="E1082" s="7" t="s">
        <v>85</v>
      </c>
      <c r="F1082" s="7">
        <v>3.0</v>
      </c>
      <c r="G1082" s="7" t="s">
        <v>27</v>
      </c>
      <c r="H1082" s="7">
        <v>1.0</v>
      </c>
      <c r="I1082" s="7">
        <v>4.0</v>
      </c>
      <c r="J1082" s="7">
        <v>1.5</v>
      </c>
      <c r="K1082" s="7" t="s">
        <v>49</v>
      </c>
      <c r="L1082" s="9" t="str">
        <f>VLOOKUP(K1082, 'Alphabetical by species code'!A:B, 2, FALSE)</f>
        <v>Anagallis arvensis</v>
      </c>
      <c r="M1082" s="9" t="str">
        <f>VLOOKUP(L1082, 'Alphabetical by species code'!B:C, 2, FALSE)</f>
        <v>Non-Native</v>
      </c>
    </row>
    <row r="1083">
      <c r="A1083" s="7">
        <v>13.0</v>
      </c>
      <c r="B1083" s="7">
        <v>2025.0</v>
      </c>
      <c r="C1083" s="8">
        <v>45790.0</v>
      </c>
      <c r="D1083" s="7" t="s">
        <v>83</v>
      </c>
      <c r="E1083" s="7" t="s">
        <v>85</v>
      </c>
      <c r="F1083" s="7">
        <v>3.0</v>
      </c>
      <c r="G1083" s="7" t="s">
        <v>27</v>
      </c>
      <c r="H1083" s="7">
        <v>1.0</v>
      </c>
      <c r="I1083" s="7">
        <v>5.0</v>
      </c>
      <c r="J1083" s="7">
        <v>2.0</v>
      </c>
      <c r="K1083" s="7" t="s">
        <v>28</v>
      </c>
      <c r="L1083" s="9" t="str">
        <f>VLOOKUP(K1083, 'Alphabetical by species code'!A:B, 2, FALSE)</f>
        <v>Litter</v>
      </c>
      <c r="M1083" s="9" t="str">
        <f>VLOOKUP(L1083, 'Alphabetical by species code'!B:C, 2, FALSE)</f>
        <v>Ground Cover</v>
      </c>
    </row>
    <row r="1084">
      <c r="A1084" s="7">
        <v>13.0</v>
      </c>
      <c r="B1084" s="7">
        <v>2025.0</v>
      </c>
      <c r="C1084" s="8">
        <v>45790.0</v>
      </c>
      <c r="D1084" s="7" t="s">
        <v>83</v>
      </c>
      <c r="E1084" s="7" t="s">
        <v>85</v>
      </c>
      <c r="F1084" s="7">
        <v>3.0</v>
      </c>
      <c r="G1084" s="7" t="s">
        <v>27</v>
      </c>
      <c r="H1084" s="7">
        <v>1.0</v>
      </c>
      <c r="I1084" s="7">
        <v>5.0</v>
      </c>
      <c r="J1084" s="7">
        <v>2.0</v>
      </c>
      <c r="K1084" s="7" t="s">
        <v>36</v>
      </c>
      <c r="L1084" s="9" t="str">
        <f>VLOOKUP(K1084, 'Alphabetical by species code'!A:B, 2, FALSE)</f>
        <v>Bromus madritensis</v>
      </c>
      <c r="M1084" s="9" t="str">
        <f>VLOOKUP(L1084, 'Alphabetical by species code'!B:C, 2, FALSE)</f>
        <v>Non-Native</v>
      </c>
    </row>
    <row r="1085">
      <c r="A1085" s="7">
        <v>13.0</v>
      </c>
      <c r="B1085" s="7">
        <v>2025.0</v>
      </c>
      <c r="C1085" s="8">
        <v>45790.0</v>
      </c>
      <c r="D1085" s="7" t="s">
        <v>83</v>
      </c>
      <c r="E1085" s="7" t="s">
        <v>85</v>
      </c>
      <c r="F1085" s="7">
        <v>3.0</v>
      </c>
      <c r="G1085" s="7" t="s">
        <v>27</v>
      </c>
      <c r="H1085" s="7">
        <v>1.0</v>
      </c>
      <c r="I1085" s="7">
        <v>5.0</v>
      </c>
      <c r="J1085" s="7">
        <v>2.0</v>
      </c>
      <c r="K1085" s="7" t="s">
        <v>31</v>
      </c>
      <c r="L1085" s="9" t="str">
        <f>VLOOKUP(K1085, 'Alphabetical by species code'!A:B, 2, FALSE)</f>
        <v>Festuca myuros</v>
      </c>
      <c r="M1085" s="9" t="str">
        <f>VLOOKUP(L1085, 'Alphabetical by species code'!B:C, 2, FALSE)</f>
        <v>Non-Native</v>
      </c>
    </row>
    <row r="1086">
      <c r="A1086" s="7">
        <v>13.0</v>
      </c>
      <c r="B1086" s="7">
        <v>2025.0</v>
      </c>
      <c r="C1086" s="8">
        <v>45790.0</v>
      </c>
      <c r="D1086" s="7" t="s">
        <v>83</v>
      </c>
      <c r="E1086" s="7" t="s">
        <v>85</v>
      </c>
      <c r="F1086" s="7">
        <v>3.0</v>
      </c>
      <c r="G1086" s="7" t="s">
        <v>27</v>
      </c>
      <c r="H1086" s="7">
        <v>1.0</v>
      </c>
      <c r="I1086" s="7">
        <v>5.0</v>
      </c>
      <c r="J1086" s="7">
        <v>2.0</v>
      </c>
      <c r="K1086" s="7" t="s">
        <v>49</v>
      </c>
      <c r="L1086" s="9" t="str">
        <f>VLOOKUP(K1086, 'Alphabetical by species code'!A:B, 2, FALSE)</f>
        <v>Anagallis arvensis</v>
      </c>
      <c r="M1086" s="9" t="str">
        <f>VLOOKUP(L1086, 'Alphabetical by species code'!B:C, 2, FALSE)</f>
        <v>Non-Native</v>
      </c>
    </row>
    <row r="1087">
      <c r="A1087" s="7">
        <v>13.0</v>
      </c>
      <c r="B1087" s="7">
        <v>2025.0</v>
      </c>
      <c r="C1087" s="8">
        <v>45790.0</v>
      </c>
      <c r="D1087" s="7" t="s">
        <v>83</v>
      </c>
      <c r="E1087" s="7" t="s">
        <v>85</v>
      </c>
      <c r="F1087" s="7">
        <v>3.0</v>
      </c>
      <c r="G1087" s="7" t="s">
        <v>27</v>
      </c>
      <c r="H1087" s="7">
        <v>1.0</v>
      </c>
      <c r="I1087" s="7">
        <v>6.0</v>
      </c>
      <c r="J1087" s="7">
        <v>2.5</v>
      </c>
      <c r="K1087" s="7" t="s">
        <v>28</v>
      </c>
      <c r="L1087" s="9" t="str">
        <f>VLOOKUP(K1087, 'Alphabetical by species code'!A:B, 2, FALSE)</f>
        <v>Litter</v>
      </c>
      <c r="M1087" s="9" t="str">
        <f>VLOOKUP(L1087, 'Alphabetical by species code'!B:C, 2, FALSE)</f>
        <v>Ground Cover</v>
      </c>
    </row>
    <row r="1088">
      <c r="A1088" s="7">
        <v>13.0</v>
      </c>
      <c r="B1088" s="7">
        <v>2025.0</v>
      </c>
      <c r="C1088" s="8">
        <v>45790.0</v>
      </c>
      <c r="D1088" s="7" t="s">
        <v>83</v>
      </c>
      <c r="E1088" s="7" t="s">
        <v>85</v>
      </c>
      <c r="F1088" s="7">
        <v>3.0</v>
      </c>
      <c r="G1088" s="7" t="s">
        <v>27</v>
      </c>
      <c r="H1088" s="7">
        <v>1.0</v>
      </c>
      <c r="I1088" s="7">
        <v>6.0</v>
      </c>
      <c r="J1088" s="7">
        <v>2.5</v>
      </c>
      <c r="K1088" s="7" t="s">
        <v>31</v>
      </c>
      <c r="L1088" s="9" t="str">
        <f>VLOOKUP(K1088, 'Alphabetical by species code'!A:B, 2, FALSE)</f>
        <v>Festuca myuros</v>
      </c>
      <c r="M1088" s="9" t="str">
        <f>VLOOKUP(L1088, 'Alphabetical by species code'!B:C, 2, FALSE)</f>
        <v>Non-Native</v>
      </c>
    </row>
    <row r="1089">
      <c r="A1089" s="7">
        <v>13.0</v>
      </c>
      <c r="B1089" s="7">
        <v>2025.0</v>
      </c>
      <c r="C1089" s="8">
        <v>45790.0</v>
      </c>
      <c r="D1089" s="7" t="s">
        <v>83</v>
      </c>
      <c r="E1089" s="7" t="s">
        <v>85</v>
      </c>
      <c r="F1089" s="7">
        <v>3.0</v>
      </c>
      <c r="G1089" s="7" t="s">
        <v>27</v>
      </c>
      <c r="H1089" s="7">
        <v>1.0</v>
      </c>
      <c r="I1089" s="7">
        <v>6.0</v>
      </c>
      <c r="J1089" s="7">
        <v>2.5</v>
      </c>
      <c r="K1089" s="7" t="s">
        <v>64</v>
      </c>
      <c r="L1089" s="9" t="str">
        <f>VLOOKUP(K1089, 'Alphabetical by species code'!A:B, 2, FALSE)</f>
        <v>Brassica nigra</v>
      </c>
      <c r="M1089" s="9" t="str">
        <f>VLOOKUP(L1089, 'Alphabetical by species code'!B:C, 2, FALSE)</f>
        <v>Non-Native</v>
      </c>
    </row>
    <row r="1090">
      <c r="A1090" s="7">
        <v>13.0</v>
      </c>
      <c r="B1090" s="7">
        <v>2025.0</v>
      </c>
      <c r="C1090" s="8">
        <v>45790.0</v>
      </c>
      <c r="D1090" s="7" t="s">
        <v>83</v>
      </c>
      <c r="E1090" s="7" t="s">
        <v>85</v>
      </c>
      <c r="F1090" s="7">
        <v>3.0</v>
      </c>
      <c r="G1090" s="7" t="s">
        <v>27</v>
      </c>
      <c r="H1090" s="7">
        <v>1.0</v>
      </c>
      <c r="I1090" s="7">
        <v>6.0</v>
      </c>
      <c r="J1090" s="7">
        <v>2.5</v>
      </c>
      <c r="K1090" s="7" t="s">
        <v>36</v>
      </c>
      <c r="L1090" s="9" t="str">
        <f>VLOOKUP(K1090, 'Alphabetical by species code'!A:B, 2, FALSE)</f>
        <v>Bromus madritensis</v>
      </c>
      <c r="M1090" s="9" t="str">
        <f>VLOOKUP(L1090, 'Alphabetical by species code'!B:C, 2, FALSE)</f>
        <v>Non-Native</v>
      </c>
    </row>
    <row r="1091">
      <c r="A1091" s="7">
        <v>13.0</v>
      </c>
      <c r="B1091" s="7">
        <v>2025.0</v>
      </c>
      <c r="C1091" s="8">
        <v>45790.0</v>
      </c>
      <c r="D1091" s="7" t="s">
        <v>83</v>
      </c>
      <c r="E1091" s="7" t="s">
        <v>85</v>
      </c>
      <c r="F1091" s="7">
        <v>3.0</v>
      </c>
      <c r="G1091" s="7" t="s">
        <v>27</v>
      </c>
      <c r="H1091" s="7">
        <v>1.0</v>
      </c>
      <c r="I1091" s="7">
        <v>7.0</v>
      </c>
      <c r="J1091" s="7">
        <v>3.0</v>
      </c>
      <c r="K1091" s="7" t="s">
        <v>28</v>
      </c>
      <c r="L1091" s="9" t="str">
        <f>VLOOKUP(K1091, 'Alphabetical by species code'!A:B, 2, FALSE)</f>
        <v>Litter</v>
      </c>
      <c r="M1091" s="9" t="str">
        <f>VLOOKUP(L1091, 'Alphabetical by species code'!B:C, 2, FALSE)</f>
        <v>Ground Cover</v>
      </c>
    </row>
    <row r="1092">
      <c r="A1092" s="7">
        <v>13.0</v>
      </c>
      <c r="B1092" s="7">
        <v>2025.0</v>
      </c>
      <c r="C1092" s="8">
        <v>45790.0</v>
      </c>
      <c r="D1092" s="7" t="s">
        <v>83</v>
      </c>
      <c r="E1092" s="7" t="s">
        <v>85</v>
      </c>
      <c r="F1092" s="7">
        <v>3.0</v>
      </c>
      <c r="G1092" s="7" t="s">
        <v>27</v>
      </c>
      <c r="H1092" s="7">
        <v>1.0</v>
      </c>
      <c r="I1092" s="7">
        <v>7.0</v>
      </c>
      <c r="J1092" s="7">
        <v>3.0</v>
      </c>
      <c r="K1092" s="7" t="s">
        <v>36</v>
      </c>
      <c r="L1092" s="9" t="str">
        <f>VLOOKUP(K1092, 'Alphabetical by species code'!A:B, 2, FALSE)</f>
        <v>Bromus madritensis</v>
      </c>
      <c r="M1092" s="9" t="str">
        <f>VLOOKUP(L1092, 'Alphabetical by species code'!B:C, 2, FALSE)</f>
        <v>Non-Native</v>
      </c>
    </row>
    <row r="1093">
      <c r="A1093" s="7">
        <v>13.0</v>
      </c>
      <c r="B1093" s="7">
        <v>2025.0</v>
      </c>
      <c r="C1093" s="8">
        <v>45790.0</v>
      </c>
      <c r="D1093" s="7" t="s">
        <v>83</v>
      </c>
      <c r="E1093" s="7" t="s">
        <v>85</v>
      </c>
      <c r="F1093" s="7">
        <v>3.0</v>
      </c>
      <c r="G1093" s="7" t="s">
        <v>27</v>
      </c>
      <c r="H1093" s="7">
        <v>1.0</v>
      </c>
      <c r="I1093" s="7">
        <v>7.0</v>
      </c>
      <c r="J1093" s="7">
        <v>3.0</v>
      </c>
      <c r="K1093" s="7" t="s">
        <v>31</v>
      </c>
      <c r="L1093" s="9" t="str">
        <f>VLOOKUP(K1093, 'Alphabetical by species code'!A:B, 2, FALSE)</f>
        <v>Festuca myuros</v>
      </c>
      <c r="M1093" s="9" t="str">
        <f>VLOOKUP(L1093, 'Alphabetical by species code'!B:C, 2, FALSE)</f>
        <v>Non-Native</v>
      </c>
    </row>
    <row r="1094">
      <c r="A1094" s="7">
        <v>13.0</v>
      </c>
      <c r="B1094" s="7">
        <v>2025.0</v>
      </c>
      <c r="C1094" s="8">
        <v>45790.0</v>
      </c>
      <c r="D1094" s="7" t="s">
        <v>83</v>
      </c>
      <c r="E1094" s="7" t="s">
        <v>85</v>
      </c>
      <c r="F1094" s="7">
        <v>3.0</v>
      </c>
      <c r="G1094" s="7" t="s">
        <v>27</v>
      </c>
      <c r="H1094" s="7">
        <v>1.0</v>
      </c>
      <c r="I1094" s="7">
        <v>8.0</v>
      </c>
      <c r="J1094" s="7">
        <v>3.5</v>
      </c>
      <c r="K1094" s="7" t="s">
        <v>28</v>
      </c>
      <c r="L1094" s="9" t="str">
        <f>VLOOKUP(K1094, 'Alphabetical by species code'!A:B, 2, FALSE)</f>
        <v>Litter</v>
      </c>
      <c r="M1094" s="9" t="str">
        <f>VLOOKUP(L1094, 'Alphabetical by species code'!B:C, 2, FALSE)</f>
        <v>Ground Cover</v>
      </c>
    </row>
    <row r="1095">
      <c r="A1095" s="7">
        <v>13.0</v>
      </c>
      <c r="B1095" s="7">
        <v>2025.0</v>
      </c>
      <c r="C1095" s="8">
        <v>45790.0</v>
      </c>
      <c r="D1095" s="7" t="s">
        <v>83</v>
      </c>
      <c r="E1095" s="7" t="s">
        <v>85</v>
      </c>
      <c r="F1095" s="7">
        <v>3.0</v>
      </c>
      <c r="G1095" s="7" t="s">
        <v>27</v>
      </c>
      <c r="H1095" s="7">
        <v>1.0</v>
      </c>
      <c r="I1095" s="7">
        <v>8.0</v>
      </c>
      <c r="J1095" s="7">
        <v>3.5</v>
      </c>
      <c r="K1095" s="7" t="s">
        <v>36</v>
      </c>
      <c r="L1095" s="9" t="str">
        <f>VLOOKUP(K1095, 'Alphabetical by species code'!A:B, 2, FALSE)</f>
        <v>Bromus madritensis</v>
      </c>
      <c r="M1095" s="9" t="str">
        <f>VLOOKUP(L1095, 'Alphabetical by species code'!B:C, 2, FALSE)</f>
        <v>Non-Native</v>
      </c>
    </row>
    <row r="1096">
      <c r="A1096" s="7">
        <v>13.0</v>
      </c>
      <c r="B1096" s="7">
        <v>2025.0</v>
      </c>
      <c r="C1096" s="8">
        <v>45790.0</v>
      </c>
      <c r="D1096" s="7" t="s">
        <v>83</v>
      </c>
      <c r="E1096" s="7" t="s">
        <v>85</v>
      </c>
      <c r="F1096" s="7">
        <v>3.0</v>
      </c>
      <c r="G1096" s="7" t="s">
        <v>27</v>
      </c>
      <c r="H1096" s="7">
        <v>1.0</v>
      </c>
      <c r="I1096" s="7">
        <v>8.0</v>
      </c>
      <c r="J1096" s="7">
        <v>3.5</v>
      </c>
      <c r="K1096" s="7" t="s">
        <v>35</v>
      </c>
      <c r="L1096" s="9" t="str">
        <f>VLOOKUP(K1096, 'Alphabetical by species code'!A:B, 2, FALSE)</f>
        <v>Deinandra fasciculata</v>
      </c>
      <c r="M1096" s="9" t="str">
        <f>VLOOKUP(L1096, 'Alphabetical by species code'!B:C, 2, FALSE)</f>
        <v>Native</v>
      </c>
    </row>
    <row r="1097">
      <c r="A1097" s="7">
        <v>13.0</v>
      </c>
      <c r="B1097" s="7">
        <v>2025.0</v>
      </c>
      <c r="C1097" s="8">
        <v>45790.0</v>
      </c>
      <c r="D1097" s="7" t="s">
        <v>83</v>
      </c>
      <c r="E1097" s="7" t="s">
        <v>85</v>
      </c>
      <c r="F1097" s="7">
        <v>3.0</v>
      </c>
      <c r="G1097" s="7" t="s">
        <v>27</v>
      </c>
      <c r="H1097" s="7">
        <v>1.0</v>
      </c>
      <c r="I1097" s="7">
        <v>8.0</v>
      </c>
      <c r="J1097" s="7">
        <v>3.5</v>
      </c>
      <c r="K1097" s="7" t="s">
        <v>49</v>
      </c>
      <c r="L1097" s="9" t="str">
        <f>VLOOKUP(K1097, 'Alphabetical by species code'!A:B, 2, FALSE)</f>
        <v>Anagallis arvensis</v>
      </c>
      <c r="M1097" s="9" t="str">
        <f>VLOOKUP(L1097, 'Alphabetical by species code'!B:C, 2, FALSE)</f>
        <v>Non-Native</v>
      </c>
    </row>
    <row r="1098">
      <c r="A1098" s="7">
        <v>13.0</v>
      </c>
      <c r="B1098" s="7">
        <v>2025.0</v>
      </c>
      <c r="C1098" s="8">
        <v>45790.0</v>
      </c>
      <c r="D1098" s="7" t="s">
        <v>83</v>
      </c>
      <c r="E1098" s="7" t="s">
        <v>85</v>
      </c>
      <c r="F1098" s="7">
        <v>3.0</v>
      </c>
      <c r="G1098" s="7" t="s">
        <v>27</v>
      </c>
      <c r="H1098" s="7">
        <v>1.0</v>
      </c>
      <c r="I1098" s="7">
        <v>9.0</v>
      </c>
      <c r="J1098" s="7">
        <v>4.0</v>
      </c>
      <c r="K1098" s="7" t="s">
        <v>28</v>
      </c>
      <c r="L1098" s="9" t="str">
        <f>VLOOKUP(K1098, 'Alphabetical by species code'!A:B, 2, FALSE)</f>
        <v>Litter</v>
      </c>
      <c r="M1098" s="9" t="str">
        <f>VLOOKUP(L1098, 'Alphabetical by species code'!B:C, 2, FALSE)</f>
        <v>Ground Cover</v>
      </c>
    </row>
    <row r="1099">
      <c r="A1099" s="7">
        <v>13.0</v>
      </c>
      <c r="B1099" s="7">
        <v>2025.0</v>
      </c>
      <c r="C1099" s="8">
        <v>45790.0</v>
      </c>
      <c r="D1099" s="7" t="s">
        <v>83</v>
      </c>
      <c r="E1099" s="7" t="s">
        <v>85</v>
      </c>
      <c r="F1099" s="7">
        <v>3.0</v>
      </c>
      <c r="G1099" s="7" t="s">
        <v>27</v>
      </c>
      <c r="H1099" s="7">
        <v>1.0</v>
      </c>
      <c r="I1099" s="7">
        <v>9.0</v>
      </c>
      <c r="J1099" s="7">
        <v>4.0</v>
      </c>
      <c r="K1099" s="7" t="s">
        <v>35</v>
      </c>
      <c r="L1099" s="9" t="str">
        <f>VLOOKUP(K1099, 'Alphabetical by species code'!A:B, 2, FALSE)</f>
        <v>Deinandra fasciculata</v>
      </c>
      <c r="M1099" s="9" t="str">
        <f>VLOOKUP(L1099, 'Alphabetical by species code'!B:C, 2, FALSE)</f>
        <v>Native</v>
      </c>
    </row>
    <row r="1100">
      <c r="A1100" s="7">
        <v>13.0</v>
      </c>
      <c r="B1100" s="7">
        <v>2025.0</v>
      </c>
      <c r="C1100" s="8">
        <v>45790.0</v>
      </c>
      <c r="D1100" s="7" t="s">
        <v>83</v>
      </c>
      <c r="E1100" s="7" t="s">
        <v>85</v>
      </c>
      <c r="F1100" s="7">
        <v>3.0</v>
      </c>
      <c r="G1100" s="7" t="s">
        <v>27</v>
      </c>
      <c r="H1100" s="7">
        <v>1.0</v>
      </c>
      <c r="I1100" s="7">
        <v>9.0</v>
      </c>
      <c r="J1100" s="7">
        <v>4.0</v>
      </c>
      <c r="K1100" s="7" t="s">
        <v>31</v>
      </c>
      <c r="L1100" s="9" t="str">
        <f>VLOOKUP(K1100, 'Alphabetical by species code'!A:B, 2, FALSE)</f>
        <v>Festuca myuros</v>
      </c>
      <c r="M1100" s="9" t="str">
        <f>VLOOKUP(L1100, 'Alphabetical by species code'!B:C, 2, FALSE)</f>
        <v>Non-Native</v>
      </c>
    </row>
    <row r="1101">
      <c r="A1101" s="7">
        <v>13.0</v>
      </c>
      <c r="B1101" s="7">
        <v>2025.0</v>
      </c>
      <c r="C1101" s="8">
        <v>45790.0</v>
      </c>
      <c r="D1101" s="7" t="s">
        <v>83</v>
      </c>
      <c r="E1101" s="7" t="s">
        <v>85</v>
      </c>
      <c r="F1101" s="7">
        <v>3.0</v>
      </c>
      <c r="G1101" s="7" t="s">
        <v>27</v>
      </c>
      <c r="H1101" s="7">
        <v>1.0</v>
      </c>
      <c r="I1101" s="7">
        <v>10.0</v>
      </c>
      <c r="J1101" s="7">
        <v>4.5</v>
      </c>
      <c r="K1101" s="7" t="s">
        <v>28</v>
      </c>
      <c r="L1101" s="9" t="str">
        <f>VLOOKUP(K1101, 'Alphabetical by species code'!A:B, 2, FALSE)</f>
        <v>Litter</v>
      </c>
      <c r="M1101" s="9" t="str">
        <f>VLOOKUP(L1101, 'Alphabetical by species code'!B:C, 2, FALSE)</f>
        <v>Ground Cover</v>
      </c>
    </row>
    <row r="1102">
      <c r="A1102" s="7">
        <v>13.0</v>
      </c>
      <c r="B1102" s="7">
        <v>2025.0</v>
      </c>
      <c r="C1102" s="8">
        <v>45790.0</v>
      </c>
      <c r="D1102" s="7" t="s">
        <v>83</v>
      </c>
      <c r="E1102" s="7" t="s">
        <v>85</v>
      </c>
      <c r="F1102" s="7">
        <v>3.0</v>
      </c>
      <c r="G1102" s="7" t="s">
        <v>27</v>
      </c>
      <c r="H1102" s="7">
        <v>1.0</v>
      </c>
      <c r="I1102" s="7">
        <v>10.0</v>
      </c>
      <c r="J1102" s="7">
        <v>4.5</v>
      </c>
      <c r="K1102" s="7" t="s">
        <v>31</v>
      </c>
      <c r="L1102" s="9" t="str">
        <f>VLOOKUP(K1102, 'Alphabetical by species code'!A:B, 2, FALSE)</f>
        <v>Festuca myuros</v>
      </c>
      <c r="M1102" s="9" t="str">
        <f>VLOOKUP(L1102, 'Alphabetical by species code'!B:C, 2, FALSE)</f>
        <v>Non-Native</v>
      </c>
    </row>
    <row r="1103">
      <c r="A1103" s="7">
        <v>13.0</v>
      </c>
      <c r="B1103" s="7">
        <v>2025.0</v>
      </c>
      <c r="C1103" s="8">
        <v>45790.0</v>
      </c>
      <c r="D1103" s="7" t="s">
        <v>83</v>
      </c>
      <c r="E1103" s="7" t="s">
        <v>85</v>
      </c>
      <c r="F1103" s="7">
        <v>3.0</v>
      </c>
      <c r="G1103" s="7" t="s">
        <v>27</v>
      </c>
      <c r="H1103" s="7">
        <v>1.0</v>
      </c>
      <c r="I1103" s="7">
        <v>10.0</v>
      </c>
      <c r="J1103" s="7">
        <v>4.5</v>
      </c>
      <c r="K1103" s="7" t="s">
        <v>36</v>
      </c>
      <c r="L1103" s="9" t="str">
        <f>VLOOKUP(K1103, 'Alphabetical by species code'!A:B, 2, FALSE)</f>
        <v>Bromus madritensis</v>
      </c>
      <c r="M1103" s="9" t="str">
        <f>VLOOKUP(L1103, 'Alphabetical by species code'!B:C, 2, FALSE)</f>
        <v>Non-Native</v>
      </c>
    </row>
    <row r="1104">
      <c r="A1104" s="7">
        <v>13.0</v>
      </c>
      <c r="B1104" s="7">
        <v>2025.0</v>
      </c>
      <c r="C1104" s="8">
        <v>45790.0</v>
      </c>
      <c r="D1104" s="7" t="s">
        <v>83</v>
      </c>
      <c r="E1104" s="7" t="s">
        <v>85</v>
      </c>
      <c r="F1104" s="7">
        <v>3.0</v>
      </c>
      <c r="G1104" s="7" t="s">
        <v>27</v>
      </c>
      <c r="H1104" s="7">
        <v>1.0</v>
      </c>
      <c r="I1104" s="7">
        <v>11.0</v>
      </c>
      <c r="J1104" s="7">
        <v>5.0</v>
      </c>
      <c r="K1104" s="7" t="s">
        <v>51</v>
      </c>
      <c r="L1104" s="9" t="str">
        <f>VLOOKUP(K1104, 'Alphabetical by species code'!A:B, 2, FALSE)</f>
        <v>Bareground</v>
      </c>
      <c r="M1104" s="9" t="str">
        <f>VLOOKUP(L1104, 'Alphabetical by species code'!B:C, 2, FALSE)</f>
        <v>Ground Cover</v>
      </c>
    </row>
    <row r="1105">
      <c r="A1105" s="7">
        <v>13.0</v>
      </c>
      <c r="B1105" s="7">
        <v>2025.0</v>
      </c>
      <c r="C1105" s="8">
        <v>45790.0</v>
      </c>
      <c r="D1105" s="7" t="s">
        <v>83</v>
      </c>
      <c r="E1105" s="7" t="s">
        <v>85</v>
      </c>
      <c r="F1105" s="7">
        <v>3.0</v>
      </c>
      <c r="G1105" s="7" t="s">
        <v>27</v>
      </c>
      <c r="H1105" s="7">
        <v>1.0</v>
      </c>
      <c r="I1105" s="7">
        <v>11.0</v>
      </c>
      <c r="J1105" s="7">
        <v>5.0</v>
      </c>
      <c r="K1105" s="7" t="s">
        <v>35</v>
      </c>
      <c r="L1105" s="9" t="str">
        <f>VLOOKUP(K1105, 'Alphabetical by species code'!A:B, 2, FALSE)</f>
        <v>Deinandra fasciculata</v>
      </c>
      <c r="M1105" s="9" t="str">
        <f>VLOOKUP(L1105, 'Alphabetical by species code'!B:C, 2, FALSE)</f>
        <v>Native</v>
      </c>
    </row>
    <row r="1106">
      <c r="A1106" s="7">
        <v>13.0</v>
      </c>
      <c r="B1106" s="7">
        <v>2025.0</v>
      </c>
      <c r="C1106" s="8">
        <v>45790.0</v>
      </c>
      <c r="D1106" s="7" t="s">
        <v>83</v>
      </c>
      <c r="E1106" s="7" t="s">
        <v>85</v>
      </c>
      <c r="F1106" s="7">
        <v>3.0</v>
      </c>
      <c r="G1106" s="7" t="s">
        <v>27</v>
      </c>
      <c r="H1106" s="7">
        <v>1.0</v>
      </c>
      <c r="I1106" s="7">
        <v>11.0</v>
      </c>
      <c r="J1106" s="7">
        <v>5.0</v>
      </c>
      <c r="K1106" s="7" t="s">
        <v>31</v>
      </c>
      <c r="L1106" s="9" t="str">
        <f>VLOOKUP(K1106, 'Alphabetical by species code'!A:B, 2, FALSE)</f>
        <v>Festuca myuros</v>
      </c>
      <c r="M1106" s="9" t="str">
        <f>VLOOKUP(L1106, 'Alphabetical by species code'!B:C, 2, FALSE)</f>
        <v>Non-Native</v>
      </c>
    </row>
    <row r="1107">
      <c r="A1107" s="7">
        <v>13.0</v>
      </c>
      <c r="B1107" s="7">
        <v>2025.0</v>
      </c>
      <c r="C1107" s="8">
        <v>45790.0</v>
      </c>
      <c r="D1107" s="7" t="s">
        <v>83</v>
      </c>
      <c r="E1107" s="7" t="s">
        <v>85</v>
      </c>
      <c r="F1107" s="7">
        <v>3.0</v>
      </c>
      <c r="G1107" s="7" t="s">
        <v>27</v>
      </c>
      <c r="H1107" s="7">
        <v>1.0</v>
      </c>
      <c r="I1107" s="7">
        <v>12.0</v>
      </c>
      <c r="J1107" s="7">
        <v>5.5</v>
      </c>
      <c r="K1107" s="7" t="s">
        <v>51</v>
      </c>
      <c r="L1107" s="9" t="str">
        <f>VLOOKUP(K1107, 'Alphabetical by species code'!A:B, 2, FALSE)</f>
        <v>Bareground</v>
      </c>
      <c r="M1107" s="9" t="str">
        <f>VLOOKUP(L1107, 'Alphabetical by species code'!B:C, 2, FALSE)</f>
        <v>Ground Cover</v>
      </c>
    </row>
    <row r="1108">
      <c r="A1108" s="7">
        <v>13.0</v>
      </c>
      <c r="B1108" s="7">
        <v>2025.0</v>
      </c>
      <c r="C1108" s="8">
        <v>45790.0</v>
      </c>
      <c r="D1108" s="7" t="s">
        <v>83</v>
      </c>
      <c r="E1108" s="7" t="s">
        <v>85</v>
      </c>
      <c r="F1108" s="7">
        <v>3.0</v>
      </c>
      <c r="G1108" s="7" t="s">
        <v>27</v>
      </c>
      <c r="H1108" s="7">
        <v>1.0</v>
      </c>
      <c r="I1108" s="7">
        <v>12.0</v>
      </c>
      <c r="J1108" s="7">
        <v>5.5</v>
      </c>
      <c r="K1108" s="7" t="s">
        <v>31</v>
      </c>
      <c r="L1108" s="9" t="str">
        <f>VLOOKUP(K1108, 'Alphabetical by species code'!A:B, 2, FALSE)</f>
        <v>Festuca myuros</v>
      </c>
      <c r="M1108" s="9" t="str">
        <f>VLOOKUP(L1108, 'Alphabetical by species code'!B:C, 2, FALSE)</f>
        <v>Non-Native</v>
      </c>
    </row>
    <row r="1109">
      <c r="A1109" s="7">
        <v>13.0</v>
      </c>
      <c r="B1109" s="7">
        <v>2025.0</v>
      </c>
      <c r="C1109" s="8">
        <v>45790.0</v>
      </c>
      <c r="D1109" s="7" t="s">
        <v>83</v>
      </c>
      <c r="E1109" s="7" t="s">
        <v>85</v>
      </c>
      <c r="F1109" s="7">
        <v>3.0</v>
      </c>
      <c r="G1109" s="7" t="s">
        <v>27</v>
      </c>
      <c r="H1109" s="7">
        <v>1.0</v>
      </c>
      <c r="I1109" s="7">
        <v>13.0</v>
      </c>
      <c r="J1109" s="7">
        <v>6.5</v>
      </c>
      <c r="K1109" s="7" t="s">
        <v>28</v>
      </c>
      <c r="L1109" s="9" t="str">
        <f>VLOOKUP(K1109, 'Alphabetical by species code'!A:B, 2, FALSE)</f>
        <v>Litter</v>
      </c>
      <c r="M1109" s="9" t="str">
        <f>VLOOKUP(L1109, 'Alphabetical by species code'!B:C, 2, FALSE)</f>
        <v>Ground Cover</v>
      </c>
    </row>
    <row r="1110">
      <c r="A1110" s="7">
        <v>13.0</v>
      </c>
      <c r="B1110" s="7">
        <v>2025.0</v>
      </c>
      <c r="C1110" s="8">
        <v>45790.0</v>
      </c>
      <c r="D1110" s="7" t="s">
        <v>83</v>
      </c>
      <c r="E1110" s="7" t="s">
        <v>85</v>
      </c>
      <c r="F1110" s="7">
        <v>3.0</v>
      </c>
      <c r="G1110" s="7" t="s">
        <v>27</v>
      </c>
      <c r="H1110" s="7">
        <v>1.0</v>
      </c>
      <c r="I1110" s="7">
        <v>13.0</v>
      </c>
      <c r="J1110" s="7">
        <v>6.5</v>
      </c>
      <c r="K1110" s="7" t="s">
        <v>31</v>
      </c>
      <c r="L1110" s="9" t="str">
        <f>VLOOKUP(K1110, 'Alphabetical by species code'!A:B, 2, FALSE)</f>
        <v>Festuca myuros</v>
      </c>
      <c r="M1110" s="9" t="str">
        <f>VLOOKUP(L1110, 'Alphabetical by species code'!B:C, 2, FALSE)</f>
        <v>Non-Native</v>
      </c>
    </row>
    <row r="1111">
      <c r="A1111" s="7">
        <v>13.0</v>
      </c>
      <c r="B1111" s="7">
        <v>2025.0</v>
      </c>
      <c r="C1111" s="8">
        <v>45790.0</v>
      </c>
      <c r="D1111" s="7" t="s">
        <v>83</v>
      </c>
      <c r="E1111" s="7" t="s">
        <v>85</v>
      </c>
      <c r="F1111" s="7">
        <v>3.0</v>
      </c>
      <c r="G1111" s="7" t="s">
        <v>27</v>
      </c>
      <c r="H1111" s="7">
        <v>1.0</v>
      </c>
      <c r="I1111" s="7">
        <v>14.0</v>
      </c>
      <c r="J1111" s="7">
        <v>7.0</v>
      </c>
      <c r="K1111" s="7" t="s">
        <v>28</v>
      </c>
      <c r="L1111" s="9" t="str">
        <f>VLOOKUP(K1111, 'Alphabetical by species code'!A:B, 2, FALSE)</f>
        <v>Litter</v>
      </c>
      <c r="M1111" s="9" t="str">
        <f>VLOOKUP(L1111, 'Alphabetical by species code'!B:C, 2, FALSE)</f>
        <v>Ground Cover</v>
      </c>
    </row>
    <row r="1112">
      <c r="A1112" s="7">
        <v>13.0</v>
      </c>
      <c r="B1112" s="7">
        <v>2025.0</v>
      </c>
      <c r="C1112" s="8">
        <v>45790.0</v>
      </c>
      <c r="D1112" s="7" t="s">
        <v>83</v>
      </c>
      <c r="E1112" s="7" t="s">
        <v>85</v>
      </c>
      <c r="F1112" s="7">
        <v>3.0</v>
      </c>
      <c r="G1112" s="7" t="s">
        <v>27</v>
      </c>
      <c r="H1112" s="7">
        <v>1.0</v>
      </c>
      <c r="I1112" s="7">
        <v>14.0</v>
      </c>
      <c r="J1112" s="7">
        <v>7.0</v>
      </c>
      <c r="K1112" s="7" t="s">
        <v>35</v>
      </c>
      <c r="L1112" s="9" t="str">
        <f>VLOOKUP(K1112, 'Alphabetical by species code'!A:B, 2, FALSE)</f>
        <v>Deinandra fasciculata</v>
      </c>
      <c r="M1112" s="9" t="str">
        <f>VLOOKUP(L1112, 'Alphabetical by species code'!B:C, 2, FALSE)</f>
        <v>Native</v>
      </c>
    </row>
    <row r="1113">
      <c r="A1113" s="7">
        <v>13.0</v>
      </c>
      <c r="B1113" s="7">
        <v>2025.0</v>
      </c>
      <c r="C1113" s="8">
        <v>45790.0</v>
      </c>
      <c r="D1113" s="7" t="s">
        <v>83</v>
      </c>
      <c r="E1113" s="7" t="s">
        <v>85</v>
      </c>
      <c r="F1113" s="7">
        <v>3.0</v>
      </c>
      <c r="G1113" s="7" t="s">
        <v>27</v>
      </c>
      <c r="H1113" s="7">
        <v>1.0</v>
      </c>
      <c r="I1113" s="7">
        <v>14.0</v>
      </c>
      <c r="J1113" s="7">
        <v>7.0</v>
      </c>
      <c r="K1113" s="7" t="s">
        <v>31</v>
      </c>
      <c r="L1113" s="9" t="str">
        <f>VLOOKUP(K1113, 'Alphabetical by species code'!A:B, 2, FALSE)</f>
        <v>Festuca myuros</v>
      </c>
      <c r="M1113" s="9" t="str">
        <f>VLOOKUP(L1113, 'Alphabetical by species code'!B:C, 2, FALSE)</f>
        <v>Non-Native</v>
      </c>
    </row>
    <row r="1114">
      <c r="A1114" s="7">
        <v>13.0</v>
      </c>
      <c r="B1114" s="7">
        <v>2025.0</v>
      </c>
      <c r="C1114" s="8">
        <v>45790.0</v>
      </c>
      <c r="D1114" s="7" t="s">
        <v>83</v>
      </c>
      <c r="E1114" s="7" t="s">
        <v>85</v>
      </c>
      <c r="F1114" s="7">
        <v>3.0</v>
      </c>
      <c r="G1114" s="7" t="s">
        <v>27</v>
      </c>
      <c r="H1114" s="7">
        <v>1.0</v>
      </c>
      <c r="I1114" s="7">
        <v>15.0</v>
      </c>
      <c r="J1114" s="7">
        <v>7.5</v>
      </c>
      <c r="K1114" s="7" t="s">
        <v>28</v>
      </c>
      <c r="L1114" s="9" t="str">
        <f>VLOOKUP(K1114, 'Alphabetical by species code'!A:B, 2, FALSE)</f>
        <v>Litter</v>
      </c>
      <c r="M1114" s="9" t="str">
        <f>VLOOKUP(L1114, 'Alphabetical by species code'!B:C, 2, FALSE)</f>
        <v>Ground Cover</v>
      </c>
    </row>
    <row r="1115">
      <c r="A1115" s="7">
        <v>13.0</v>
      </c>
      <c r="B1115" s="7">
        <v>2025.0</v>
      </c>
      <c r="C1115" s="8">
        <v>45790.0</v>
      </c>
      <c r="D1115" s="7" t="s">
        <v>83</v>
      </c>
      <c r="E1115" s="7" t="s">
        <v>85</v>
      </c>
      <c r="F1115" s="7">
        <v>3.0</v>
      </c>
      <c r="G1115" s="7" t="s">
        <v>27</v>
      </c>
      <c r="H1115" s="7">
        <v>1.0</v>
      </c>
      <c r="I1115" s="7">
        <v>15.0</v>
      </c>
      <c r="J1115" s="7">
        <v>7.5</v>
      </c>
      <c r="K1115" s="7" t="s">
        <v>31</v>
      </c>
      <c r="L1115" s="9" t="str">
        <f>VLOOKUP(K1115, 'Alphabetical by species code'!A:B, 2, FALSE)</f>
        <v>Festuca myuros</v>
      </c>
      <c r="M1115" s="9" t="str">
        <f>VLOOKUP(L1115, 'Alphabetical by species code'!B:C, 2, FALSE)</f>
        <v>Non-Native</v>
      </c>
    </row>
    <row r="1116">
      <c r="A1116" s="7">
        <v>13.0</v>
      </c>
      <c r="B1116" s="7">
        <v>2025.0</v>
      </c>
      <c r="C1116" s="8">
        <v>45790.0</v>
      </c>
      <c r="D1116" s="7" t="s">
        <v>83</v>
      </c>
      <c r="E1116" s="7" t="s">
        <v>85</v>
      </c>
      <c r="F1116" s="7">
        <v>3.0</v>
      </c>
      <c r="G1116" s="7" t="s">
        <v>27</v>
      </c>
      <c r="H1116" s="7">
        <v>1.0</v>
      </c>
      <c r="I1116" s="7">
        <v>15.0</v>
      </c>
      <c r="J1116" s="7">
        <v>7.5</v>
      </c>
      <c r="K1116" s="7" t="s">
        <v>36</v>
      </c>
      <c r="L1116" s="9" t="str">
        <f>VLOOKUP(K1116, 'Alphabetical by species code'!A:B, 2, FALSE)</f>
        <v>Bromus madritensis</v>
      </c>
      <c r="M1116" s="9" t="str">
        <f>VLOOKUP(L1116, 'Alphabetical by species code'!B:C, 2, FALSE)</f>
        <v>Non-Native</v>
      </c>
    </row>
    <row r="1117">
      <c r="A1117" s="7">
        <v>13.0</v>
      </c>
      <c r="B1117" s="7">
        <v>2025.0</v>
      </c>
      <c r="C1117" s="8">
        <v>45790.0</v>
      </c>
      <c r="D1117" s="7" t="s">
        <v>83</v>
      </c>
      <c r="E1117" s="7" t="s">
        <v>85</v>
      </c>
      <c r="F1117" s="7">
        <v>3.0</v>
      </c>
      <c r="G1117" s="7" t="s">
        <v>27</v>
      </c>
      <c r="H1117" s="7">
        <v>2.0</v>
      </c>
      <c r="I1117" s="7">
        <v>1.0</v>
      </c>
      <c r="J1117" s="7">
        <v>0.0</v>
      </c>
      <c r="K1117" s="7" t="s">
        <v>38</v>
      </c>
      <c r="L1117" s="9" t="str">
        <f>VLOOKUP(K1117, 'Alphabetical by species code'!A:B, 2, FALSE)</f>
        <v>Thatch</v>
      </c>
      <c r="M1117" s="9" t="str">
        <f>VLOOKUP(L1117, 'Alphabetical by species code'!B:C, 2, FALSE)</f>
        <v>Ground Cover</v>
      </c>
    </row>
    <row r="1118">
      <c r="A1118" s="7">
        <v>13.0</v>
      </c>
      <c r="B1118" s="7">
        <v>2025.0</v>
      </c>
      <c r="C1118" s="8">
        <v>45790.0</v>
      </c>
      <c r="D1118" s="7" t="s">
        <v>83</v>
      </c>
      <c r="E1118" s="7" t="s">
        <v>85</v>
      </c>
      <c r="F1118" s="7">
        <v>3.0</v>
      </c>
      <c r="G1118" s="7" t="s">
        <v>27</v>
      </c>
      <c r="H1118" s="7">
        <v>2.0</v>
      </c>
      <c r="I1118" s="7">
        <v>1.0</v>
      </c>
      <c r="J1118" s="7">
        <v>0.0</v>
      </c>
      <c r="K1118" s="7" t="s">
        <v>36</v>
      </c>
      <c r="L1118" s="9" t="str">
        <f>VLOOKUP(K1118, 'Alphabetical by species code'!A:B, 2, FALSE)</f>
        <v>Bromus madritensis</v>
      </c>
      <c r="M1118" s="9" t="str">
        <f>VLOOKUP(L1118, 'Alphabetical by species code'!B:C, 2, FALSE)</f>
        <v>Non-Native</v>
      </c>
    </row>
    <row r="1119">
      <c r="A1119" s="7">
        <v>13.0</v>
      </c>
      <c r="B1119" s="7">
        <v>2025.0</v>
      </c>
      <c r="C1119" s="8">
        <v>45790.0</v>
      </c>
      <c r="D1119" s="7" t="s">
        <v>83</v>
      </c>
      <c r="E1119" s="7" t="s">
        <v>85</v>
      </c>
      <c r="F1119" s="7">
        <v>3.0</v>
      </c>
      <c r="G1119" s="7" t="s">
        <v>27</v>
      </c>
      <c r="H1119" s="7">
        <v>2.0</v>
      </c>
      <c r="I1119" s="7">
        <v>2.0</v>
      </c>
      <c r="J1119" s="7">
        <v>0.5</v>
      </c>
      <c r="K1119" s="7" t="s">
        <v>28</v>
      </c>
      <c r="L1119" s="9" t="str">
        <f>VLOOKUP(K1119, 'Alphabetical by species code'!A:B, 2, FALSE)</f>
        <v>Litter</v>
      </c>
      <c r="M1119" s="9" t="str">
        <f>VLOOKUP(L1119, 'Alphabetical by species code'!B:C, 2, FALSE)</f>
        <v>Ground Cover</v>
      </c>
    </row>
    <row r="1120">
      <c r="A1120" s="7">
        <v>13.0</v>
      </c>
      <c r="B1120" s="7">
        <v>2025.0</v>
      </c>
      <c r="C1120" s="8">
        <v>45790.0</v>
      </c>
      <c r="D1120" s="7" t="s">
        <v>83</v>
      </c>
      <c r="E1120" s="7" t="s">
        <v>85</v>
      </c>
      <c r="F1120" s="7">
        <v>3.0</v>
      </c>
      <c r="G1120" s="7" t="s">
        <v>27</v>
      </c>
      <c r="H1120" s="7">
        <v>2.0</v>
      </c>
      <c r="I1120" s="7">
        <v>2.0</v>
      </c>
      <c r="J1120" s="7">
        <v>0.5</v>
      </c>
      <c r="K1120" s="7" t="s">
        <v>31</v>
      </c>
      <c r="L1120" s="9" t="str">
        <f>VLOOKUP(K1120, 'Alphabetical by species code'!A:B, 2, FALSE)</f>
        <v>Festuca myuros</v>
      </c>
      <c r="M1120" s="9" t="str">
        <f>VLOOKUP(L1120, 'Alphabetical by species code'!B:C, 2, FALSE)</f>
        <v>Non-Native</v>
      </c>
    </row>
    <row r="1121">
      <c r="A1121" s="7">
        <v>13.0</v>
      </c>
      <c r="B1121" s="7">
        <v>2025.0</v>
      </c>
      <c r="C1121" s="8">
        <v>45790.0</v>
      </c>
      <c r="D1121" s="7" t="s">
        <v>83</v>
      </c>
      <c r="E1121" s="7" t="s">
        <v>85</v>
      </c>
      <c r="F1121" s="7">
        <v>3.0</v>
      </c>
      <c r="G1121" s="7" t="s">
        <v>27</v>
      </c>
      <c r="H1121" s="7">
        <v>2.0</v>
      </c>
      <c r="I1121" s="7">
        <v>2.0</v>
      </c>
      <c r="J1121" s="7">
        <v>0.5</v>
      </c>
      <c r="K1121" s="7" t="s">
        <v>36</v>
      </c>
      <c r="L1121" s="9" t="str">
        <f>VLOOKUP(K1121, 'Alphabetical by species code'!A:B, 2, FALSE)</f>
        <v>Bromus madritensis</v>
      </c>
      <c r="M1121" s="9" t="str">
        <f>VLOOKUP(L1121, 'Alphabetical by species code'!B:C, 2, FALSE)</f>
        <v>Non-Native</v>
      </c>
    </row>
    <row r="1122">
      <c r="A1122" s="7">
        <v>13.0</v>
      </c>
      <c r="B1122" s="7">
        <v>2025.0</v>
      </c>
      <c r="C1122" s="8">
        <v>45790.0</v>
      </c>
      <c r="D1122" s="7" t="s">
        <v>83</v>
      </c>
      <c r="E1122" s="7" t="s">
        <v>85</v>
      </c>
      <c r="F1122" s="7">
        <v>3.0</v>
      </c>
      <c r="G1122" s="7" t="s">
        <v>27</v>
      </c>
      <c r="H1122" s="7">
        <v>2.0</v>
      </c>
      <c r="I1122" s="7">
        <v>3.0</v>
      </c>
      <c r="J1122" s="7">
        <v>1.0</v>
      </c>
      <c r="K1122" s="7" t="s">
        <v>38</v>
      </c>
      <c r="L1122" s="9" t="str">
        <f>VLOOKUP(K1122, 'Alphabetical by species code'!A:B, 2, FALSE)</f>
        <v>Thatch</v>
      </c>
      <c r="M1122" s="9" t="str">
        <f>VLOOKUP(L1122, 'Alphabetical by species code'!B:C, 2, FALSE)</f>
        <v>Ground Cover</v>
      </c>
    </row>
    <row r="1123">
      <c r="A1123" s="7">
        <v>13.0</v>
      </c>
      <c r="B1123" s="7">
        <v>2025.0</v>
      </c>
      <c r="C1123" s="8">
        <v>45790.0</v>
      </c>
      <c r="D1123" s="7" t="s">
        <v>83</v>
      </c>
      <c r="E1123" s="7" t="s">
        <v>85</v>
      </c>
      <c r="F1123" s="7">
        <v>3.0</v>
      </c>
      <c r="G1123" s="7" t="s">
        <v>27</v>
      </c>
      <c r="H1123" s="7">
        <v>2.0</v>
      </c>
      <c r="I1123" s="7">
        <v>3.0</v>
      </c>
      <c r="J1123" s="7">
        <v>1.0</v>
      </c>
      <c r="K1123" s="7" t="s">
        <v>36</v>
      </c>
      <c r="L1123" s="9" t="str">
        <f>VLOOKUP(K1123, 'Alphabetical by species code'!A:B, 2, FALSE)</f>
        <v>Bromus madritensis</v>
      </c>
      <c r="M1123" s="9" t="str">
        <f>VLOOKUP(L1123, 'Alphabetical by species code'!B:C, 2, FALSE)</f>
        <v>Non-Native</v>
      </c>
    </row>
    <row r="1124">
      <c r="A1124" s="7">
        <v>13.0</v>
      </c>
      <c r="B1124" s="7">
        <v>2025.0</v>
      </c>
      <c r="C1124" s="8">
        <v>45790.0</v>
      </c>
      <c r="D1124" s="7" t="s">
        <v>83</v>
      </c>
      <c r="E1124" s="7" t="s">
        <v>85</v>
      </c>
      <c r="F1124" s="7">
        <v>3.0</v>
      </c>
      <c r="G1124" s="7" t="s">
        <v>27</v>
      </c>
      <c r="H1124" s="7">
        <v>2.0</v>
      </c>
      <c r="I1124" s="7">
        <v>3.0</v>
      </c>
      <c r="J1124" s="7">
        <v>1.0</v>
      </c>
      <c r="K1124" s="7" t="s">
        <v>31</v>
      </c>
      <c r="L1124" s="9" t="str">
        <f>VLOOKUP(K1124, 'Alphabetical by species code'!A:B, 2, FALSE)</f>
        <v>Festuca myuros</v>
      </c>
      <c r="M1124" s="9" t="str">
        <f>VLOOKUP(L1124, 'Alphabetical by species code'!B:C, 2, FALSE)</f>
        <v>Non-Native</v>
      </c>
    </row>
    <row r="1125">
      <c r="A1125" s="7">
        <v>13.0</v>
      </c>
      <c r="B1125" s="7">
        <v>2025.0</v>
      </c>
      <c r="C1125" s="8">
        <v>45790.0</v>
      </c>
      <c r="D1125" s="7" t="s">
        <v>83</v>
      </c>
      <c r="E1125" s="7" t="s">
        <v>85</v>
      </c>
      <c r="F1125" s="7">
        <v>3.0</v>
      </c>
      <c r="G1125" s="7" t="s">
        <v>27</v>
      </c>
      <c r="H1125" s="7">
        <v>2.0</v>
      </c>
      <c r="I1125" s="7">
        <v>4.0</v>
      </c>
      <c r="J1125" s="7">
        <v>1.5</v>
      </c>
      <c r="K1125" s="7" t="s">
        <v>28</v>
      </c>
      <c r="L1125" s="9" t="str">
        <f>VLOOKUP(K1125, 'Alphabetical by species code'!A:B, 2, FALSE)</f>
        <v>Litter</v>
      </c>
      <c r="M1125" s="9" t="str">
        <f>VLOOKUP(L1125, 'Alphabetical by species code'!B:C, 2, FALSE)</f>
        <v>Ground Cover</v>
      </c>
    </row>
    <row r="1126">
      <c r="A1126" s="7">
        <v>13.0</v>
      </c>
      <c r="B1126" s="7">
        <v>2025.0</v>
      </c>
      <c r="C1126" s="8">
        <v>45790.0</v>
      </c>
      <c r="D1126" s="7" t="s">
        <v>83</v>
      </c>
      <c r="E1126" s="7" t="s">
        <v>85</v>
      </c>
      <c r="F1126" s="7">
        <v>3.0</v>
      </c>
      <c r="G1126" s="7" t="s">
        <v>27</v>
      </c>
      <c r="H1126" s="7">
        <v>2.0</v>
      </c>
      <c r="I1126" s="7">
        <v>4.0</v>
      </c>
      <c r="J1126" s="7">
        <v>1.5</v>
      </c>
      <c r="K1126" s="7" t="s">
        <v>36</v>
      </c>
      <c r="L1126" s="9" t="str">
        <f>VLOOKUP(K1126, 'Alphabetical by species code'!A:B, 2, FALSE)</f>
        <v>Bromus madritensis</v>
      </c>
      <c r="M1126" s="9" t="str">
        <f>VLOOKUP(L1126, 'Alphabetical by species code'!B:C, 2, FALSE)</f>
        <v>Non-Native</v>
      </c>
    </row>
    <row r="1127">
      <c r="A1127" s="7">
        <v>13.0</v>
      </c>
      <c r="B1127" s="7">
        <v>2025.0</v>
      </c>
      <c r="C1127" s="8">
        <v>45790.0</v>
      </c>
      <c r="D1127" s="7" t="s">
        <v>83</v>
      </c>
      <c r="E1127" s="7" t="s">
        <v>85</v>
      </c>
      <c r="F1127" s="7">
        <v>3.0</v>
      </c>
      <c r="G1127" s="7" t="s">
        <v>27</v>
      </c>
      <c r="H1127" s="7">
        <v>2.0</v>
      </c>
      <c r="I1127" s="7">
        <v>4.0</v>
      </c>
      <c r="J1127" s="7">
        <v>1.5</v>
      </c>
      <c r="K1127" s="7" t="s">
        <v>43</v>
      </c>
      <c r="L1127" s="9" t="str">
        <f>VLOOKUP(K1127, 'Alphabetical by species code'!A:B, 2, FALSE)</f>
        <v>Uropappus lindleyi</v>
      </c>
      <c r="M1127" s="9" t="str">
        <f>VLOOKUP(L1127, 'Alphabetical by species code'!B:C, 2, FALSE)</f>
        <v>Native</v>
      </c>
    </row>
    <row r="1128">
      <c r="A1128" s="7">
        <v>13.0</v>
      </c>
      <c r="B1128" s="7">
        <v>2025.0</v>
      </c>
      <c r="C1128" s="8">
        <v>45790.0</v>
      </c>
      <c r="D1128" s="7" t="s">
        <v>83</v>
      </c>
      <c r="E1128" s="7" t="s">
        <v>85</v>
      </c>
      <c r="F1128" s="7">
        <v>3.0</v>
      </c>
      <c r="G1128" s="7" t="s">
        <v>27</v>
      </c>
      <c r="H1128" s="7">
        <v>2.0</v>
      </c>
      <c r="I1128" s="7">
        <v>5.0</v>
      </c>
      <c r="J1128" s="7">
        <v>2.5</v>
      </c>
      <c r="K1128" s="7" t="s">
        <v>28</v>
      </c>
      <c r="L1128" s="9" t="str">
        <f>VLOOKUP(K1128, 'Alphabetical by species code'!A:B, 2, FALSE)</f>
        <v>Litter</v>
      </c>
      <c r="M1128" s="9" t="str">
        <f>VLOOKUP(L1128, 'Alphabetical by species code'!B:C, 2, FALSE)</f>
        <v>Ground Cover</v>
      </c>
    </row>
    <row r="1129">
      <c r="A1129" s="7">
        <v>13.0</v>
      </c>
      <c r="B1129" s="7">
        <v>2025.0</v>
      </c>
      <c r="C1129" s="8">
        <v>45790.0</v>
      </c>
      <c r="D1129" s="7" t="s">
        <v>83</v>
      </c>
      <c r="E1129" s="7" t="s">
        <v>85</v>
      </c>
      <c r="F1129" s="7">
        <v>3.0</v>
      </c>
      <c r="G1129" s="7" t="s">
        <v>27</v>
      </c>
      <c r="H1129" s="7">
        <v>2.0</v>
      </c>
      <c r="I1129" s="7">
        <v>5.0</v>
      </c>
      <c r="J1129" s="7">
        <v>2.5</v>
      </c>
      <c r="K1129" s="7" t="s">
        <v>31</v>
      </c>
      <c r="L1129" s="9" t="str">
        <f>VLOOKUP(K1129, 'Alphabetical by species code'!A:B, 2, FALSE)</f>
        <v>Festuca myuros</v>
      </c>
      <c r="M1129" s="9" t="str">
        <f>VLOOKUP(L1129, 'Alphabetical by species code'!B:C, 2, FALSE)</f>
        <v>Non-Native</v>
      </c>
    </row>
    <row r="1130">
      <c r="A1130" s="7">
        <v>13.0</v>
      </c>
      <c r="B1130" s="7">
        <v>2025.0</v>
      </c>
      <c r="C1130" s="8">
        <v>45790.0</v>
      </c>
      <c r="D1130" s="7" t="s">
        <v>83</v>
      </c>
      <c r="E1130" s="7" t="s">
        <v>85</v>
      </c>
      <c r="F1130" s="7">
        <v>3.0</v>
      </c>
      <c r="G1130" s="7" t="s">
        <v>27</v>
      </c>
      <c r="H1130" s="7">
        <v>2.0</v>
      </c>
      <c r="I1130" s="7">
        <v>6.0</v>
      </c>
      <c r="J1130" s="7">
        <v>3.0</v>
      </c>
      <c r="K1130" s="7" t="s">
        <v>28</v>
      </c>
      <c r="L1130" s="9" t="str">
        <f>VLOOKUP(K1130, 'Alphabetical by species code'!A:B, 2, FALSE)</f>
        <v>Litter</v>
      </c>
      <c r="M1130" s="9" t="str">
        <f>VLOOKUP(L1130, 'Alphabetical by species code'!B:C, 2, FALSE)</f>
        <v>Ground Cover</v>
      </c>
    </row>
    <row r="1131">
      <c r="A1131" s="7">
        <v>13.0</v>
      </c>
      <c r="B1131" s="7">
        <v>2025.0</v>
      </c>
      <c r="C1131" s="8">
        <v>45790.0</v>
      </c>
      <c r="D1131" s="7" t="s">
        <v>83</v>
      </c>
      <c r="E1131" s="7" t="s">
        <v>85</v>
      </c>
      <c r="F1131" s="7">
        <v>3.0</v>
      </c>
      <c r="G1131" s="7" t="s">
        <v>27</v>
      </c>
      <c r="H1131" s="7">
        <v>2.0</v>
      </c>
      <c r="I1131" s="7">
        <v>6.0</v>
      </c>
      <c r="J1131" s="7">
        <v>3.0</v>
      </c>
      <c r="K1131" s="7" t="s">
        <v>36</v>
      </c>
      <c r="L1131" s="9" t="str">
        <f>VLOOKUP(K1131, 'Alphabetical by species code'!A:B, 2, FALSE)</f>
        <v>Bromus madritensis</v>
      </c>
      <c r="M1131" s="9" t="str">
        <f>VLOOKUP(L1131, 'Alphabetical by species code'!B:C, 2, FALSE)</f>
        <v>Non-Native</v>
      </c>
    </row>
    <row r="1132">
      <c r="A1132" s="7">
        <v>13.0</v>
      </c>
      <c r="B1132" s="7">
        <v>2025.0</v>
      </c>
      <c r="C1132" s="8">
        <v>45790.0</v>
      </c>
      <c r="D1132" s="7" t="s">
        <v>83</v>
      </c>
      <c r="E1132" s="7" t="s">
        <v>85</v>
      </c>
      <c r="F1132" s="7">
        <v>3.0</v>
      </c>
      <c r="G1132" s="7" t="s">
        <v>27</v>
      </c>
      <c r="H1132" s="7">
        <v>2.0</v>
      </c>
      <c r="I1132" s="7">
        <v>7.0</v>
      </c>
      <c r="J1132" s="7">
        <v>3.5</v>
      </c>
      <c r="K1132" s="7" t="s">
        <v>28</v>
      </c>
      <c r="L1132" s="9" t="str">
        <f>VLOOKUP(K1132, 'Alphabetical by species code'!A:B, 2, FALSE)</f>
        <v>Litter</v>
      </c>
      <c r="M1132" s="9" t="str">
        <f>VLOOKUP(L1132, 'Alphabetical by species code'!B:C, 2, FALSE)</f>
        <v>Ground Cover</v>
      </c>
    </row>
    <row r="1133">
      <c r="A1133" s="7">
        <v>13.0</v>
      </c>
      <c r="B1133" s="7">
        <v>2025.0</v>
      </c>
      <c r="C1133" s="8">
        <v>45790.0</v>
      </c>
      <c r="D1133" s="7" t="s">
        <v>83</v>
      </c>
      <c r="E1133" s="7" t="s">
        <v>85</v>
      </c>
      <c r="F1133" s="7">
        <v>3.0</v>
      </c>
      <c r="G1133" s="7" t="s">
        <v>27</v>
      </c>
      <c r="H1133" s="7">
        <v>2.0</v>
      </c>
      <c r="I1133" s="7">
        <v>7.0</v>
      </c>
      <c r="J1133" s="7">
        <v>3.5</v>
      </c>
      <c r="K1133" s="7" t="s">
        <v>35</v>
      </c>
      <c r="L1133" s="9" t="str">
        <f>VLOOKUP(K1133, 'Alphabetical by species code'!A:B, 2, FALSE)</f>
        <v>Deinandra fasciculata</v>
      </c>
      <c r="M1133" s="9" t="str">
        <f>VLOOKUP(L1133, 'Alphabetical by species code'!B:C, 2, FALSE)</f>
        <v>Native</v>
      </c>
    </row>
    <row r="1134">
      <c r="A1134" s="7">
        <v>13.0</v>
      </c>
      <c r="B1134" s="7">
        <v>2025.0</v>
      </c>
      <c r="C1134" s="8">
        <v>45790.0</v>
      </c>
      <c r="D1134" s="7" t="s">
        <v>83</v>
      </c>
      <c r="E1134" s="7" t="s">
        <v>85</v>
      </c>
      <c r="F1134" s="7">
        <v>3.0</v>
      </c>
      <c r="G1134" s="7" t="s">
        <v>27</v>
      </c>
      <c r="H1134" s="7">
        <v>2.0</v>
      </c>
      <c r="I1134" s="7">
        <v>7.0</v>
      </c>
      <c r="J1134" s="7">
        <v>3.5</v>
      </c>
      <c r="K1134" s="7" t="s">
        <v>36</v>
      </c>
      <c r="L1134" s="9" t="str">
        <f>VLOOKUP(K1134, 'Alphabetical by species code'!A:B, 2, FALSE)</f>
        <v>Bromus madritensis</v>
      </c>
      <c r="M1134" s="9" t="str">
        <f>VLOOKUP(L1134, 'Alphabetical by species code'!B:C, 2, FALSE)</f>
        <v>Non-Native</v>
      </c>
    </row>
    <row r="1135">
      <c r="A1135" s="7">
        <v>13.0</v>
      </c>
      <c r="B1135" s="7">
        <v>2025.0</v>
      </c>
      <c r="C1135" s="8">
        <v>45790.0</v>
      </c>
      <c r="D1135" s="7" t="s">
        <v>83</v>
      </c>
      <c r="E1135" s="7" t="s">
        <v>85</v>
      </c>
      <c r="F1135" s="7">
        <v>3.0</v>
      </c>
      <c r="G1135" s="7" t="s">
        <v>27</v>
      </c>
      <c r="H1135" s="7">
        <v>2.0</v>
      </c>
      <c r="I1135" s="7">
        <v>7.0</v>
      </c>
      <c r="J1135" s="7">
        <v>3.5</v>
      </c>
      <c r="K1135" s="7" t="s">
        <v>31</v>
      </c>
      <c r="L1135" s="9" t="str">
        <f>VLOOKUP(K1135, 'Alphabetical by species code'!A:B, 2, FALSE)</f>
        <v>Festuca myuros</v>
      </c>
      <c r="M1135" s="9" t="str">
        <f>VLOOKUP(L1135, 'Alphabetical by species code'!B:C, 2, FALSE)</f>
        <v>Non-Native</v>
      </c>
    </row>
    <row r="1136">
      <c r="A1136" s="7">
        <v>13.0</v>
      </c>
      <c r="B1136" s="7">
        <v>2025.0</v>
      </c>
      <c r="C1136" s="8">
        <v>45790.0</v>
      </c>
      <c r="D1136" s="7" t="s">
        <v>83</v>
      </c>
      <c r="E1136" s="7" t="s">
        <v>85</v>
      </c>
      <c r="F1136" s="7">
        <v>3.0</v>
      </c>
      <c r="G1136" s="7" t="s">
        <v>27</v>
      </c>
      <c r="H1136" s="7">
        <v>2.0</v>
      </c>
      <c r="I1136" s="7">
        <v>8.0</v>
      </c>
      <c r="J1136" s="7">
        <v>4.0</v>
      </c>
      <c r="K1136" s="7" t="s">
        <v>28</v>
      </c>
      <c r="L1136" s="9" t="str">
        <f>VLOOKUP(K1136, 'Alphabetical by species code'!A:B, 2, FALSE)</f>
        <v>Litter</v>
      </c>
      <c r="M1136" s="9" t="str">
        <f>VLOOKUP(L1136, 'Alphabetical by species code'!B:C, 2, FALSE)</f>
        <v>Ground Cover</v>
      </c>
    </row>
    <row r="1137">
      <c r="A1137" s="7">
        <v>13.0</v>
      </c>
      <c r="B1137" s="7">
        <v>2025.0</v>
      </c>
      <c r="C1137" s="8">
        <v>45790.0</v>
      </c>
      <c r="D1137" s="7" t="s">
        <v>83</v>
      </c>
      <c r="E1137" s="7" t="s">
        <v>85</v>
      </c>
      <c r="F1137" s="7">
        <v>3.0</v>
      </c>
      <c r="G1137" s="7" t="s">
        <v>27</v>
      </c>
      <c r="H1137" s="7">
        <v>2.0</v>
      </c>
      <c r="I1137" s="7">
        <v>8.0</v>
      </c>
      <c r="J1137" s="7">
        <v>4.0</v>
      </c>
      <c r="K1137" s="7" t="s">
        <v>31</v>
      </c>
      <c r="L1137" s="9" t="str">
        <f>VLOOKUP(K1137, 'Alphabetical by species code'!A:B, 2, FALSE)</f>
        <v>Festuca myuros</v>
      </c>
      <c r="M1137" s="9" t="str">
        <f>VLOOKUP(L1137, 'Alphabetical by species code'!B:C, 2, FALSE)</f>
        <v>Non-Native</v>
      </c>
    </row>
    <row r="1138">
      <c r="A1138" s="7">
        <v>13.0</v>
      </c>
      <c r="B1138" s="7">
        <v>2025.0</v>
      </c>
      <c r="C1138" s="8">
        <v>45790.0</v>
      </c>
      <c r="D1138" s="7" t="s">
        <v>83</v>
      </c>
      <c r="E1138" s="7" t="s">
        <v>85</v>
      </c>
      <c r="F1138" s="7">
        <v>3.0</v>
      </c>
      <c r="G1138" s="7" t="s">
        <v>27</v>
      </c>
      <c r="H1138" s="7">
        <v>2.0</v>
      </c>
      <c r="I1138" s="7">
        <v>9.0</v>
      </c>
      <c r="J1138" s="7">
        <v>4.5</v>
      </c>
      <c r="K1138" s="7" t="s">
        <v>28</v>
      </c>
      <c r="L1138" s="9" t="str">
        <f>VLOOKUP(K1138, 'Alphabetical by species code'!A:B, 2, FALSE)</f>
        <v>Litter</v>
      </c>
      <c r="M1138" s="9" t="str">
        <f>VLOOKUP(L1138, 'Alphabetical by species code'!B:C, 2, FALSE)</f>
        <v>Ground Cover</v>
      </c>
    </row>
    <row r="1139">
      <c r="A1139" s="7">
        <v>13.0</v>
      </c>
      <c r="B1139" s="7">
        <v>2025.0</v>
      </c>
      <c r="C1139" s="8">
        <v>45790.0</v>
      </c>
      <c r="D1139" s="7" t="s">
        <v>83</v>
      </c>
      <c r="E1139" s="7" t="s">
        <v>85</v>
      </c>
      <c r="F1139" s="7">
        <v>3.0</v>
      </c>
      <c r="G1139" s="7" t="s">
        <v>27</v>
      </c>
      <c r="H1139" s="7">
        <v>2.0</v>
      </c>
      <c r="I1139" s="7">
        <v>9.0</v>
      </c>
      <c r="J1139" s="7">
        <v>4.5</v>
      </c>
      <c r="K1139" s="7" t="s">
        <v>31</v>
      </c>
      <c r="L1139" s="9" t="str">
        <f>VLOOKUP(K1139, 'Alphabetical by species code'!A:B, 2, FALSE)</f>
        <v>Festuca myuros</v>
      </c>
      <c r="M1139" s="9" t="str">
        <f>VLOOKUP(L1139, 'Alphabetical by species code'!B:C, 2, FALSE)</f>
        <v>Non-Native</v>
      </c>
    </row>
    <row r="1140">
      <c r="A1140" s="7">
        <v>13.0</v>
      </c>
      <c r="B1140" s="7">
        <v>2025.0</v>
      </c>
      <c r="C1140" s="8">
        <v>45790.0</v>
      </c>
      <c r="D1140" s="7" t="s">
        <v>83</v>
      </c>
      <c r="E1140" s="7" t="s">
        <v>85</v>
      </c>
      <c r="F1140" s="7">
        <v>3.0</v>
      </c>
      <c r="G1140" s="7" t="s">
        <v>27</v>
      </c>
      <c r="H1140" s="7">
        <v>2.0</v>
      </c>
      <c r="I1140" s="7">
        <v>10.0</v>
      </c>
      <c r="J1140" s="7">
        <v>5.0</v>
      </c>
      <c r="K1140" s="7" t="s">
        <v>28</v>
      </c>
      <c r="L1140" s="9" t="str">
        <f>VLOOKUP(K1140, 'Alphabetical by species code'!A:B, 2, FALSE)</f>
        <v>Litter</v>
      </c>
      <c r="M1140" s="9" t="str">
        <f>VLOOKUP(L1140, 'Alphabetical by species code'!B:C, 2, FALSE)</f>
        <v>Ground Cover</v>
      </c>
    </row>
    <row r="1141">
      <c r="A1141" s="7">
        <v>13.0</v>
      </c>
      <c r="B1141" s="7">
        <v>2025.0</v>
      </c>
      <c r="C1141" s="8">
        <v>45790.0</v>
      </c>
      <c r="D1141" s="7" t="s">
        <v>83</v>
      </c>
      <c r="E1141" s="7" t="s">
        <v>85</v>
      </c>
      <c r="F1141" s="7">
        <v>3.0</v>
      </c>
      <c r="G1141" s="7" t="s">
        <v>27</v>
      </c>
      <c r="H1141" s="7">
        <v>2.0</v>
      </c>
      <c r="I1141" s="7">
        <v>10.0</v>
      </c>
      <c r="J1141" s="7">
        <v>5.0</v>
      </c>
      <c r="K1141" s="7" t="s">
        <v>36</v>
      </c>
      <c r="L1141" s="9" t="str">
        <f>VLOOKUP(K1141, 'Alphabetical by species code'!A:B, 2, FALSE)</f>
        <v>Bromus madritensis</v>
      </c>
      <c r="M1141" s="9" t="str">
        <f>VLOOKUP(L1141, 'Alphabetical by species code'!B:C, 2, FALSE)</f>
        <v>Non-Native</v>
      </c>
    </row>
    <row r="1142">
      <c r="A1142" s="7">
        <v>13.0</v>
      </c>
      <c r="B1142" s="7">
        <v>2025.0</v>
      </c>
      <c r="C1142" s="8">
        <v>45790.0</v>
      </c>
      <c r="D1142" s="7" t="s">
        <v>83</v>
      </c>
      <c r="E1142" s="7" t="s">
        <v>85</v>
      </c>
      <c r="F1142" s="7">
        <v>3.0</v>
      </c>
      <c r="G1142" s="7" t="s">
        <v>27</v>
      </c>
      <c r="H1142" s="7">
        <v>2.0</v>
      </c>
      <c r="I1142" s="7">
        <v>11.0</v>
      </c>
      <c r="J1142" s="7">
        <v>5.5</v>
      </c>
      <c r="K1142" s="7" t="s">
        <v>28</v>
      </c>
      <c r="L1142" s="9" t="str">
        <f>VLOOKUP(K1142, 'Alphabetical by species code'!A:B, 2, FALSE)</f>
        <v>Litter</v>
      </c>
      <c r="M1142" s="9" t="str">
        <f>VLOOKUP(L1142, 'Alphabetical by species code'!B:C, 2, FALSE)</f>
        <v>Ground Cover</v>
      </c>
    </row>
    <row r="1143">
      <c r="A1143" s="7">
        <v>13.0</v>
      </c>
      <c r="B1143" s="7">
        <v>2025.0</v>
      </c>
      <c r="C1143" s="8">
        <v>45790.0</v>
      </c>
      <c r="D1143" s="7" t="s">
        <v>83</v>
      </c>
      <c r="E1143" s="7" t="s">
        <v>85</v>
      </c>
      <c r="F1143" s="7">
        <v>3.0</v>
      </c>
      <c r="G1143" s="7" t="s">
        <v>27</v>
      </c>
      <c r="H1143" s="7">
        <v>2.0</v>
      </c>
      <c r="I1143" s="7">
        <v>11.0</v>
      </c>
      <c r="J1143" s="7">
        <v>5.5</v>
      </c>
      <c r="K1143" s="7" t="s">
        <v>31</v>
      </c>
      <c r="L1143" s="9" t="str">
        <f>VLOOKUP(K1143, 'Alphabetical by species code'!A:B, 2, FALSE)</f>
        <v>Festuca myuros</v>
      </c>
      <c r="M1143" s="9" t="str">
        <f>VLOOKUP(L1143, 'Alphabetical by species code'!B:C, 2, FALSE)</f>
        <v>Non-Native</v>
      </c>
    </row>
    <row r="1144">
      <c r="A1144" s="7">
        <v>13.0</v>
      </c>
      <c r="B1144" s="7">
        <v>2025.0</v>
      </c>
      <c r="C1144" s="8">
        <v>45790.0</v>
      </c>
      <c r="D1144" s="7" t="s">
        <v>83</v>
      </c>
      <c r="E1144" s="7" t="s">
        <v>85</v>
      </c>
      <c r="F1144" s="7">
        <v>3.0</v>
      </c>
      <c r="G1144" s="7" t="s">
        <v>27</v>
      </c>
      <c r="H1144" s="7">
        <v>2.0</v>
      </c>
      <c r="I1144" s="7">
        <v>11.0</v>
      </c>
      <c r="J1144" s="7">
        <v>5.5</v>
      </c>
      <c r="K1144" s="7" t="s">
        <v>57</v>
      </c>
      <c r="L1144" s="9" t="str">
        <f>VLOOKUP(K1144, 'Alphabetical by species code'!A:B, 2, FALSE)</f>
        <v>Stipa pulchra</v>
      </c>
      <c r="M1144" s="9" t="str">
        <f>VLOOKUP(L1144, 'Alphabetical by species code'!B:C, 2, FALSE)</f>
        <v>Native</v>
      </c>
    </row>
    <row r="1145">
      <c r="A1145" s="7">
        <v>13.0</v>
      </c>
      <c r="B1145" s="7">
        <v>2025.0</v>
      </c>
      <c r="C1145" s="8">
        <v>45790.0</v>
      </c>
      <c r="D1145" s="7" t="s">
        <v>83</v>
      </c>
      <c r="E1145" s="7" t="s">
        <v>85</v>
      </c>
      <c r="F1145" s="7">
        <v>3.0</v>
      </c>
      <c r="G1145" s="7" t="s">
        <v>27</v>
      </c>
      <c r="H1145" s="7">
        <v>2.0</v>
      </c>
      <c r="I1145" s="7">
        <v>12.0</v>
      </c>
      <c r="J1145" s="7">
        <v>6.0</v>
      </c>
      <c r="K1145" s="7" t="s">
        <v>38</v>
      </c>
      <c r="L1145" s="9" t="str">
        <f>VLOOKUP(K1145, 'Alphabetical by species code'!A:B, 2, FALSE)</f>
        <v>Thatch</v>
      </c>
      <c r="M1145" s="9" t="str">
        <f>VLOOKUP(L1145, 'Alphabetical by species code'!B:C, 2, FALSE)</f>
        <v>Ground Cover</v>
      </c>
    </row>
    <row r="1146">
      <c r="A1146" s="7">
        <v>13.0</v>
      </c>
      <c r="B1146" s="7">
        <v>2025.0</v>
      </c>
      <c r="C1146" s="8">
        <v>45790.0</v>
      </c>
      <c r="D1146" s="7" t="s">
        <v>83</v>
      </c>
      <c r="E1146" s="7" t="s">
        <v>85</v>
      </c>
      <c r="F1146" s="7">
        <v>3.0</v>
      </c>
      <c r="G1146" s="7" t="s">
        <v>27</v>
      </c>
      <c r="H1146" s="7">
        <v>2.0</v>
      </c>
      <c r="I1146" s="7">
        <v>12.0</v>
      </c>
      <c r="J1146" s="7">
        <v>6.0</v>
      </c>
      <c r="K1146" s="7" t="s">
        <v>31</v>
      </c>
      <c r="L1146" s="9" t="str">
        <f>VLOOKUP(K1146, 'Alphabetical by species code'!A:B, 2, FALSE)</f>
        <v>Festuca myuros</v>
      </c>
      <c r="M1146" s="9" t="str">
        <f>VLOOKUP(L1146, 'Alphabetical by species code'!B:C, 2, FALSE)</f>
        <v>Non-Native</v>
      </c>
    </row>
    <row r="1147">
      <c r="A1147" s="7">
        <v>13.0</v>
      </c>
      <c r="B1147" s="7">
        <v>2025.0</v>
      </c>
      <c r="C1147" s="8">
        <v>45790.0</v>
      </c>
      <c r="D1147" s="7" t="s">
        <v>83</v>
      </c>
      <c r="E1147" s="7" t="s">
        <v>85</v>
      </c>
      <c r="F1147" s="7">
        <v>3.0</v>
      </c>
      <c r="G1147" s="7" t="s">
        <v>27</v>
      </c>
      <c r="H1147" s="7">
        <v>2.0</v>
      </c>
      <c r="I1147" s="7">
        <v>13.0</v>
      </c>
      <c r="J1147" s="7">
        <v>6.5</v>
      </c>
      <c r="K1147" s="7" t="s">
        <v>28</v>
      </c>
      <c r="L1147" s="9" t="str">
        <f>VLOOKUP(K1147, 'Alphabetical by species code'!A:B, 2, FALSE)</f>
        <v>Litter</v>
      </c>
      <c r="M1147" s="9" t="str">
        <f>VLOOKUP(L1147, 'Alphabetical by species code'!B:C, 2, FALSE)</f>
        <v>Ground Cover</v>
      </c>
    </row>
    <row r="1148">
      <c r="A1148" s="7">
        <v>13.0</v>
      </c>
      <c r="B1148" s="7">
        <v>2025.0</v>
      </c>
      <c r="C1148" s="8">
        <v>45790.0</v>
      </c>
      <c r="D1148" s="7" t="s">
        <v>83</v>
      </c>
      <c r="E1148" s="7" t="s">
        <v>85</v>
      </c>
      <c r="F1148" s="7">
        <v>3.0</v>
      </c>
      <c r="G1148" s="7" t="s">
        <v>27</v>
      </c>
      <c r="H1148" s="7">
        <v>2.0</v>
      </c>
      <c r="I1148" s="7">
        <v>13.0</v>
      </c>
      <c r="J1148" s="7">
        <v>6.5</v>
      </c>
      <c r="K1148" s="7" t="s">
        <v>36</v>
      </c>
      <c r="L1148" s="9" t="str">
        <f>VLOOKUP(K1148, 'Alphabetical by species code'!A:B, 2, FALSE)</f>
        <v>Bromus madritensis</v>
      </c>
      <c r="M1148" s="9" t="str">
        <f>VLOOKUP(L1148, 'Alphabetical by species code'!B:C, 2, FALSE)</f>
        <v>Non-Native</v>
      </c>
    </row>
    <row r="1149">
      <c r="A1149" s="7">
        <v>13.0</v>
      </c>
      <c r="B1149" s="7">
        <v>2025.0</v>
      </c>
      <c r="C1149" s="8">
        <v>45790.0</v>
      </c>
      <c r="D1149" s="7" t="s">
        <v>83</v>
      </c>
      <c r="E1149" s="7" t="s">
        <v>85</v>
      </c>
      <c r="F1149" s="7">
        <v>3.0</v>
      </c>
      <c r="G1149" s="7" t="s">
        <v>27</v>
      </c>
      <c r="H1149" s="7">
        <v>2.0</v>
      </c>
      <c r="I1149" s="7">
        <v>13.0</v>
      </c>
      <c r="J1149" s="7">
        <v>6.5</v>
      </c>
      <c r="K1149" s="7" t="s">
        <v>31</v>
      </c>
      <c r="L1149" s="9" t="str">
        <f>VLOOKUP(K1149, 'Alphabetical by species code'!A:B, 2, FALSE)</f>
        <v>Festuca myuros</v>
      </c>
      <c r="M1149" s="9" t="str">
        <f>VLOOKUP(L1149, 'Alphabetical by species code'!B:C, 2, FALSE)</f>
        <v>Non-Native</v>
      </c>
    </row>
    <row r="1150">
      <c r="A1150" s="7">
        <v>13.0</v>
      </c>
      <c r="B1150" s="7">
        <v>2025.0</v>
      </c>
      <c r="C1150" s="8">
        <v>45790.0</v>
      </c>
      <c r="D1150" s="7" t="s">
        <v>83</v>
      </c>
      <c r="E1150" s="7" t="s">
        <v>85</v>
      </c>
      <c r="F1150" s="7">
        <v>3.0</v>
      </c>
      <c r="G1150" s="7" t="s">
        <v>27</v>
      </c>
      <c r="H1150" s="7">
        <v>2.0</v>
      </c>
      <c r="I1150" s="7">
        <v>14.0</v>
      </c>
      <c r="J1150" s="7">
        <v>7.0</v>
      </c>
      <c r="K1150" s="7" t="s">
        <v>38</v>
      </c>
      <c r="L1150" s="9" t="str">
        <f>VLOOKUP(K1150, 'Alphabetical by species code'!A:B, 2, FALSE)</f>
        <v>Thatch</v>
      </c>
      <c r="M1150" s="9" t="str">
        <f>VLOOKUP(L1150, 'Alphabetical by species code'!B:C, 2, FALSE)</f>
        <v>Ground Cover</v>
      </c>
    </row>
    <row r="1151">
      <c r="A1151" s="7">
        <v>13.0</v>
      </c>
      <c r="B1151" s="7">
        <v>2025.0</v>
      </c>
      <c r="C1151" s="8">
        <v>45790.0</v>
      </c>
      <c r="D1151" s="7" t="s">
        <v>83</v>
      </c>
      <c r="E1151" s="7" t="s">
        <v>85</v>
      </c>
      <c r="F1151" s="7">
        <v>3.0</v>
      </c>
      <c r="G1151" s="7" t="s">
        <v>27</v>
      </c>
      <c r="H1151" s="7">
        <v>2.0</v>
      </c>
      <c r="I1151" s="7">
        <v>14.0</v>
      </c>
      <c r="J1151" s="7">
        <v>7.0</v>
      </c>
      <c r="K1151" s="7" t="s">
        <v>31</v>
      </c>
      <c r="L1151" s="9" t="str">
        <f>VLOOKUP(K1151, 'Alphabetical by species code'!A:B, 2, FALSE)</f>
        <v>Festuca myuros</v>
      </c>
      <c r="M1151" s="9" t="str">
        <f>VLOOKUP(L1151, 'Alphabetical by species code'!B:C, 2, FALSE)</f>
        <v>Non-Native</v>
      </c>
    </row>
    <row r="1152">
      <c r="A1152" s="7">
        <v>13.0</v>
      </c>
      <c r="B1152" s="7">
        <v>2025.0</v>
      </c>
      <c r="C1152" s="8">
        <v>45790.0</v>
      </c>
      <c r="D1152" s="7" t="s">
        <v>83</v>
      </c>
      <c r="E1152" s="7" t="s">
        <v>85</v>
      </c>
      <c r="F1152" s="7">
        <v>3.0</v>
      </c>
      <c r="G1152" s="7" t="s">
        <v>27</v>
      </c>
      <c r="H1152" s="7">
        <v>2.0</v>
      </c>
      <c r="I1152" s="7">
        <v>15.0</v>
      </c>
      <c r="J1152" s="7">
        <v>7.5</v>
      </c>
      <c r="K1152" s="7" t="s">
        <v>28</v>
      </c>
      <c r="L1152" s="9" t="str">
        <f>VLOOKUP(K1152, 'Alphabetical by species code'!A:B, 2, FALSE)</f>
        <v>Litter</v>
      </c>
      <c r="M1152" s="9" t="str">
        <f>VLOOKUP(L1152, 'Alphabetical by species code'!B:C, 2, FALSE)</f>
        <v>Ground Cover</v>
      </c>
    </row>
    <row r="1153">
      <c r="A1153" s="7">
        <v>13.0</v>
      </c>
      <c r="B1153" s="7">
        <v>2025.0</v>
      </c>
      <c r="C1153" s="8">
        <v>45790.0</v>
      </c>
      <c r="D1153" s="7" t="s">
        <v>83</v>
      </c>
      <c r="E1153" s="7" t="s">
        <v>85</v>
      </c>
      <c r="F1153" s="7">
        <v>3.0</v>
      </c>
      <c r="G1153" s="7" t="s">
        <v>27</v>
      </c>
      <c r="H1153" s="7">
        <v>2.0</v>
      </c>
      <c r="I1153" s="7">
        <v>15.0</v>
      </c>
      <c r="J1153" s="7">
        <v>7.5</v>
      </c>
      <c r="K1153" s="7" t="s">
        <v>31</v>
      </c>
      <c r="L1153" s="9" t="str">
        <f>VLOOKUP(K1153, 'Alphabetical by species code'!A:B, 2, FALSE)</f>
        <v>Festuca myuros</v>
      </c>
      <c r="M1153" s="9" t="str">
        <f>VLOOKUP(L1153, 'Alphabetical by species code'!B:C, 2, FALSE)</f>
        <v>Non-Native</v>
      </c>
    </row>
    <row r="1154">
      <c r="A1154" s="7">
        <v>14.0</v>
      </c>
      <c r="B1154" s="7">
        <v>2025.0</v>
      </c>
      <c r="C1154" s="8">
        <v>45790.0</v>
      </c>
      <c r="D1154" s="7" t="s">
        <v>83</v>
      </c>
      <c r="E1154" s="7" t="s">
        <v>85</v>
      </c>
      <c r="F1154" s="7">
        <v>3.0</v>
      </c>
      <c r="G1154" s="7" t="s">
        <v>46</v>
      </c>
      <c r="H1154" s="7">
        <v>1.0</v>
      </c>
      <c r="I1154" s="7">
        <v>1.0</v>
      </c>
      <c r="J1154" s="7">
        <v>0.0</v>
      </c>
      <c r="K1154" s="7" t="s">
        <v>28</v>
      </c>
      <c r="L1154" s="9" t="str">
        <f>VLOOKUP(K1154, 'Alphabetical by species code'!A:B, 2, FALSE)</f>
        <v>Litter</v>
      </c>
      <c r="M1154" s="9" t="str">
        <f>VLOOKUP(L1154, 'Alphabetical by species code'!B:C, 2, FALSE)</f>
        <v>Ground Cover</v>
      </c>
    </row>
    <row r="1155">
      <c r="A1155" s="7">
        <v>14.0</v>
      </c>
      <c r="B1155" s="7">
        <v>2025.0</v>
      </c>
      <c r="C1155" s="8">
        <v>45790.0</v>
      </c>
      <c r="D1155" s="7" t="s">
        <v>83</v>
      </c>
      <c r="E1155" s="7" t="s">
        <v>85</v>
      </c>
      <c r="F1155" s="7">
        <v>3.0</v>
      </c>
      <c r="G1155" s="7" t="s">
        <v>46</v>
      </c>
      <c r="H1155" s="7">
        <v>1.0</v>
      </c>
      <c r="I1155" s="7">
        <v>1.0</v>
      </c>
      <c r="J1155" s="7">
        <v>0.0</v>
      </c>
      <c r="K1155" s="7" t="s">
        <v>64</v>
      </c>
      <c r="L1155" s="9" t="str">
        <f>VLOOKUP(K1155, 'Alphabetical by species code'!A:B, 2, FALSE)</f>
        <v>Brassica nigra</v>
      </c>
      <c r="M1155" s="9" t="str">
        <f>VLOOKUP(L1155, 'Alphabetical by species code'!B:C, 2, FALSE)</f>
        <v>Non-Native</v>
      </c>
    </row>
    <row r="1156">
      <c r="A1156" s="7">
        <v>14.0</v>
      </c>
      <c r="B1156" s="7">
        <v>2025.0</v>
      </c>
      <c r="C1156" s="8">
        <v>45790.0</v>
      </c>
      <c r="D1156" s="7" t="s">
        <v>83</v>
      </c>
      <c r="E1156" s="7" t="s">
        <v>85</v>
      </c>
      <c r="F1156" s="7">
        <v>3.0</v>
      </c>
      <c r="G1156" s="7" t="s">
        <v>46</v>
      </c>
      <c r="H1156" s="7">
        <v>1.0</v>
      </c>
      <c r="I1156" s="7">
        <v>1.0</v>
      </c>
      <c r="J1156" s="7">
        <v>0.0</v>
      </c>
      <c r="K1156" s="7" t="s">
        <v>36</v>
      </c>
      <c r="L1156" s="9" t="str">
        <f>VLOOKUP(K1156, 'Alphabetical by species code'!A:B, 2, FALSE)</f>
        <v>Bromus madritensis</v>
      </c>
      <c r="M1156" s="9" t="str">
        <f>VLOOKUP(L1156, 'Alphabetical by species code'!B:C, 2, FALSE)</f>
        <v>Non-Native</v>
      </c>
    </row>
    <row r="1157">
      <c r="A1157" s="7">
        <v>14.0</v>
      </c>
      <c r="B1157" s="7">
        <v>2025.0</v>
      </c>
      <c r="C1157" s="8">
        <v>45790.0</v>
      </c>
      <c r="D1157" s="7" t="s">
        <v>83</v>
      </c>
      <c r="E1157" s="7" t="s">
        <v>85</v>
      </c>
      <c r="F1157" s="7">
        <v>3.0</v>
      </c>
      <c r="G1157" s="7" t="s">
        <v>46</v>
      </c>
      <c r="H1157" s="7">
        <v>1.0</v>
      </c>
      <c r="I1157" s="7">
        <v>2.0</v>
      </c>
      <c r="J1157" s="7">
        <v>0.5</v>
      </c>
      <c r="K1157" s="7" t="s">
        <v>28</v>
      </c>
      <c r="L1157" s="9" t="str">
        <f>VLOOKUP(K1157, 'Alphabetical by species code'!A:B, 2, FALSE)</f>
        <v>Litter</v>
      </c>
      <c r="M1157" s="9" t="str">
        <f>VLOOKUP(L1157, 'Alphabetical by species code'!B:C, 2, FALSE)</f>
        <v>Ground Cover</v>
      </c>
    </row>
    <row r="1158">
      <c r="A1158" s="7">
        <v>14.0</v>
      </c>
      <c r="B1158" s="7">
        <v>2025.0</v>
      </c>
      <c r="C1158" s="8">
        <v>45790.0</v>
      </c>
      <c r="D1158" s="7" t="s">
        <v>83</v>
      </c>
      <c r="E1158" s="7" t="s">
        <v>85</v>
      </c>
      <c r="F1158" s="7">
        <v>3.0</v>
      </c>
      <c r="G1158" s="7" t="s">
        <v>46</v>
      </c>
      <c r="H1158" s="7">
        <v>1.0</v>
      </c>
      <c r="I1158" s="7">
        <v>2.0</v>
      </c>
      <c r="J1158" s="7">
        <v>0.5</v>
      </c>
      <c r="K1158" s="7" t="s">
        <v>55</v>
      </c>
      <c r="L1158" s="9" t="str">
        <f>VLOOKUP(K1158, 'Alphabetical by species code'!A:B, 2, FALSE)</f>
        <v>Daucus pusillus</v>
      </c>
      <c r="M1158" s="9" t="str">
        <f>VLOOKUP(L1158, 'Alphabetical by species code'!B:C, 2, FALSE)</f>
        <v>Native</v>
      </c>
    </row>
    <row r="1159">
      <c r="A1159" s="7">
        <v>14.0</v>
      </c>
      <c r="B1159" s="7">
        <v>2025.0</v>
      </c>
      <c r="C1159" s="8">
        <v>45790.0</v>
      </c>
      <c r="D1159" s="7" t="s">
        <v>83</v>
      </c>
      <c r="E1159" s="7" t="s">
        <v>85</v>
      </c>
      <c r="F1159" s="7">
        <v>3.0</v>
      </c>
      <c r="G1159" s="7" t="s">
        <v>46</v>
      </c>
      <c r="H1159" s="7">
        <v>1.0</v>
      </c>
      <c r="I1159" s="7">
        <v>2.0</v>
      </c>
      <c r="J1159" s="7">
        <v>0.5</v>
      </c>
      <c r="K1159" s="7" t="s">
        <v>31</v>
      </c>
      <c r="L1159" s="9" t="str">
        <f>VLOOKUP(K1159, 'Alphabetical by species code'!A:B, 2, FALSE)</f>
        <v>Festuca myuros</v>
      </c>
      <c r="M1159" s="9" t="str">
        <f>VLOOKUP(L1159, 'Alphabetical by species code'!B:C, 2, FALSE)</f>
        <v>Non-Native</v>
      </c>
    </row>
    <row r="1160">
      <c r="A1160" s="7">
        <v>14.0</v>
      </c>
      <c r="B1160" s="7">
        <v>2025.0</v>
      </c>
      <c r="C1160" s="8">
        <v>45790.0</v>
      </c>
      <c r="D1160" s="7" t="s">
        <v>83</v>
      </c>
      <c r="E1160" s="7" t="s">
        <v>85</v>
      </c>
      <c r="F1160" s="7">
        <v>3.0</v>
      </c>
      <c r="G1160" s="7" t="s">
        <v>46</v>
      </c>
      <c r="H1160" s="7">
        <v>1.0</v>
      </c>
      <c r="I1160" s="7">
        <v>3.0</v>
      </c>
      <c r="J1160" s="7">
        <v>1.0</v>
      </c>
      <c r="K1160" s="7" t="s">
        <v>28</v>
      </c>
      <c r="L1160" s="9" t="str">
        <f>VLOOKUP(K1160, 'Alphabetical by species code'!A:B, 2, FALSE)</f>
        <v>Litter</v>
      </c>
      <c r="M1160" s="9" t="str">
        <f>VLOOKUP(L1160, 'Alphabetical by species code'!B:C, 2, FALSE)</f>
        <v>Ground Cover</v>
      </c>
    </row>
    <row r="1161">
      <c r="A1161" s="7">
        <v>14.0</v>
      </c>
      <c r="B1161" s="7">
        <v>2025.0</v>
      </c>
      <c r="C1161" s="8">
        <v>45790.0</v>
      </c>
      <c r="D1161" s="7" t="s">
        <v>83</v>
      </c>
      <c r="E1161" s="7" t="s">
        <v>85</v>
      </c>
      <c r="F1161" s="7">
        <v>3.0</v>
      </c>
      <c r="G1161" s="7" t="s">
        <v>46</v>
      </c>
      <c r="H1161" s="7">
        <v>1.0</v>
      </c>
      <c r="I1161" s="7">
        <v>3.0</v>
      </c>
      <c r="J1161" s="7">
        <v>1.0</v>
      </c>
      <c r="K1161" s="7" t="s">
        <v>36</v>
      </c>
      <c r="L1161" s="9" t="str">
        <f>VLOOKUP(K1161, 'Alphabetical by species code'!A:B, 2, FALSE)</f>
        <v>Bromus madritensis</v>
      </c>
      <c r="M1161" s="9" t="str">
        <f>VLOOKUP(L1161, 'Alphabetical by species code'!B:C, 2, FALSE)</f>
        <v>Non-Native</v>
      </c>
    </row>
    <row r="1162">
      <c r="A1162" s="7">
        <v>14.0</v>
      </c>
      <c r="B1162" s="7">
        <v>2025.0</v>
      </c>
      <c r="C1162" s="8">
        <v>45790.0</v>
      </c>
      <c r="D1162" s="7" t="s">
        <v>83</v>
      </c>
      <c r="E1162" s="7" t="s">
        <v>85</v>
      </c>
      <c r="F1162" s="7">
        <v>3.0</v>
      </c>
      <c r="G1162" s="7" t="s">
        <v>46</v>
      </c>
      <c r="H1162" s="7">
        <v>1.0</v>
      </c>
      <c r="I1162" s="7">
        <v>3.0</v>
      </c>
      <c r="J1162" s="7">
        <v>1.0</v>
      </c>
      <c r="K1162" s="7" t="s">
        <v>47</v>
      </c>
      <c r="L1162" s="9" t="str">
        <f>VLOOKUP(K1162, 'Alphabetical by species code'!A:B, 2, FALSE)</f>
        <v>Sonchus species</v>
      </c>
      <c r="M1162" s="9" t="str">
        <f>VLOOKUP(L1162, 'Alphabetical by species code'!B:C, 2, FALSE)</f>
        <v>Non-Native</v>
      </c>
    </row>
    <row r="1163">
      <c r="A1163" s="7">
        <v>14.0</v>
      </c>
      <c r="B1163" s="7">
        <v>2025.0</v>
      </c>
      <c r="C1163" s="8">
        <v>45790.0</v>
      </c>
      <c r="D1163" s="7" t="s">
        <v>83</v>
      </c>
      <c r="E1163" s="7" t="s">
        <v>85</v>
      </c>
      <c r="F1163" s="7">
        <v>3.0</v>
      </c>
      <c r="G1163" s="7" t="s">
        <v>46</v>
      </c>
      <c r="H1163" s="7">
        <v>1.0</v>
      </c>
      <c r="I1163" s="7">
        <v>4.0</v>
      </c>
      <c r="J1163" s="7">
        <v>1.5</v>
      </c>
      <c r="K1163" s="7" t="s">
        <v>28</v>
      </c>
      <c r="L1163" s="9" t="str">
        <f>VLOOKUP(K1163, 'Alphabetical by species code'!A:B, 2, FALSE)</f>
        <v>Litter</v>
      </c>
      <c r="M1163" s="9" t="str">
        <f>VLOOKUP(L1163, 'Alphabetical by species code'!B:C, 2, FALSE)</f>
        <v>Ground Cover</v>
      </c>
    </row>
    <row r="1164">
      <c r="A1164" s="7">
        <v>14.0</v>
      </c>
      <c r="B1164" s="7">
        <v>2025.0</v>
      </c>
      <c r="C1164" s="8">
        <v>45790.0</v>
      </c>
      <c r="D1164" s="7" t="s">
        <v>83</v>
      </c>
      <c r="E1164" s="7" t="s">
        <v>85</v>
      </c>
      <c r="F1164" s="7">
        <v>3.0</v>
      </c>
      <c r="G1164" s="7" t="s">
        <v>46</v>
      </c>
      <c r="H1164" s="7">
        <v>1.0</v>
      </c>
      <c r="I1164" s="7">
        <v>4.0</v>
      </c>
      <c r="J1164" s="7">
        <v>1.5</v>
      </c>
      <c r="K1164" s="7" t="s">
        <v>84</v>
      </c>
      <c r="L1164" s="9" t="str">
        <f>VLOOKUP(K1164, 'Alphabetical by species code'!A:B, 2, FALSE)</f>
        <v>Bromus diandrus</v>
      </c>
      <c r="M1164" s="9" t="str">
        <f>VLOOKUP(L1164, 'Alphabetical by species code'!B:C, 2, FALSE)</f>
        <v>Non-Native</v>
      </c>
    </row>
    <row r="1165">
      <c r="A1165" s="7">
        <v>14.0</v>
      </c>
      <c r="B1165" s="7">
        <v>2025.0</v>
      </c>
      <c r="C1165" s="8">
        <v>45790.0</v>
      </c>
      <c r="D1165" s="7" t="s">
        <v>83</v>
      </c>
      <c r="E1165" s="7" t="s">
        <v>85</v>
      </c>
      <c r="F1165" s="7">
        <v>3.0</v>
      </c>
      <c r="G1165" s="7" t="s">
        <v>46</v>
      </c>
      <c r="H1165" s="7">
        <v>1.0</v>
      </c>
      <c r="I1165" s="7">
        <v>4.0</v>
      </c>
      <c r="J1165" s="7">
        <v>1.5</v>
      </c>
      <c r="K1165" s="7" t="s">
        <v>29</v>
      </c>
      <c r="L1165" s="9" t="str">
        <f>VLOOKUP(K1165, 'Alphabetical by species code'!A:B, 2, FALSE)</f>
        <v>Opuntia littoralis</v>
      </c>
      <c r="M1165" s="9" t="str">
        <f>VLOOKUP(L1165, 'Alphabetical by species code'!B:C, 2, FALSE)</f>
        <v>Native</v>
      </c>
    </row>
    <row r="1166">
      <c r="A1166" s="7">
        <v>14.0</v>
      </c>
      <c r="B1166" s="7">
        <v>2025.0</v>
      </c>
      <c r="C1166" s="8">
        <v>45790.0</v>
      </c>
      <c r="D1166" s="7" t="s">
        <v>83</v>
      </c>
      <c r="E1166" s="7" t="s">
        <v>85</v>
      </c>
      <c r="F1166" s="7">
        <v>3.0</v>
      </c>
      <c r="G1166" s="7" t="s">
        <v>46</v>
      </c>
      <c r="H1166" s="7">
        <v>1.0</v>
      </c>
      <c r="I1166" s="7">
        <v>4.0</v>
      </c>
      <c r="J1166" s="7">
        <v>1.5</v>
      </c>
      <c r="K1166" s="7" t="s">
        <v>36</v>
      </c>
      <c r="L1166" s="9" t="str">
        <f>VLOOKUP(K1166, 'Alphabetical by species code'!A:B, 2, FALSE)</f>
        <v>Bromus madritensis</v>
      </c>
      <c r="M1166" s="9" t="str">
        <f>VLOOKUP(L1166, 'Alphabetical by species code'!B:C, 2, FALSE)</f>
        <v>Non-Native</v>
      </c>
    </row>
    <row r="1167">
      <c r="A1167" s="7">
        <v>14.0</v>
      </c>
      <c r="B1167" s="7">
        <v>2025.0</v>
      </c>
      <c r="C1167" s="8">
        <v>45790.0</v>
      </c>
      <c r="D1167" s="7" t="s">
        <v>83</v>
      </c>
      <c r="E1167" s="7" t="s">
        <v>85</v>
      </c>
      <c r="F1167" s="7">
        <v>3.0</v>
      </c>
      <c r="G1167" s="7" t="s">
        <v>46</v>
      </c>
      <c r="H1167" s="7">
        <v>1.0</v>
      </c>
      <c r="I1167" s="7">
        <v>5.0</v>
      </c>
      <c r="J1167" s="7">
        <v>2.0</v>
      </c>
      <c r="K1167" s="7" t="s">
        <v>28</v>
      </c>
      <c r="L1167" s="9" t="str">
        <f>VLOOKUP(K1167, 'Alphabetical by species code'!A:B, 2, FALSE)</f>
        <v>Litter</v>
      </c>
      <c r="M1167" s="9" t="str">
        <f>VLOOKUP(L1167, 'Alphabetical by species code'!B:C, 2, FALSE)</f>
        <v>Ground Cover</v>
      </c>
    </row>
    <row r="1168">
      <c r="A1168" s="7">
        <v>14.0</v>
      </c>
      <c r="B1168" s="7">
        <v>2025.0</v>
      </c>
      <c r="C1168" s="8">
        <v>45790.0</v>
      </c>
      <c r="D1168" s="7" t="s">
        <v>83</v>
      </c>
      <c r="E1168" s="7" t="s">
        <v>85</v>
      </c>
      <c r="F1168" s="7">
        <v>3.0</v>
      </c>
      <c r="G1168" s="7" t="s">
        <v>46</v>
      </c>
      <c r="H1168" s="7">
        <v>1.0</v>
      </c>
      <c r="I1168" s="7">
        <v>5.0</v>
      </c>
      <c r="J1168" s="7">
        <v>2.0</v>
      </c>
      <c r="K1168" s="7" t="s">
        <v>29</v>
      </c>
      <c r="L1168" s="9" t="str">
        <f>VLOOKUP(K1168, 'Alphabetical by species code'!A:B, 2, FALSE)</f>
        <v>Opuntia littoralis</v>
      </c>
      <c r="M1168" s="9" t="str">
        <f>VLOOKUP(L1168, 'Alphabetical by species code'!B:C, 2, FALSE)</f>
        <v>Native</v>
      </c>
    </row>
    <row r="1169">
      <c r="A1169" s="7">
        <v>14.0</v>
      </c>
      <c r="B1169" s="7">
        <v>2025.0</v>
      </c>
      <c r="C1169" s="8">
        <v>45790.0</v>
      </c>
      <c r="D1169" s="7" t="s">
        <v>83</v>
      </c>
      <c r="E1169" s="7" t="s">
        <v>85</v>
      </c>
      <c r="F1169" s="7">
        <v>3.0</v>
      </c>
      <c r="G1169" s="7" t="s">
        <v>46</v>
      </c>
      <c r="H1169" s="7">
        <v>1.0</v>
      </c>
      <c r="I1169" s="7">
        <v>5.0</v>
      </c>
      <c r="J1169" s="7">
        <v>2.0</v>
      </c>
      <c r="K1169" s="7" t="s">
        <v>31</v>
      </c>
      <c r="L1169" s="9" t="str">
        <f>VLOOKUP(K1169, 'Alphabetical by species code'!A:B, 2, FALSE)</f>
        <v>Festuca myuros</v>
      </c>
      <c r="M1169" s="9" t="str">
        <f>VLOOKUP(L1169, 'Alphabetical by species code'!B:C, 2, FALSE)</f>
        <v>Non-Native</v>
      </c>
    </row>
    <row r="1170">
      <c r="A1170" s="7">
        <v>14.0</v>
      </c>
      <c r="B1170" s="7">
        <v>2025.0</v>
      </c>
      <c r="C1170" s="8">
        <v>45790.0</v>
      </c>
      <c r="D1170" s="7" t="s">
        <v>83</v>
      </c>
      <c r="E1170" s="7" t="s">
        <v>85</v>
      </c>
      <c r="F1170" s="7">
        <v>3.0</v>
      </c>
      <c r="G1170" s="7" t="s">
        <v>46</v>
      </c>
      <c r="H1170" s="7">
        <v>1.0</v>
      </c>
      <c r="I1170" s="7">
        <v>6.0</v>
      </c>
      <c r="J1170" s="7">
        <v>2.5</v>
      </c>
      <c r="K1170" s="7" t="s">
        <v>38</v>
      </c>
      <c r="L1170" s="9" t="str">
        <f>VLOOKUP(K1170, 'Alphabetical by species code'!A:B, 2, FALSE)</f>
        <v>Thatch</v>
      </c>
      <c r="M1170" s="9" t="str">
        <f>VLOOKUP(L1170, 'Alphabetical by species code'!B:C, 2, FALSE)</f>
        <v>Ground Cover</v>
      </c>
    </row>
    <row r="1171">
      <c r="A1171" s="7">
        <v>14.0</v>
      </c>
      <c r="B1171" s="7">
        <v>2025.0</v>
      </c>
      <c r="C1171" s="8">
        <v>45790.0</v>
      </c>
      <c r="D1171" s="7" t="s">
        <v>83</v>
      </c>
      <c r="E1171" s="7" t="s">
        <v>85</v>
      </c>
      <c r="F1171" s="7">
        <v>3.0</v>
      </c>
      <c r="G1171" s="7" t="s">
        <v>46</v>
      </c>
      <c r="H1171" s="7">
        <v>1.0</v>
      </c>
      <c r="I1171" s="7">
        <v>6.0</v>
      </c>
      <c r="J1171" s="7">
        <v>2.5</v>
      </c>
      <c r="K1171" s="7" t="s">
        <v>36</v>
      </c>
      <c r="L1171" s="9" t="str">
        <f>VLOOKUP(K1171, 'Alphabetical by species code'!A:B, 2, FALSE)</f>
        <v>Bromus madritensis</v>
      </c>
      <c r="M1171" s="9" t="str">
        <f>VLOOKUP(L1171, 'Alphabetical by species code'!B:C, 2, FALSE)</f>
        <v>Non-Native</v>
      </c>
    </row>
    <row r="1172">
      <c r="A1172" s="7">
        <v>14.0</v>
      </c>
      <c r="B1172" s="7">
        <v>2025.0</v>
      </c>
      <c r="C1172" s="8">
        <v>45790.0</v>
      </c>
      <c r="D1172" s="7" t="s">
        <v>83</v>
      </c>
      <c r="E1172" s="7" t="s">
        <v>85</v>
      </c>
      <c r="F1172" s="7">
        <v>3.0</v>
      </c>
      <c r="G1172" s="7" t="s">
        <v>46</v>
      </c>
      <c r="H1172" s="7">
        <v>1.0</v>
      </c>
      <c r="I1172" s="7">
        <v>6.0</v>
      </c>
      <c r="J1172" s="7">
        <v>2.5</v>
      </c>
      <c r="K1172" s="7" t="s">
        <v>31</v>
      </c>
      <c r="L1172" s="9" t="str">
        <f>VLOOKUP(K1172, 'Alphabetical by species code'!A:B, 2, FALSE)</f>
        <v>Festuca myuros</v>
      </c>
      <c r="M1172" s="9" t="str">
        <f>VLOOKUP(L1172, 'Alphabetical by species code'!B:C, 2, FALSE)</f>
        <v>Non-Native</v>
      </c>
    </row>
    <row r="1173">
      <c r="A1173" s="7">
        <v>14.0</v>
      </c>
      <c r="B1173" s="7">
        <v>2025.0</v>
      </c>
      <c r="C1173" s="8">
        <v>45790.0</v>
      </c>
      <c r="D1173" s="7" t="s">
        <v>83</v>
      </c>
      <c r="E1173" s="7" t="s">
        <v>85</v>
      </c>
      <c r="F1173" s="7">
        <v>3.0</v>
      </c>
      <c r="G1173" s="7" t="s">
        <v>46</v>
      </c>
      <c r="H1173" s="7">
        <v>1.0</v>
      </c>
      <c r="I1173" s="7">
        <v>7.0</v>
      </c>
      <c r="J1173" s="7">
        <v>3.0</v>
      </c>
      <c r="K1173" s="7" t="s">
        <v>38</v>
      </c>
      <c r="L1173" s="9" t="str">
        <f>VLOOKUP(K1173, 'Alphabetical by species code'!A:B, 2, FALSE)</f>
        <v>Thatch</v>
      </c>
      <c r="M1173" s="9" t="str">
        <f>VLOOKUP(L1173, 'Alphabetical by species code'!B:C, 2, FALSE)</f>
        <v>Ground Cover</v>
      </c>
    </row>
    <row r="1174">
      <c r="A1174" s="7">
        <v>14.0</v>
      </c>
      <c r="B1174" s="7">
        <v>2025.0</v>
      </c>
      <c r="C1174" s="8">
        <v>45790.0</v>
      </c>
      <c r="D1174" s="7" t="s">
        <v>83</v>
      </c>
      <c r="E1174" s="7" t="s">
        <v>85</v>
      </c>
      <c r="F1174" s="7">
        <v>3.0</v>
      </c>
      <c r="G1174" s="7" t="s">
        <v>46</v>
      </c>
      <c r="H1174" s="7">
        <v>1.0</v>
      </c>
      <c r="I1174" s="7">
        <v>7.0</v>
      </c>
      <c r="J1174" s="7">
        <v>3.0</v>
      </c>
      <c r="K1174" s="7" t="s">
        <v>31</v>
      </c>
      <c r="L1174" s="9" t="str">
        <f>VLOOKUP(K1174, 'Alphabetical by species code'!A:B, 2, FALSE)</f>
        <v>Festuca myuros</v>
      </c>
      <c r="M1174" s="9" t="str">
        <f>VLOOKUP(L1174, 'Alphabetical by species code'!B:C, 2, FALSE)</f>
        <v>Non-Native</v>
      </c>
    </row>
    <row r="1175">
      <c r="A1175" s="7">
        <v>14.0</v>
      </c>
      <c r="B1175" s="7">
        <v>2025.0</v>
      </c>
      <c r="C1175" s="8">
        <v>45790.0</v>
      </c>
      <c r="D1175" s="7" t="s">
        <v>83</v>
      </c>
      <c r="E1175" s="7" t="s">
        <v>85</v>
      </c>
      <c r="F1175" s="7">
        <v>3.0</v>
      </c>
      <c r="G1175" s="7" t="s">
        <v>46</v>
      </c>
      <c r="H1175" s="7">
        <v>1.0</v>
      </c>
      <c r="I1175" s="7">
        <v>7.0</v>
      </c>
      <c r="J1175" s="7">
        <v>3.0</v>
      </c>
      <c r="K1175" s="7" t="s">
        <v>36</v>
      </c>
      <c r="L1175" s="9" t="str">
        <f>VLOOKUP(K1175, 'Alphabetical by species code'!A:B, 2, FALSE)</f>
        <v>Bromus madritensis</v>
      </c>
      <c r="M1175" s="9" t="str">
        <f>VLOOKUP(L1175, 'Alphabetical by species code'!B:C, 2, FALSE)</f>
        <v>Non-Native</v>
      </c>
    </row>
    <row r="1176">
      <c r="A1176" s="7">
        <v>14.0</v>
      </c>
      <c r="B1176" s="7">
        <v>2025.0</v>
      </c>
      <c r="C1176" s="8">
        <v>45790.0</v>
      </c>
      <c r="D1176" s="7" t="s">
        <v>83</v>
      </c>
      <c r="E1176" s="7" t="s">
        <v>85</v>
      </c>
      <c r="F1176" s="7">
        <v>3.0</v>
      </c>
      <c r="G1176" s="7" t="s">
        <v>46</v>
      </c>
      <c r="H1176" s="7">
        <v>1.0</v>
      </c>
      <c r="I1176" s="7">
        <v>8.0</v>
      </c>
      <c r="J1176" s="7">
        <v>3.5</v>
      </c>
      <c r="K1176" s="7" t="s">
        <v>28</v>
      </c>
      <c r="L1176" s="9" t="str">
        <f>VLOOKUP(K1176, 'Alphabetical by species code'!A:B, 2, FALSE)</f>
        <v>Litter</v>
      </c>
      <c r="M1176" s="9" t="str">
        <f>VLOOKUP(L1176, 'Alphabetical by species code'!B:C, 2, FALSE)</f>
        <v>Ground Cover</v>
      </c>
    </row>
    <row r="1177">
      <c r="A1177" s="7">
        <v>14.0</v>
      </c>
      <c r="B1177" s="7">
        <v>2025.0</v>
      </c>
      <c r="C1177" s="8">
        <v>45790.0</v>
      </c>
      <c r="D1177" s="7" t="s">
        <v>83</v>
      </c>
      <c r="E1177" s="7" t="s">
        <v>85</v>
      </c>
      <c r="F1177" s="7">
        <v>3.0</v>
      </c>
      <c r="G1177" s="7" t="s">
        <v>46</v>
      </c>
      <c r="H1177" s="7">
        <v>1.0</v>
      </c>
      <c r="I1177" s="7">
        <v>8.0</v>
      </c>
      <c r="J1177" s="7">
        <v>3.5</v>
      </c>
      <c r="K1177" s="7" t="s">
        <v>31</v>
      </c>
      <c r="L1177" s="9" t="str">
        <f>VLOOKUP(K1177, 'Alphabetical by species code'!A:B, 2, FALSE)</f>
        <v>Festuca myuros</v>
      </c>
      <c r="M1177" s="9" t="str">
        <f>VLOOKUP(L1177, 'Alphabetical by species code'!B:C, 2, FALSE)</f>
        <v>Non-Native</v>
      </c>
    </row>
    <row r="1178">
      <c r="A1178" s="7">
        <v>14.0</v>
      </c>
      <c r="B1178" s="7">
        <v>2025.0</v>
      </c>
      <c r="C1178" s="8">
        <v>45790.0</v>
      </c>
      <c r="D1178" s="7" t="s">
        <v>83</v>
      </c>
      <c r="E1178" s="7" t="s">
        <v>85</v>
      </c>
      <c r="F1178" s="7">
        <v>3.0</v>
      </c>
      <c r="G1178" s="7" t="s">
        <v>46</v>
      </c>
      <c r="H1178" s="7">
        <v>1.0</v>
      </c>
      <c r="I1178" s="7">
        <v>8.0</v>
      </c>
      <c r="J1178" s="7">
        <v>3.5</v>
      </c>
      <c r="K1178" s="7" t="s">
        <v>36</v>
      </c>
      <c r="L1178" s="9" t="str">
        <f>VLOOKUP(K1178, 'Alphabetical by species code'!A:B, 2, FALSE)</f>
        <v>Bromus madritensis</v>
      </c>
      <c r="M1178" s="9" t="str">
        <f>VLOOKUP(L1178, 'Alphabetical by species code'!B:C, 2, FALSE)</f>
        <v>Non-Native</v>
      </c>
    </row>
    <row r="1179">
      <c r="A1179" s="7">
        <v>14.0</v>
      </c>
      <c r="B1179" s="7">
        <v>2025.0</v>
      </c>
      <c r="C1179" s="8">
        <v>45790.0</v>
      </c>
      <c r="D1179" s="7" t="s">
        <v>83</v>
      </c>
      <c r="E1179" s="7" t="s">
        <v>85</v>
      </c>
      <c r="F1179" s="7">
        <v>3.0</v>
      </c>
      <c r="G1179" s="7" t="s">
        <v>46</v>
      </c>
      <c r="H1179" s="7">
        <v>1.0</v>
      </c>
      <c r="I1179" s="7">
        <v>9.0</v>
      </c>
      <c r="J1179" s="7">
        <v>4.0</v>
      </c>
      <c r="K1179" s="7" t="s">
        <v>28</v>
      </c>
      <c r="L1179" s="9" t="str">
        <f>VLOOKUP(K1179, 'Alphabetical by species code'!A:B, 2, FALSE)</f>
        <v>Litter</v>
      </c>
      <c r="M1179" s="9" t="str">
        <f>VLOOKUP(L1179, 'Alphabetical by species code'!B:C, 2, FALSE)</f>
        <v>Ground Cover</v>
      </c>
    </row>
    <row r="1180">
      <c r="A1180" s="7">
        <v>14.0</v>
      </c>
      <c r="B1180" s="7">
        <v>2025.0</v>
      </c>
      <c r="C1180" s="8">
        <v>45790.0</v>
      </c>
      <c r="D1180" s="7" t="s">
        <v>83</v>
      </c>
      <c r="E1180" s="7" t="s">
        <v>85</v>
      </c>
      <c r="F1180" s="7">
        <v>3.0</v>
      </c>
      <c r="G1180" s="7" t="s">
        <v>46</v>
      </c>
      <c r="H1180" s="7">
        <v>1.0</v>
      </c>
      <c r="I1180" s="7">
        <v>9.0</v>
      </c>
      <c r="J1180" s="7">
        <v>4.0</v>
      </c>
      <c r="K1180" s="7" t="s">
        <v>44</v>
      </c>
      <c r="L1180" s="9" t="str">
        <f>VLOOKUP(K1180, 'Alphabetical by species code'!A:B, 2, FALSE)</f>
        <v>Amsinckia menziesii</v>
      </c>
      <c r="M1180" s="9" t="str">
        <f>VLOOKUP(L1180, 'Alphabetical by species code'!B:C, 2, FALSE)</f>
        <v>Native</v>
      </c>
    </row>
    <row r="1181">
      <c r="A1181" s="7">
        <v>14.0</v>
      </c>
      <c r="B1181" s="7">
        <v>2025.0</v>
      </c>
      <c r="C1181" s="8">
        <v>45790.0</v>
      </c>
      <c r="D1181" s="7" t="s">
        <v>83</v>
      </c>
      <c r="E1181" s="7" t="s">
        <v>85</v>
      </c>
      <c r="F1181" s="7">
        <v>3.0</v>
      </c>
      <c r="G1181" s="7" t="s">
        <v>46</v>
      </c>
      <c r="H1181" s="7">
        <v>1.0</v>
      </c>
      <c r="I1181" s="7">
        <v>9.0</v>
      </c>
      <c r="J1181" s="7">
        <v>4.0</v>
      </c>
      <c r="K1181" s="7" t="s">
        <v>31</v>
      </c>
      <c r="L1181" s="9" t="str">
        <f>VLOOKUP(K1181, 'Alphabetical by species code'!A:B, 2, FALSE)</f>
        <v>Festuca myuros</v>
      </c>
      <c r="M1181" s="9" t="str">
        <f>VLOOKUP(L1181, 'Alphabetical by species code'!B:C, 2, FALSE)</f>
        <v>Non-Native</v>
      </c>
    </row>
    <row r="1182">
      <c r="A1182" s="7">
        <v>14.0</v>
      </c>
      <c r="B1182" s="7">
        <v>2025.0</v>
      </c>
      <c r="C1182" s="8">
        <v>45790.0</v>
      </c>
      <c r="D1182" s="7" t="s">
        <v>83</v>
      </c>
      <c r="E1182" s="7" t="s">
        <v>85</v>
      </c>
      <c r="F1182" s="7">
        <v>3.0</v>
      </c>
      <c r="G1182" s="7" t="s">
        <v>46</v>
      </c>
      <c r="H1182" s="7">
        <v>1.0</v>
      </c>
      <c r="I1182" s="7">
        <v>10.0</v>
      </c>
      <c r="J1182" s="7">
        <v>4.5</v>
      </c>
      <c r="K1182" s="7" t="s">
        <v>28</v>
      </c>
      <c r="L1182" s="9" t="str">
        <f>VLOOKUP(K1182, 'Alphabetical by species code'!A:B, 2, FALSE)</f>
        <v>Litter</v>
      </c>
      <c r="M1182" s="9" t="str">
        <f>VLOOKUP(L1182, 'Alphabetical by species code'!B:C, 2, FALSE)</f>
        <v>Ground Cover</v>
      </c>
    </row>
    <row r="1183">
      <c r="A1183" s="7">
        <v>14.0</v>
      </c>
      <c r="B1183" s="7">
        <v>2025.0</v>
      </c>
      <c r="C1183" s="8">
        <v>45790.0</v>
      </c>
      <c r="D1183" s="7" t="s">
        <v>83</v>
      </c>
      <c r="E1183" s="7" t="s">
        <v>85</v>
      </c>
      <c r="F1183" s="7">
        <v>3.0</v>
      </c>
      <c r="G1183" s="7" t="s">
        <v>46</v>
      </c>
      <c r="H1183" s="7">
        <v>1.0</v>
      </c>
      <c r="I1183" s="7">
        <v>10.0</v>
      </c>
      <c r="J1183" s="7">
        <v>4.5</v>
      </c>
      <c r="K1183" s="7" t="s">
        <v>39</v>
      </c>
      <c r="L1183" s="9" t="str">
        <f>VLOOKUP(K1183, 'Alphabetical by species code'!A:B, 2, FALSE)</f>
        <v>Stephanomeria diegensis</v>
      </c>
      <c r="M1183" s="9" t="str">
        <f>VLOOKUP(L1183, 'Alphabetical by species code'!B:C, 2, FALSE)</f>
        <v>Native</v>
      </c>
    </row>
    <row r="1184">
      <c r="A1184" s="7">
        <v>14.0</v>
      </c>
      <c r="B1184" s="7">
        <v>2025.0</v>
      </c>
      <c r="C1184" s="8">
        <v>45790.0</v>
      </c>
      <c r="D1184" s="7" t="s">
        <v>83</v>
      </c>
      <c r="E1184" s="7" t="s">
        <v>85</v>
      </c>
      <c r="F1184" s="7">
        <v>3.0</v>
      </c>
      <c r="G1184" s="7" t="s">
        <v>46</v>
      </c>
      <c r="H1184" s="7">
        <v>1.0</v>
      </c>
      <c r="I1184" s="7">
        <v>10.0</v>
      </c>
      <c r="J1184" s="7">
        <v>4.5</v>
      </c>
      <c r="K1184" s="7" t="s">
        <v>31</v>
      </c>
      <c r="L1184" s="9" t="str">
        <f>VLOOKUP(K1184, 'Alphabetical by species code'!A:B, 2, FALSE)</f>
        <v>Festuca myuros</v>
      </c>
      <c r="M1184" s="9" t="str">
        <f>VLOOKUP(L1184, 'Alphabetical by species code'!B:C, 2, FALSE)</f>
        <v>Non-Native</v>
      </c>
    </row>
    <row r="1185">
      <c r="A1185" s="7">
        <v>14.0</v>
      </c>
      <c r="B1185" s="7">
        <v>2025.0</v>
      </c>
      <c r="C1185" s="8">
        <v>45790.0</v>
      </c>
      <c r="D1185" s="7" t="s">
        <v>83</v>
      </c>
      <c r="E1185" s="7" t="s">
        <v>85</v>
      </c>
      <c r="F1185" s="7">
        <v>3.0</v>
      </c>
      <c r="G1185" s="7" t="s">
        <v>46</v>
      </c>
      <c r="H1185" s="7">
        <v>1.0</v>
      </c>
      <c r="I1185" s="7">
        <v>11.0</v>
      </c>
      <c r="J1185" s="7">
        <v>5.0</v>
      </c>
      <c r="K1185" s="7" t="s">
        <v>28</v>
      </c>
      <c r="L1185" s="9" t="str">
        <f>VLOOKUP(K1185, 'Alphabetical by species code'!A:B, 2, FALSE)</f>
        <v>Litter</v>
      </c>
      <c r="M1185" s="9" t="str">
        <f>VLOOKUP(L1185, 'Alphabetical by species code'!B:C, 2, FALSE)</f>
        <v>Ground Cover</v>
      </c>
    </row>
    <row r="1186">
      <c r="A1186" s="7">
        <v>14.0</v>
      </c>
      <c r="B1186" s="7">
        <v>2025.0</v>
      </c>
      <c r="C1186" s="8">
        <v>45790.0</v>
      </c>
      <c r="D1186" s="7" t="s">
        <v>83</v>
      </c>
      <c r="E1186" s="7" t="s">
        <v>85</v>
      </c>
      <c r="F1186" s="7">
        <v>3.0</v>
      </c>
      <c r="G1186" s="7" t="s">
        <v>46</v>
      </c>
      <c r="H1186" s="7">
        <v>1.0</v>
      </c>
      <c r="I1186" s="7">
        <v>11.0</v>
      </c>
      <c r="J1186" s="7">
        <v>5.0</v>
      </c>
      <c r="K1186" s="7" t="s">
        <v>44</v>
      </c>
      <c r="L1186" s="9" t="str">
        <f>VLOOKUP(K1186, 'Alphabetical by species code'!A:B, 2, FALSE)</f>
        <v>Amsinckia menziesii</v>
      </c>
      <c r="M1186" s="9" t="str">
        <f>VLOOKUP(L1186, 'Alphabetical by species code'!B:C, 2, FALSE)</f>
        <v>Native</v>
      </c>
    </row>
    <row r="1187">
      <c r="A1187" s="7">
        <v>14.0</v>
      </c>
      <c r="B1187" s="7">
        <v>2025.0</v>
      </c>
      <c r="C1187" s="8">
        <v>45790.0</v>
      </c>
      <c r="D1187" s="7" t="s">
        <v>83</v>
      </c>
      <c r="E1187" s="7" t="s">
        <v>85</v>
      </c>
      <c r="F1187" s="7">
        <v>3.0</v>
      </c>
      <c r="G1187" s="7" t="s">
        <v>46</v>
      </c>
      <c r="H1187" s="7">
        <v>1.0</v>
      </c>
      <c r="I1187" s="7">
        <v>11.0</v>
      </c>
      <c r="J1187" s="7">
        <v>5.0</v>
      </c>
      <c r="K1187" s="7" t="s">
        <v>31</v>
      </c>
      <c r="L1187" s="9" t="str">
        <f>VLOOKUP(K1187, 'Alphabetical by species code'!A:B, 2, FALSE)</f>
        <v>Festuca myuros</v>
      </c>
      <c r="M1187" s="9" t="str">
        <f>VLOOKUP(L1187, 'Alphabetical by species code'!B:C, 2, FALSE)</f>
        <v>Non-Native</v>
      </c>
    </row>
    <row r="1188">
      <c r="A1188" s="7">
        <v>14.0</v>
      </c>
      <c r="B1188" s="7">
        <v>2025.0</v>
      </c>
      <c r="C1188" s="8">
        <v>45790.0</v>
      </c>
      <c r="D1188" s="7" t="s">
        <v>83</v>
      </c>
      <c r="E1188" s="7" t="s">
        <v>85</v>
      </c>
      <c r="F1188" s="7">
        <v>3.0</v>
      </c>
      <c r="G1188" s="7" t="s">
        <v>46</v>
      </c>
      <c r="H1188" s="7">
        <v>1.0</v>
      </c>
      <c r="I1188" s="7">
        <v>12.0</v>
      </c>
      <c r="J1188" s="7">
        <v>5.5</v>
      </c>
      <c r="K1188" s="7" t="s">
        <v>28</v>
      </c>
      <c r="L1188" s="9" t="str">
        <f>VLOOKUP(K1188, 'Alphabetical by species code'!A:B, 2, FALSE)</f>
        <v>Litter</v>
      </c>
      <c r="M1188" s="9" t="str">
        <f>VLOOKUP(L1188, 'Alphabetical by species code'!B:C, 2, FALSE)</f>
        <v>Ground Cover</v>
      </c>
    </row>
    <row r="1189">
      <c r="A1189" s="7">
        <v>14.0</v>
      </c>
      <c r="B1189" s="7">
        <v>2025.0</v>
      </c>
      <c r="C1189" s="8">
        <v>45790.0</v>
      </c>
      <c r="D1189" s="7" t="s">
        <v>83</v>
      </c>
      <c r="E1189" s="7" t="s">
        <v>85</v>
      </c>
      <c r="F1189" s="7">
        <v>3.0</v>
      </c>
      <c r="G1189" s="7" t="s">
        <v>46</v>
      </c>
      <c r="H1189" s="7">
        <v>1.0</v>
      </c>
      <c r="I1189" s="7">
        <v>12.0</v>
      </c>
      <c r="J1189" s="7">
        <v>5.5</v>
      </c>
      <c r="K1189" s="7" t="s">
        <v>31</v>
      </c>
      <c r="L1189" s="9" t="str">
        <f>VLOOKUP(K1189, 'Alphabetical by species code'!A:B, 2, FALSE)</f>
        <v>Festuca myuros</v>
      </c>
      <c r="M1189" s="9" t="str">
        <f>VLOOKUP(L1189, 'Alphabetical by species code'!B:C, 2, FALSE)</f>
        <v>Non-Native</v>
      </c>
    </row>
    <row r="1190">
      <c r="A1190" s="7">
        <v>14.0</v>
      </c>
      <c r="B1190" s="7">
        <v>2025.0</v>
      </c>
      <c r="C1190" s="8">
        <v>45790.0</v>
      </c>
      <c r="D1190" s="7" t="s">
        <v>83</v>
      </c>
      <c r="E1190" s="7" t="s">
        <v>85</v>
      </c>
      <c r="F1190" s="7">
        <v>3.0</v>
      </c>
      <c r="G1190" s="7" t="s">
        <v>46</v>
      </c>
      <c r="H1190" s="7">
        <v>1.0</v>
      </c>
      <c r="I1190" s="7">
        <v>13.0</v>
      </c>
      <c r="J1190" s="7">
        <v>6.5</v>
      </c>
      <c r="K1190" s="7" t="s">
        <v>28</v>
      </c>
      <c r="L1190" s="9" t="str">
        <f>VLOOKUP(K1190, 'Alphabetical by species code'!A:B, 2, FALSE)</f>
        <v>Litter</v>
      </c>
      <c r="M1190" s="9" t="str">
        <f>VLOOKUP(L1190, 'Alphabetical by species code'!B:C, 2, FALSE)</f>
        <v>Ground Cover</v>
      </c>
    </row>
    <row r="1191">
      <c r="A1191" s="7">
        <v>14.0</v>
      </c>
      <c r="B1191" s="7">
        <v>2025.0</v>
      </c>
      <c r="C1191" s="8">
        <v>45790.0</v>
      </c>
      <c r="D1191" s="7" t="s">
        <v>83</v>
      </c>
      <c r="E1191" s="7" t="s">
        <v>85</v>
      </c>
      <c r="F1191" s="7">
        <v>3.0</v>
      </c>
      <c r="G1191" s="7" t="s">
        <v>46</v>
      </c>
      <c r="H1191" s="7">
        <v>1.0</v>
      </c>
      <c r="I1191" s="7">
        <v>13.0</v>
      </c>
      <c r="J1191" s="7">
        <v>6.5</v>
      </c>
      <c r="K1191" s="7" t="s">
        <v>36</v>
      </c>
      <c r="L1191" s="9" t="str">
        <f>VLOOKUP(K1191, 'Alphabetical by species code'!A:B, 2, FALSE)</f>
        <v>Bromus madritensis</v>
      </c>
      <c r="M1191" s="9" t="str">
        <f>VLOOKUP(L1191, 'Alphabetical by species code'!B:C, 2, FALSE)</f>
        <v>Non-Native</v>
      </c>
    </row>
    <row r="1192">
      <c r="A1192" s="7">
        <v>14.0</v>
      </c>
      <c r="B1192" s="7">
        <v>2025.0</v>
      </c>
      <c r="C1192" s="8">
        <v>45790.0</v>
      </c>
      <c r="D1192" s="7" t="s">
        <v>83</v>
      </c>
      <c r="E1192" s="7" t="s">
        <v>85</v>
      </c>
      <c r="F1192" s="7">
        <v>3.0</v>
      </c>
      <c r="G1192" s="7" t="s">
        <v>46</v>
      </c>
      <c r="H1192" s="7">
        <v>1.0</v>
      </c>
      <c r="I1192" s="7">
        <v>14.0</v>
      </c>
      <c r="J1192" s="7">
        <v>7.0</v>
      </c>
      <c r="K1192" s="7" t="s">
        <v>38</v>
      </c>
      <c r="L1192" s="9" t="str">
        <f>VLOOKUP(K1192, 'Alphabetical by species code'!A:B, 2, FALSE)</f>
        <v>Thatch</v>
      </c>
      <c r="M1192" s="9" t="str">
        <f>VLOOKUP(L1192, 'Alphabetical by species code'!B:C, 2, FALSE)</f>
        <v>Ground Cover</v>
      </c>
    </row>
    <row r="1193">
      <c r="A1193" s="7">
        <v>14.0</v>
      </c>
      <c r="B1193" s="7">
        <v>2025.0</v>
      </c>
      <c r="C1193" s="8">
        <v>45790.0</v>
      </c>
      <c r="D1193" s="7" t="s">
        <v>83</v>
      </c>
      <c r="E1193" s="7" t="s">
        <v>85</v>
      </c>
      <c r="F1193" s="7">
        <v>3.0</v>
      </c>
      <c r="G1193" s="7" t="s">
        <v>46</v>
      </c>
      <c r="H1193" s="7">
        <v>1.0</v>
      </c>
      <c r="I1193" s="7">
        <v>14.0</v>
      </c>
      <c r="J1193" s="7">
        <v>7.0</v>
      </c>
      <c r="K1193" s="7" t="s">
        <v>64</v>
      </c>
      <c r="L1193" s="9" t="str">
        <f>VLOOKUP(K1193, 'Alphabetical by species code'!A:B, 2, FALSE)</f>
        <v>Brassica nigra</v>
      </c>
      <c r="M1193" s="9" t="str">
        <f>VLOOKUP(L1193, 'Alphabetical by species code'!B:C, 2, FALSE)</f>
        <v>Non-Native</v>
      </c>
    </row>
    <row r="1194">
      <c r="A1194" s="7">
        <v>14.0</v>
      </c>
      <c r="B1194" s="7">
        <v>2025.0</v>
      </c>
      <c r="C1194" s="8">
        <v>45790.0</v>
      </c>
      <c r="D1194" s="7" t="s">
        <v>83</v>
      </c>
      <c r="E1194" s="7" t="s">
        <v>85</v>
      </c>
      <c r="F1194" s="7">
        <v>3.0</v>
      </c>
      <c r="G1194" s="7" t="s">
        <v>46</v>
      </c>
      <c r="H1194" s="7">
        <v>1.0</v>
      </c>
      <c r="I1194" s="7">
        <v>14.0</v>
      </c>
      <c r="J1194" s="7">
        <v>7.0</v>
      </c>
      <c r="K1194" s="7" t="s">
        <v>36</v>
      </c>
      <c r="L1194" s="9" t="str">
        <f>VLOOKUP(K1194, 'Alphabetical by species code'!A:B, 2, FALSE)</f>
        <v>Bromus madritensis</v>
      </c>
      <c r="M1194" s="9" t="str">
        <f>VLOOKUP(L1194, 'Alphabetical by species code'!B:C, 2, FALSE)</f>
        <v>Non-Native</v>
      </c>
    </row>
    <row r="1195">
      <c r="A1195" s="7">
        <v>14.0</v>
      </c>
      <c r="B1195" s="7">
        <v>2025.0</v>
      </c>
      <c r="C1195" s="8">
        <v>45790.0</v>
      </c>
      <c r="D1195" s="7" t="s">
        <v>83</v>
      </c>
      <c r="E1195" s="7" t="s">
        <v>85</v>
      </c>
      <c r="F1195" s="7">
        <v>3.0</v>
      </c>
      <c r="G1195" s="7" t="s">
        <v>46</v>
      </c>
      <c r="H1195" s="7">
        <v>1.0</v>
      </c>
      <c r="I1195" s="7">
        <v>14.0</v>
      </c>
      <c r="J1195" s="7">
        <v>7.0</v>
      </c>
      <c r="K1195" s="7" t="s">
        <v>31</v>
      </c>
      <c r="L1195" s="9" t="str">
        <f>VLOOKUP(K1195, 'Alphabetical by species code'!A:B, 2, FALSE)</f>
        <v>Festuca myuros</v>
      </c>
      <c r="M1195" s="9" t="str">
        <f>VLOOKUP(L1195, 'Alphabetical by species code'!B:C, 2, FALSE)</f>
        <v>Non-Native</v>
      </c>
    </row>
    <row r="1196">
      <c r="A1196" s="7">
        <v>14.0</v>
      </c>
      <c r="B1196" s="7">
        <v>2025.0</v>
      </c>
      <c r="C1196" s="8">
        <v>45790.0</v>
      </c>
      <c r="D1196" s="7" t="s">
        <v>83</v>
      </c>
      <c r="E1196" s="7" t="s">
        <v>85</v>
      </c>
      <c r="F1196" s="7">
        <v>3.0</v>
      </c>
      <c r="G1196" s="7" t="s">
        <v>46</v>
      </c>
      <c r="H1196" s="7">
        <v>1.0</v>
      </c>
      <c r="I1196" s="7">
        <v>15.0</v>
      </c>
      <c r="J1196" s="7">
        <v>7.5</v>
      </c>
      <c r="K1196" s="7" t="s">
        <v>38</v>
      </c>
      <c r="L1196" s="9" t="str">
        <f>VLOOKUP(K1196, 'Alphabetical by species code'!A:B, 2, FALSE)</f>
        <v>Thatch</v>
      </c>
      <c r="M1196" s="9" t="str">
        <f>VLOOKUP(L1196, 'Alphabetical by species code'!B:C, 2, FALSE)</f>
        <v>Ground Cover</v>
      </c>
    </row>
    <row r="1197">
      <c r="A1197" s="7">
        <v>14.0</v>
      </c>
      <c r="B1197" s="7">
        <v>2025.0</v>
      </c>
      <c r="C1197" s="8">
        <v>45790.0</v>
      </c>
      <c r="D1197" s="7" t="s">
        <v>83</v>
      </c>
      <c r="E1197" s="7" t="s">
        <v>85</v>
      </c>
      <c r="F1197" s="7">
        <v>3.0</v>
      </c>
      <c r="G1197" s="7" t="s">
        <v>46</v>
      </c>
      <c r="H1197" s="7">
        <v>1.0</v>
      </c>
      <c r="I1197" s="7">
        <v>15.0</v>
      </c>
      <c r="J1197" s="7">
        <v>7.5</v>
      </c>
      <c r="K1197" s="7" t="s">
        <v>40</v>
      </c>
      <c r="L1197" s="9" t="str">
        <f>VLOOKUP(K1197, 'Alphabetical by species code'!A:B, 2, FALSE)</f>
        <v>Cylindropuntia prolifera</v>
      </c>
      <c r="M1197" s="9" t="str">
        <f>VLOOKUP(L1197, 'Alphabetical by species code'!B:C, 2, FALSE)</f>
        <v>Native</v>
      </c>
    </row>
    <row r="1198">
      <c r="A1198" s="7">
        <v>14.0</v>
      </c>
      <c r="B1198" s="7">
        <v>2025.0</v>
      </c>
      <c r="C1198" s="8">
        <v>45790.0</v>
      </c>
      <c r="D1198" s="7" t="s">
        <v>83</v>
      </c>
      <c r="E1198" s="7" t="s">
        <v>85</v>
      </c>
      <c r="F1198" s="7">
        <v>3.0</v>
      </c>
      <c r="G1198" s="7" t="s">
        <v>46</v>
      </c>
      <c r="H1198" s="7">
        <v>1.0</v>
      </c>
      <c r="I1198" s="7">
        <v>15.0</v>
      </c>
      <c r="J1198" s="7">
        <v>7.5</v>
      </c>
      <c r="K1198" s="7" t="s">
        <v>36</v>
      </c>
      <c r="L1198" s="9" t="str">
        <f>VLOOKUP(K1198, 'Alphabetical by species code'!A:B, 2, FALSE)</f>
        <v>Bromus madritensis</v>
      </c>
      <c r="M1198" s="9" t="str">
        <f>VLOOKUP(L1198, 'Alphabetical by species code'!B:C, 2, FALSE)</f>
        <v>Non-Native</v>
      </c>
    </row>
    <row r="1199">
      <c r="A1199" s="7">
        <v>14.0</v>
      </c>
      <c r="B1199" s="7">
        <v>2025.0</v>
      </c>
      <c r="C1199" s="8">
        <v>45790.0</v>
      </c>
      <c r="D1199" s="7" t="s">
        <v>83</v>
      </c>
      <c r="E1199" s="7" t="s">
        <v>85</v>
      </c>
      <c r="F1199" s="7">
        <v>3.0</v>
      </c>
      <c r="G1199" s="7" t="s">
        <v>46</v>
      </c>
      <c r="H1199" s="7">
        <v>1.0</v>
      </c>
      <c r="I1199" s="7">
        <v>15.0</v>
      </c>
      <c r="J1199" s="7">
        <v>7.5</v>
      </c>
      <c r="K1199" s="7" t="s">
        <v>31</v>
      </c>
      <c r="L1199" s="9" t="str">
        <f>VLOOKUP(K1199, 'Alphabetical by species code'!A:B, 2, FALSE)</f>
        <v>Festuca myuros</v>
      </c>
      <c r="M1199" s="9" t="str">
        <f>VLOOKUP(L1199, 'Alphabetical by species code'!B:C, 2, FALSE)</f>
        <v>Non-Native</v>
      </c>
    </row>
    <row r="1200">
      <c r="A1200" s="7">
        <v>14.0</v>
      </c>
      <c r="B1200" s="7">
        <v>2025.0</v>
      </c>
      <c r="C1200" s="8">
        <v>45790.0</v>
      </c>
      <c r="D1200" s="7" t="s">
        <v>83</v>
      </c>
      <c r="E1200" s="7" t="s">
        <v>85</v>
      </c>
      <c r="F1200" s="7">
        <v>3.0</v>
      </c>
      <c r="G1200" s="7" t="s">
        <v>46</v>
      </c>
      <c r="H1200" s="7">
        <v>1.0</v>
      </c>
      <c r="I1200" s="7">
        <v>15.0</v>
      </c>
      <c r="J1200" s="7">
        <v>7.5</v>
      </c>
      <c r="K1200" s="7" t="s">
        <v>64</v>
      </c>
      <c r="L1200" s="9" t="str">
        <f>VLOOKUP(K1200, 'Alphabetical by species code'!A:B, 2, FALSE)</f>
        <v>Brassica nigra</v>
      </c>
      <c r="M1200" s="9" t="str">
        <f>VLOOKUP(L1200, 'Alphabetical by species code'!B:C, 2, FALSE)</f>
        <v>Non-Native</v>
      </c>
    </row>
    <row r="1201">
      <c r="A1201" s="7">
        <v>14.0</v>
      </c>
      <c r="B1201" s="7">
        <v>2025.0</v>
      </c>
      <c r="C1201" s="8">
        <v>45790.0</v>
      </c>
      <c r="D1201" s="7" t="s">
        <v>83</v>
      </c>
      <c r="E1201" s="7" t="s">
        <v>85</v>
      </c>
      <c r="F1201" s="7">
        <v>3.0</v>
      </c>
      <c r="G1201" s="7" t="s">
        <v>46</v>
      </c>
      <c r="H1201" s="7">
        <v>2.0</v>
      </c>
      <c r="I1201" s="7">
        <v>1.0</v>
      </c>
      <c r="J1201" s="7">
        <v>0.0</v>
      </c>
      <c r="K1201" s="7" t="s">
        <v>28</v>
      </c>
      <c r="L1201" s="9" t="str">
        <f>VLOOKUP(K1201, 'Alphabetical by species code'!A:B, 2, FALSE)</f>
        <v>Litter</v>
      </c>
      <c r="M1201" s="9" t="str">
        <f>VLOOKUP(L1201, 'Alphabetical by species code'!B:C, 2, FALSE)</f>
        <v>Ground Cover</v>
      </c>
    </row>
    <row r="1202">
      <c r="A1202" s="7">
        <v>14.0</v>
      </c>
      <c r="B1202" s="7">
        <v>2025.0</v>
      </c>
      <c r="C1202" s="8">
        <v>45790.0</v>
      </c>
      <c r="D1202" s="7" t="s">
        <v>83</v>
      </c>
      <c r="E1202" s="7" t="s">
        <v>85</v>
      </c>
      <c r="F1202" s="7">
        <v>3.0</v>
      </c>
      <c r="G1202" s="7" t="s">
        <v>46</v>
      </c>
      <c r="H1202" s="7">
        <v>2.0</v>
      </c>
      <c r="I1202" s="7">
        <v>1.0</v>
      </c>
      <c r="J1202" s="7">
        <v>0.0</v>
      </c>
      <c r="K1202" s="7" t="s">
        <v>42</v>
      </c>
      <c r="L1202" s="9" t="str">
        <f>VLOOKUP(K1202, 'Alphabetical by species code'!A:B, 2, FALSE)</f>
        <v>Centaurea melitensis</v>
      </c>
      <c r="M1202" s="9" t="str">
        <f>VLOOKUP(L1202, 'Alphabetical by species code'!B:C, 2, FALSE)</f>
        <v>Non-Native</v>
      </c>
    </row>
    <row r="1203">
      <c r="A1203" s="7">
        <v>14.0</v>
      </c>
      <c r="B1203" s="7">
        <v>2025.0</v>
      </c>
      <c r="C1203" s="8">
        <v>45790.0</v>
      </c>
      <c r="D1203" s="7" t="s">
        <v>83</v>
      </c>
      <c r="E1203" s="7" t="s">
        <v>85</v>
      </c>
      <c r="F1203" s="7">
        <v>3.0</v>
      </c>
      <c r="G1203" s="7" t="s">
        <v>46</v>
      </c>
      <c r="H1203" s="7">
        <v>2.0</v>
      </c>
      <c r="I1203" s="7">
        <v>2.0</v>
      </c>
      <c r="J1203" s="7">
        <v>0.5</v>
      </c>
      <c r="K1203" s="7" t="s">
        <v>51</v>
      </c>
      <c r="L1203" s="9" t="str">
        <f>VLOOKUP(K1203, 'Alphabetical by species code'!A:B, 2, FALSE)</f>
        <v>Bareground</v>
      </c>
      <c r="M1203" s="9" t="str">
        <f>VLOOKUP(L1203, 'Alphabetical by species code'!B:C, 2, FALSE)</f>
        <v>Ground Cover</v>
      </c>
    </row>
    <row r="1204">
      <c r="A1204" s="7">
        <v>14.0</v>
      </c>
      <c r="B1204" s="7">
        <v>2025.0</v>
      </c>
      <c r="C1204" s="8">
        <v>45790.0</v>
      </c>
      <c r="D1204" s="7" t="s">
        <v>83</v>
      </c>
      <c r="E1204" s="7" t="s">
        <v>85</v>
      </c>
      <c r="F1204" s="7">
        <v>3.0</v>
      </c>
      <c r="G1204" s="7" t="s">
        <v>46</v>
      </c>
      <c r="H1204" s="7">
        <v>2.0</v>
      </c>
      <c r="I1204" s="7">
        <v>2.0</v>
      </c>
      <c r="J1204" s="7">
        <v>0.5</v>
      </c>
      <c r="K1204" s="7" t="s">
        <v>64</v>
      </c>
      <c r="L1204" s="9" t="str">
        <f>VLOOKUP(K1204, 'Alphabetical by species code'!A:B, 2, FALSE)</f>
        <v>Brassica nigra</v>
      </c>
      <c r="M1204" s="9" t="str">
        <f>VLOOKUP(L1204, 'Alphabetical by species code'!B:C, 2, FALSE)</f>
        <v>Non-Native</v>
      </c>
    </row>
    <row r="1205">
      <c r="A1205" s="7">
        <v>14.0</v>
      </c>
      <c r="B1205" s="7">
        <v>2025.0</v>
      </c>
      <c r="C1205" s="8">
        <v>45790.0</v>
      </c>
      <c r="D1205" s="7" t="s">
        <v>83</v>
      </c>
      <c r="E1205" s="7" t="s">
        <v>85</v>
      </c>
      <c r="F1205" s="7">
        <v>3.0</v>
      </c>
      <c r="G1205" s="7" t="s">
        <v>46</v>
      </c>
      <c r="H1205" s="7">
        <v>2.0</v>
      </c>
      <c r="I1205" s="7">
        <v>2.0</v>
      </c>
      <c r="J1205" s="7">
        <v>0.5</v>
      </c>
      <c r="K1205" s="7" t="s">
        <v>29</v>
      </c>
      <c r="L1205" s="9" t="str">
        <f>VLOOKUP(K1205, 'Alphabetical by species code'!A:B, 2, FALSE)</f>
        <v>Opuntia littoralis</v>
      </c>
      <c r="M1205" s="9" t="str">
        <f>VLOOKUP(L1205, 'Alphabetical by species code'!B:C, 2, FALSE)</f>
        <v>Native</v>
      </c>
    </row>
    <row r="1206">
      <c r="A1206" s="7">
        <v>14.0</v>
      </c>
      <c r="B1206" s="7">
        <v>2025.0</v>
      </c>
      <c r="C1206" s="8">
        <v>45790.0</v>
      </c>
      <c r="D1206" s="7" t="s">
        <v>83</v>
      </c>
      <c r="E1206" s="7" t="s">
        <v>85</v>
      </c>
      <c r="F1206" s="7">
        <v>3.0</v>
      </c>
      <c r="G1206" s="7" t="s">
        <v>46</v>
      </c>
      <c r="H1206" s="7">
        <v>2.0</v>
      </c>
      <c r="I1206" s="7">
        <v>3.0</v>
      </c>
      <c r="J1206" s="7">
        <v>1.0</v>
      </c>
      <c r="K1206" s="7" t="s">
        <v>28</v>
      </c>
      <c r="L1206" s="9" t="str">
        <f>VLOOKUP(K1206, 'Alphabetical by species code'!A:B, 2, FALSE)</f>
        <v>Litter</v>
      </c>
      <c r="M1206" s="9" t="str">
        <f>VLOOKUP(L1206, 'Alphabetical by species code'!B:C, 2, FALSE)</f>
        <v>Ground Cover</v>
      </c>
    </row>
    <row r="1207">
      <c r="A1207" s="7">
        <v>14.0</v>
      </c>
      <c r="B1207" s="7">
        <v>2025.0</v>
      </c>
      <c r="C1207" s="8">
        <v>45790.0</v>
      </c>
      <c r="D1207" s="7" t="s">
        <v>83</v>
      </c>
      <c r="E1207" s="7" t="s">
        <v>85</v>
      </c>
      <c r="F1207" s="7">
        <v>3.0</v>
      </c>
      <c r="G1207" s="7" t="s">
        <v>46</v>
      </c>
      <c r="H1207" s="7">
        <v>2.0</v>
      </c>
      <c r="I1207" s="7">
        <v>3.0</v>
      </c>
      <c r="J1207" s="7">
        <v>1.0</v>
      </c>
      <c r="K1207" s="7" t="s">
        <v>36</v>
      </c>
      <c r="L1207" s="9" t="str">
        <f>VLOOKUP(K1207, 'Alphabetical by species code'!A:B, 2, FALSE)</f>
        <v>Bromus madritensis</v>
      </c>
      <c r="M1207" s="9" t="str">
        <f>VLOOKUP(L1207, 'Alphabetical by species code'!B:C, 2, FALSE)</f>
        <v>Non-Native</v>
      </c>
    </row>
    <row r="1208">
      <c r="A1208" s="7">
        <v>14.0</v>
      </c>
      <c r="B1208" s="7">
        <v>2025.0</v>
      </c>
      <c r="C1208" s="8">
        <v>45790.0</v>
      </c>
      <c r="D1208" s="7" t="s">
        <v>83</v>
      </c>
      <c r="E1208" s="7" t="s">
        <v>85</v>
      </c>
      <c r="F1208" s="7">
        <v>3.0</v>
      </c>
      <c r="G1208" s="7" t="s">
        <v>46</v>
      </c>
      <c r="H1208" s="7">
        <v>2.0</v>
      </c>
      <c r="I1208" s="7">
        <v>4.0</v>
      </c>
      <c r="J1208" s="7">
        <v>1.5</v>
      </c>
      <c r="K1208" s="7" t="s">
        <v>28</v>
      </c>
      <c r="L1208" s="9" t="str">
        <f>VLOOKUP(K1208, 'Alphabetical by species code'!A:B, 2, FALSE)</f>
        <v>Litter</v>
      </c>
      <c r="M1208" s="9" t="str">
        <f>VLOOKUP(L1208, 'Alphabetical by species code'!B:C, 2, FALSE)</f>
        <v>Ground Cover</v>
      </c>
    </row>
    <row r="1209">
      <c r="A1209" s="7">
        <v>14.0</v>
      </c>
      <c r="B1209" s="7">
        <v>2025.0</v>
      </c>
      <c r="C1209" s="8">
        <v>45790.0</v>
      </c>
      <c r="D1209" s="7" t="s">
        <v>83</v>
      </c>
      <c r="E1209" s="7" t="s">
        <v>85</v>
      </c>
      <c r="F1209" s="7">
        <v>3.0</v>
      </c>
      <c r="G1209" s="7" t="s">
        <v>46</v>
      </c>
      <c r="H1209" s="7">
        <v>2.0</v>
      </c>
      <c r="I1209" s="7">
        <v>4.0</v>
      </c>
      <c r="J1209" s="7">
        <v>1.5</v>
      </c>
      <c r="K1209" s="7" t="s">
        <v>36</v>
      </c>
      <c r="L1209" s="9" t="str">
        <f>VLOOKUP(K1209, 'Alphabetical by species code'!A:B, 2, FALSE)</f>
        <v>Bromus madritensis</v>
      </c>
      <c r="M1209" s="9" t="str">
        <f>VLOOKUP(L1209, 'Alphabetical by species code'!B:C, 2, FALSE)</f>
        <v>Non-Native</v>
      </c>
    </row>
    <row r="1210">
      <c r="A1210" s="7">
        <v>14.0</v>
      </c>
      <c r="B1210" s="7">
        <v>2025.0</v>
      </c>
      <c r="C1210" s="8">
        <v>45790.0</v>
      </c>
      <c r="D1210" s="7" t="s">
        <v>83</v>
      </c>
      <c r="E1210" s="7" t="s">
        <v>85</v>
      </c>
      <c r="F1210" s="7">
        <v>3.0</v>
      </c>
      <c r="G1210" s="7" t="s">
        <v>46</v>
      </c>
      <c r="H1210" s="7">
        <v>2.0</v>
      </c>
      <c r="I1210" s="7">
        <v>4.0</v>
      </c>
      <c r="J1210" s="7">
        <v>1.5</v>
      </c>
      <c r="K1210" s="7" t="s">
        <v>47</v>
      </c>
      <c r="L1210" s="9" t="str">
        <f>VLOOKUP(K1210, 'Alphabetical by species code'!A:B, 2, FALSE)</f>
        <v>Sonchus species</v>
      </c>
      <c r="M1210" s="9" t="str">
        <f>VLOOKUP(L1210, 'Alphabetical by species code'!B:C, 2, FALSE)</f>
        <v>Non-Native</v>
      </c>
    </row>
    <row r="1211">
      <c r="A1211" s="7">
        <v>14.0</v>
      </c>
      <c r="B1211" s="7">
        <v>2025.0</v>
      </c>
      <c r="C1211" s="8">
        <v>45790.0</v>
      </c>
      <c r="D1211" s="7" t="s">
        <v>83</v>
      </c>
      <c r="E1211" s="7" t="s">
        <v>85</v>
      </c>
      <c r="F1211" s="7">
        <v>3.0</v>
      </c>
      <c r="G1211" s="7" t="s">
        <v>46</v>
      </c>
      <c r="H1211" s="7">
        <v>2.0</v>
      </c>
      <c r="I1211" s="7">
        <v>5.0</v>
      </c>
      <c r="J1211" s="7">
        <v>2.5</v>
      </c>
      <c r="K1211" s="7" t="s">
        <v>28</v>
      </c>
      <c r="L1211" s="9" t="str">
        <f>VLOOKUP(K1211, 'Alphabetical by species code'!A:B, 2, FALSE)</f>
        <v>Litter</v>
      </c>
      <c r="M1211" s="9" t="str">
        <f>VLOOKUP(L1211, 'Alphabetical by species code'!B:C, 2, FALSE)</f>
        <v>Ground Cover</v>
      </c>
    </row>
    <row r="1212">
      <c r="A1212" s="7">
        <v>14.0</v>
      </c>
      <c r="B1212" s="7">
        <v>2025.0</v>
      </c>
      <c r="C1212" s="8">
        <v>45790.0</v>
      </c>
      <c r="D1212" s="7" t="s">
        <v>83</v>
      </c>
      <c r="E1212" s="7" t="s">
        <v>85</v>
      </c>
      <c r="F1212" s="7">
        <v>3.0</v>
      </c>
      <c r="G1212" s="7" t="s">
        <v>46</v>
      </c>
      <c r="H1212" s="7">
        <v>2.0</v>
      </c>
      <c r="I1212" s="7">
        <v>5.0</v>
      </c>
      <c r="J1212" s="7">
        <v>2.5</v>
      </c>
      <c r="K1212" s="7" t="s">
        <v>36</v>
      </c>
      <c r="L1212" s="9" t="str">
        <f>VLOOKUP(K1212, 'Alphabetical by species code'!A:B, 2, FALSE)</f>
        <v>Bromus madritensis</v>
      </c>
      <c r="M1212" s="9" t="str">
        <f>VLOOKUP(L1212, 'Alphabetical by species code'!B:C, 2, FALSE)</f>
        <v>Non-Native</v>
      </c>
    </row>
    <row r="1213">
      <c r="A1213" s="7">
        <v>14.0</v>
      </c>
      <c r="B1213" s="7">
        <v>2025.0</v>
      </c>
      <c r="C1213" s="8">
        <v>45790.0</v>
      </c>
      <c r="D1213" s="7" t="s">
        <v>83</v>
      </c>
      <c r="E1213" s="7" t="s">
        <v>85</v>
      </c>
      <c r="F1213" s="7">
        <v>3.0</v>
      </c>
      <c r="G1213" s="7" t="s">
        <v>46</v>
      </c>
      <c r="H1213" s="7">
        <v>2.0</v>
      </c>
      <c r="I1213" s="7">
        <v>5.0</v>
      </c>
      <c r="J1213" s="7">
        <v>2.5</v>
      </c>
      <c r="K1213" s="7" t="s">
        <v>42</v>
      </c>
      <c r="L1213" s="9" t="str">
        <f>VLOOKUP(K1213, 'Alphabetical by species code'!A:B, 2, FALSE)</f>
        <v>Centaurea melitensis</v>
      </c>
      <c r="M1213" s="9" t="str">
        <f>VLOOKUP(L1213, 'Alphabetical by species code'!B:C, 2, FALSE)</f>
        <v>Non-Native</v>
      </c>
    </row>
    <row r="1214">
      <c r="A1214" s="7">
        <v>14.0</v>
      </c>
      <c r="B1214" s="7">
        <v>2025.0</v>
      </c>
      <c r="C1214" s="8">
        <v>45790.0</v>
      </c>
      <c r="D1214" s="7" t="s">
        <v>83</v>
      </c>
      <c r="E1214" s="7" t="s">
        <v>85</v>
      </c>
      <c r="F1214" s="7">
        <v>3.0</v>
      </c>
      <c r="G1214" s="7" t="s">
        <v>46</v>
      </c>
      <c r="H1214" s="7">
        <v>2.0</v>
      </c>
      <c r="I1214" s="7">
        <v>6.0</v>
      </c>
      <c r="J1214" s="7">
        <v>3.0</v>
      </c>
      <c r="K1214" s="7" t="s">
        <v>28</v>
      </c>
      <c r="L1214" s="9" t="str">
        <f>VLOOKUP(K1214, 'Alphabetical by species code'!A:B, 2, FALSE)</f>
        <v>Litter</v>
      </c>
      <c r="M1214" s="9" t="str">
        <f>VLOOKUP(L1214, 'Alphabetical by species code'!B:C, 2, FALSE)</f>
        <v>Ground Cover</v>
      </c>
    </row>
    <row r="1215">
      <c r="A1215" s="7">
        <v>14.0</v>
      </c>
      <c r="B1215" s="7">
        <v>2025.0</v>
      </c>
      <c r="C1215" s="8">
        <v>45790.0</v>
      </c>
      <c r="D1215" s="7" t="s">
        <v>83</v>
      </c>
      <c r="E1215" s="7" t="s">
        <v>85</v>
      </c>
      <c r="F1215" s="7">
        <v>3.0</v>
      </c>
      <c r="G1215" s="7" t="s">
        <v>46</v>
      </c>
      <c r="H1215" s="7">
        <v>2.0</v>
      </c>
      <c r="I1215" s="7">
        <v>6.0</v>
      </c>
      <c r="J1215" s="7">
        <v>3.0</v>
      </c>
      <c r="K1215" s="7" t="s">
        <v>64</v>
      </c>
      <c r="L1215" s="9" t="str">
        <f>VLOOKUP(K1215, 'Alphabetical by species code'!A:B, 2, FALSE)</f>
        <v>Brassica nigra</v>
      </c>
      <c r="M1215" s="9" t="str">
        <f>VLOOKUP(L1215, 'Alphabetical by species code'!B:C, 2, FALSE)</f>
        <v>Non-Native</v>
      </c>
    </row>
    <row r="1216">
      <c r="A1216" s="7">
        <v>14.0</v>
      </c>
      <c r="B1216" s="7">
        <v>2025.0</v>
      </c>
      <c r="C1216" s="8">
        <v>45790.0</v>
      </c>
      <c r="D1216" s="7" t="s">
        <v>83</v>
      </c>
      <c r="E1216" s="7" t="s">
        <v>85</v>
      </c>
      <c r="F1216" s="7">
        <v>3.0</v>
      </c>
      <c r="G1216" s="7" t="s">
        <v>46</v>
      </c>
      <c r="H1216" s="7">
        <v>2.0</v>
      </c>
      <c r="I1216" s="7">
        <v>6.0</v>
      </c>
      <c r="J1216" s="7">
        <v>3.0</v>
      </c>
      <c r="K1216" s="7" t="s">
        <v>36</v>
      </c>
      <c r="L1216" s="9" t="str">
        <f>VLOOKUP(K1216, 'Alphabetical by species code'!A:B, 2, FALSE)</f>
        <v>Bromus madritensis</v>
      </c>
      <c r="M1216" s="9" t="str">
        <f>VLOOKUP(L1216, 'Alphabetical by species code'!B:C, 2, FALSE)</f>
        <v>Non-Native</v>
      </c>
    </row>
    <row r="1217">
      <c r="A1217" s="7">
        <v>14.0</v>
      </c>
      <c r="B1217" s="7">
        <v>2025.0</v>
      </c>
      <c r="C1217" s="8">
        <v>45790.0</v>
      </c>
      <c r="D1217" s="7" t="s">
        <v>83</v>
      </c>
      <c r="E1217" s="7" t="s">
        <v>85</v>
      </c>
      <c r="F1217" s="7">
        <v>3.0</v>
      </c>
      <c r="G1217" s="7" t="s">
        <v>46</v>
      </c>
      <c r="H1217" s="7">
        <v>2.0</v>
      </c>
      <c r="I1217" s="7">
        <v>6.0</v>
      </c>
      <c r="J1217" s="7">
        <v>3.0</v>
      </c>
      <c r="K1217" s="7" t="s">
        <v>31</v>
      </c>
      <c r="L1217" s="9" t="str">
        <f>VLOOKUP(K1217, 'Alphabetical by species code'!A:B, 2, FALSE)</f>
        <v>Festuca myuros</v>
      </c>
      <c r="M1217" s="9" t="str">
        <f>VLOOKUP(L1217, 'Alphabetical by species code'!B:C, 2, FALSE)</f>
        <v>Non-Native</v>
      </c>
    </row>
    <row r="1218">
      <c r="A1218" s="7">
        <v>14.0</v>
      </c>
      <c r="B1218" s="7">
        <v>2025.0</v>
      </c>
      <c r="C1218" s="8">
        <v>45790.0</v>
      </c>
      <c r="D1218" s="7" t="s">
        <v>83</v>
      </c>
      <c r="E1218" s="7" t="s">
        <v>85</v>
      </c>
      <c r="F1218" s="7">
        <v>3.0</v>
      </c>
      <c r="G1218" s="7" t="s">
        <v>46</v>
      </c>
      <c r="H1218" s="7">
        <v>2.0</v>
      </c>
      <c r="I1218" s="7">
        <v>7.0</v>
      </c>
      <c r="J1218" s="7">
        <v>3.5</v>
      </c>
      <c r="K1218" s="7" t="s">
        <v>28</v>
      </c>
      <c r="L1218" s="9" t="str">
        <f>VLOOKUP(K1218, 'Alphabetical by species code'!A:B, 2, FALSE)</f>
        <v>Litter</v>
      </c>
      <c r="M1218" s="9" t="str">
        <f>VLOOKUP(L1218, 'Alphabetical by species code'!B:C, 2, FALSE)</f>
        <v>Ground Cover</v>
      </c>
    </row>
    <row r="1219">
      <c r="A1219" s="7">
        <v>14.0</v>
      </c>
      <c r="B1219" s="7">
        <v>2025.0</v>
      </c>
      <c r="C1219" s="8">
        <v>45790.0</v>
      </c>
      <c r="D1219" s="7" t="s">
        <v>83</v>
      </c>
      <c r="E1219" s="7" t="s">
        <v>85</v>
      </c>
      <c r="F1219" s="7">
        <v>3.0</v>
      </c>
      <c r="G1219" s="7" t="s">
        <v>46</v>
      </c>
      <c r="H1219" s="7">
        <v>2.0</v>
      </c>
      <c r="I1219" s="7">
        <v>7.0</v>
      </c>
      <c r="J1219" s="7">
        <v>3.5</v>
      </c>
      <c r="K1219" s="7" t="s">
        <v>64</v>
      </c>
      <c r="L1219" s="9" t="str">
        <f>VLOOKUP(K1219, 'Alphabetical by species code'!A:B, 2, FALSE)</f>
        <v>Brassica nigra</v>
      </c>
      <c r="M1219" s="9" t="str">
        <f>VLOOKUP(L1219, 'Alphabetical by species code'!B:C, 2, FALSE)</f>
        <v>Non-Native</v>
      </c>
    </row>
    <row r="1220">
      <c r="A1220" s="7">
        <v>14.0</v>
      </c>
      <c r="B1220" s="7">
        <v>2025.0</v>
      </c>
      <c r="C1220" s="8">
        <v>45790.0</v>
      </c>
      <c r="D1220" s="7" t="s">
        <v>83</v>
      </c>
      <c r="E1220" s="7" t="s">
        <v>85</v>
      </c>
      <c r="F1220" s="7">
        <v>3.0</v>
      </c>
      <c r="G1220" s="7" t="s">
        <v>46</v>
      </c>
      <c r="H1220" s="7">
        <v>2.0</v>
      </c>
      <c r="I1220" s="7">
        <v>8.0</v>
      </c>
      <c r="J1220" s="7">
        <v>4.0</v>
      </c>
      <c r="K1220" s="7" t="s">
        <v>38</v>
      </c>
      <c r="L1220" s="9" t="str">
        <f>VLOOKUP(K1220, 'Alphabetical by species code'!A:B, 2, FALSE)</f>
        <v>Thatch</v>
      </c>
      <c r="M1220" s="9" t="str">
        <f>VLOOKUP(L1220, 'Alphabetical by species code'!B:C, 2, FALSE)</f>
        <v>Ground Cover</v>
      </c>
    </row>
    <row r="1221">
      <c r="A1221" s="7">
        <v>14.0</v>
      </c>
      <c r="B1221" s="7">
        <v>2025.0</v>
      </c>
      <c r="C1221" s="8">
        <v>45790.0</v>
      </c>
      <c r="D1221" s="7" t="s">
        <v>83</v>
      </c>
      <c r="E1221" s="7" t="s">
        <v>85</v>
      </c>
      <c r="F1221" s="7">
        <v>3.0</v>
      </c>
      <c r="G1221" s="7" t="s">
        <v>46</v>
      </c>
      <c r="H1221" s="7">
        <v>2.0</v>
      </c>
      <c r="I1221" s="7">
        <v>8.0</v>
      </c>
      <c r="J1221" s="7">
        <v>4.0</v>
      </c>
      <c r="K1221" s="7" t="s">
        <v>36</v>
      </c>
      <c r="L1221" s="9" t="str">
        <f>VLOOKUP(K1221, 'Alphabetical by species code'!A:B, 2, FALSE)</f>
        <v>Bromus madritensis</v>
      </c>
      <c r="M1221" s="9" t="str">
        <f>VLOOKUP(L1221, 'Alphabetical by species code'!B:C, 2, FALSE)</f>
        <v>Non-Native</v>
      </c>
    </row>
    <row r="1222">
      <c r="A1222" s="7">
        <v>14.0</v>
      </c>
      <c r="B1222" s="7">
        <v>2025.0</v>
      </c>
      <c r="C1222" s="8">
        <v>45790.0</v>
      </c>
      <c r="D1222" s="7" t="s">
        <v>83</v>
      </c>
      <c r="E1222" s="7" t="s">
        <v>85</v>
      </c>
      <c r="F1222" s="7">
        <v>3.0</v>
      </c>
      <c r="G1222" s="7" t="s">
        <v>46</v>
      </c>
      <c r="H1222" s="7">
        <v>2.0</v>
      </c>
      <c r="I1222" s="7">
        <v>9.0</v>
      </c>
      <c r="J1222" s="7">
        <v>4.5</v>
      </c>
      <c r="K1222" s="7" t="s">
        <v>28</v>
      </c>
      <c r="L1222" s="9" t="str">
        <f>VLOOKUP(K1222, 'Alphabetical by species code'!A:B, 2, FALSE)</f>
        <v>Litter</v>
      </c>
      <c r="M1222" s="9" t="str">
        <f>VLOOKUP(L1222, 'Alphabetical by species code'!B:C, 2, FALSE)</f>
        <v>Ground Cover</v>
      </c>
    </row>
    <row r="1223">
      <c r="A1223" s="7">
        <v>14.0</v>
      </c>
      <c r="B1223" s="7">
        <v>2025.0</v>
      </c>
      <c r="C1223" s="8">
        <v>45790.0</v>
      </c>
      <c r="D1223" s="7" t="s">
        <v>83</v>
      </c>
      <c r="E1223" s="7" t="s">
        <v>85</v>
      </c>
      <c r="F1223" s="7">
        <v>3.0</v>
      </c>
      <c r="G1223" s="7" t="s">
        <v>46</v>
      </c>
      <c r="H1223" s="7">
        <v>2.0</v>
      </c>
      <c r="I1223" s="7">
        <v>9.0</v>
      </c>
      <c r="J1223" s="7">
        <v>4.5</v>
      </c>
      <c r="K1223" s="7" t="s">
        <v>44</v>
      </c>
      <c r="L1223" s="9" t="str">
        <f>VLOOKUP(K1223, 'Alphabetical by species code'!A:B, 2, FALSE)</f>
        <v>Amsinckia menziesii</v>
      </c>
      <c r="M1223" s="9" t="str">
        <f>VLOOKUP(L1223, 'Alphabetical by species code'!B:C, 2, FALSE)</f>
        <v>Native</v>
      </c>
    </row>
    <row r="1224">
      <c r="A1224" s="7">
        <v>14.0</v>
      </c>
      <c r="B1224" s="7">
        <v>2025.0</v>
      </c>
      <c r="C1224" s="8">
        <v>45790.0</v>
      </c>
      <c r="D1224" s="7" t="s">
        <v>83</v>
      </c>
      <c r="E1224" s="7" t="s">
        <v>85</v>
      </c>
      <c r="F1224" s="7">
        <v>3.0</v>
      </c>
      <c r="G1224" s="7" t="s">
        <v>46</v>
      </c>
      <c r="H1224" s="7">
        <v>2.0</v>
      </c>
      <c r="I1224" s="7">
        <v>10.0</v>
      </c>
      <c r="J1224" s="7">
        <v>5.0</v>
      </c>
      <c r="K1224" s="7" t="s">
        <v>28</v>
      </c>
      <c r="L1224" s="9" t="str">
        <f>VLOOKUP(K1224, 'Alphabetical by species code'!A:B, 2, FALSE)</f>
        <v>Litter</v>
      </c>
      <c r="M1224" s="9" t="str">
        <f>VLOOKUP(L1224, 'Alphabetical by species code'!B:C, 2, FALSE)</f>
        <v>Ground Cover</v>
      </c>
    </row>
    <row r="1225">
      <c r="A1225" s="7">
        <v>14.0</v>
      </c>
      <c r="B1225" s="7">
        <v>2025.0</v>
      </c>
      <c r="C1225" s="8">
        <v>45790.0</v>
      </c>
      <c r="D1225" s="7" t="s">
        <v>83</v>
      </c>
      <c r="E1225" s="7" t="s">
        <v>85</v>
      </c>
      <c r="F1225" s="7">
        <v>3.0</v>
      </c>
      <c r="G1225" s="7" t="s">
        <v>46</v>
      </c>
      <c r="H1225" s="7">
        <v>2.0</v>
      </c>
      <c r="I1225" s="7">
        <v>10.0</v>
      </c>
      <c r="J1225" s="7">
        <v>5.0</v>
      </c>
      <c r="K1225" s="7" t="s">
        <v>36</v>
      </c>
      <c r="L1225" s="9" t="str">
        <f>VLOOKUP(K1225, 'Alphabetical by species code'!A:B, 2, FALSE)</f>
        <v>Bromus madritensis</v>
      </c>
      <c r="M1225" s="9" t="str">
        <f>VLOOKUP(L1225, 'Alphabetical by species code'!B:C, 2, FALSE)</f>
        <v>Non-Native</v>
      </c>
    </row>
    <row r="1226">
      <c r="A1226" s="7">
        <v>14.0</v>
      </c>
      <c r="B1226" s="7">
        <v>2025.0</v>
      </c>
      <c r="C1226" s="8">
        <v>45790.0</v>
      </c>
      <c r="D1226" s="7" t="s">
        <v>83</v>
      </c>
      <c r="E1226" s="7" t="s">
        <v>85</v>
      </c>
      <c r="F1226" s="7">
        <v>3.0</v>
      </c>
      <c r="G1226" s="7" t="s">
        <v>46</v>
      </c>
      <c r="H1226" s="7">
        <v>2.0</v>
      </c>
      <c r="I1226" s="7">
        <v>10.0</v>
      </c>
      <c r="J1226" s="7">
        <v>5.0</v>
      </c>
      <c r="K1226" s="7" t="s">
        <v>47</v>
      </c>
      <c r="L1226" s="9" t="str">
        <f>VLOOKUP(K1226, 'Alphabetical by species code'!A:B, 2, FALSE)</f>
        <v>Sonchus species</v>
      </c>
      <c r="M1226" s="9" t="str">
        <f>VLOOKUP(L1226, 'Alphabetical by species code'!B:C, 2, FALSE)</f>
        <v>Non-Native</v>
      </c>
    </row>
    <row r="1227">
      <c r="A1227" s="7">
        <v>14.0</v>
      </c>
      <c r="B1227" s="7">
        <v>2025.0</v>
      </c>
      <c r="C1227" s="8">
        <v>45790.0</v>
      </c>
      <c r="D1227" s="7" t="s">
        <v>83</v>
      </c>
      <c r="E1227" s="7" t="s">
        <v>85</v>
      </c>
      <c r="F1227" s="7">
        <v>3.0</v>
      </c>
      <c r="G1227" s="7" t="s">
        <v>46</v>
      </c>
      <c r="H1227" s="7">
        <v>2.0</v>
      </c>
      <c r="I1227" s="7">
        <v>10.0</v>
      </c>
      <c r="J1227" s="7">
        <v>5.0</v>
      </c>
      <c r="K1227" s="7" t="s">
        <v>31</v>
      </c>
      <c r="L1227" s="9" t="str">
        <f>VLOOKUP(K1227, 'Alphabetical by species code'!A:B, 2, FALSE)</f>
        <v>Festuca myuros</v>
      </c>
      <c r="M1227" s="9" t="str">
        <f>VLOOKUP(L1227, 'Alphabetical by species code'!B:C, 2, FALSE)</f>
        <v>Non-Native</v>
      </c>
    </row>
    <row r="1228">
      <c r="A1228" s="7">
        <v>14.0</v>
      </c>
      <c r="B1228" s="7">
        <v>2025.0</v>
      </c>
      <c r="C1228" s="8">
        <v>45790.0</v>
      </c>
      <c r="D1228" s="7" t="s">
        <v>83</v>
      </c>
      <c r="E1228" s="7" t="s">
        <v>85</v>
      </c>
      <c r="F1228" s="7">
        <v>3.0</v>
      </c>
      <c r="G1228" s="7" t="s">
        <v>46</v>
      </c>
      <c r="H1228" s="7">
        <v>2.0</v>
      </c>
      <c r="I1228" s="7">
        <v>11.0</v>
      </c>
      <c r="J1228" s="7">
        <v>5.5</v>
      </c>
      <c r="K1228" s="7" t="s">
        <v>38</v>
      </c>
      <c r="L1228" s="9" t="str">
        <f>VLOOKUP(K1228, 'Alphabetical by species code'!A:B, 2, FALSE)</f>
        <v>Thatch</v>
      </c>
      <c r="M1228" s="9" t="str">
        <f>VLOOKUP(L1228, 'Alphabetical by species code'!B:C, 2, FALSE)</f>
        <v>Ground Cover</v>
      </c>
    </row>
    <row r="1229">
      <c r="A1229" s="7">
        <v>14.0</v>
      </c>
      <c r="B1229" s="7">
        <v>2025.0</v>
      </c>
      <c r="C1229" s="8">
        <v>45790.0</v>
      </c>
      <c r="D1229" s="7" t="s">
        <v>83</v>
      </c>
      <c r="E1229" s="7" t="s">
        <v>85</v>
      </c>
      <c r="F1229" s="7">
        <v>3.0</v>
      </c>
      <c r="G1229" s="7" t="s">
        <v>46</v>
      </c>
      <c r="H1229" s="7">
        <v>2.0</v>
      </c>
      <c r="I1229" s="7">
        <v>12.0</v>
      </c>
      <c r="J1229" s="7">
        <v>6.0</v>
      </c>
      <c r="K1229" s="7" t="s">
        <v>38</v>
      </c>
      <c r="L1229" s="9" t="str">
        <f>VLOOKUP(K1229, 'Alphabetical by species code'!A:B, 2, FALSE)</f>
        <v>Thatch</v>
      </c>
      <c r="M1229" s="9" t="str">
        <f>VLOOKUP(L1229, 'Alphabetical by species code'!B:C, 2, FALSE)</f>
        <v>Ground Cover</v>
      </c>
    </row>
    <row r="1230">
      <c r="A1230" s="7">
        <v>14.0</v>
      </c>
      <c r="B1230" s="7">
        <v>2025.0</v>
      </c>
      <c r="C1230" s="8">
        <v>45790.0</v>
      </c>
      <c r="D1230" s="7" t="s">
        <v>83</v>
      </c>
      <c r="E1230" s="7" t="s">
        <v>85</v>
      </c>
      <c r="F1230" s="7">
        <v>3.0</v>
      </c>
      <c r="G1230" s="7" t="s">
        <v>46</v>
      </c>
      <c r="H1230" s="7">
        <v>2.0</v>
      </c>
      <c r="I1230" s="7">
        <v>12.0</v>
      </c>
      <c r="J1230" s="7">
        <v>6.0</v>
      </c>
      <c r="K1230" s="7" t="s">
        <v>44</v>
      </c>
      <c r="L1230" s="9" t="str">
        <f>VLOOKUP(K1230, 'Alphabetical by species code'!A:B, 2, FALSE)</f>
        <v>Amsinckia menziesii</v>
      </c>
      <c r="M1230" s="9" t="str">
        <f>VLOOKUP(L1230, 'Alphabetical by species code'!B:C, 2, FALSE)</f>
        <v>Native</v>
      </c>
    </row>
    <row r="1231">
      <c r="A1231" s="7">
        <v>14.0</v>
      </c>
      <c r="B1231" s="7">
        <v>2025.0</v>
      </c>
      <c r="C1231" s="8">
        <v>45790.0</v>
      </c>
      <c r="D1231" s="7" t="s">
        <v>83</v>
      </c>
      <c r="E1231" s="7" t="s">
        <v>85</v>
      </c>
      <c r="F1231" s="7">
        <v>3.0</v>
      </c>
      <c r="G1231" s="7" t="s">
        <v>46</v>
      </c>
      <c r="H1231" s="7">
        <v>2.0</v>
      </c>
      <c r="I1231" s="7">
        <v>12.0</v>
      </c>
      <c r="J1231" s="7">
        <v>6.0</v>
      </c>
      <c r="K1231" s="7" t="s">
        <v>31</v>
      </c>
      <c r="L1231" s="9" t="str">
        <f>VLOOKUP(K1231, 'Alphabetical by species code'!A:B, 2, FALSE)</f>
        <v>Festuca myuros</v>
      </c>
      <c r="M1231" s="9" t="str">
        <f>VLOOKUP(L1231, 'Alphabetical by species code'!B:C, 2, FALSE)</f>
        <v>Non-Native</v>
      </c>
    </row>
    <row r="1232">
      <c r="A1232" s="7">
        <v>14.0</v>
      </c>
      <c r="B1232" s="7">
        <v>2025.0</v>
      </c>
      <c r="C1232" s="8">
        <v>45790.0</v>
      </c>
      <c r="D1232" s="7" t="s">
        <v>83</v>
      </c>
      <c r="E1232" s="7" t="s">
        <v>85</v>
      </c>
      <c r="F1232" s="7">
        <v>3.0</v>
      </c>
      <c r="G1232" s="7" t="s">
        <v>46</v>
      </c>
      <c r="H1232" s="7">
        <v>2.0</v>
      </c>
      <c r="I1232" s="7">
        <v>12.0</v>
      </c>
      <c r="J1232" s="7">
        <v>6.0</v>
      </c>
      <c r="K1232" s="7" t="s">
        <v>29</v>
      </c>
      <c r="L1232" s="9" t="str">
        <f>VLOOKUP(K1232, 'Alphabetical by species code'!A:B, 2, FALSE)</f>
        <v>Opuntia littoralis</v>
      </c>
      <c r="M1232" s="9" t="str">
        <f>VLOOKUP(L1232, 'Alphabetical by species code'!B:C, 2, FALSE)</f>
        <v>Native</v>
      </c>
    </row>
    <row r="1233">
      <c r="A1233" s="7">
        <v>14.0</v>
      </c>
      <c r="B1233" s="7">
        <v>2025.0</v>
      </c>
      <c r="C1233" s="8">
        <v>45790.0</v>
      </c>
      <c r="D1233" s="7" t="s">
        <v>83</v>
      </c>
      <c r="E1233" s="7" t="s">
        <v>85</v>
      </c>
      <c r="F1233" s="7">
        <v>3.0</v>
      </c>
      <c r="G1233" s="7" t="s">
        <v>46</v>
      </c>
      <c r="H1233" s="7">
        <v>2.0</v>
      </c>
      <c r="I1233" s="7">
        <v>13.0</v>
      </c>
      <c r="J1233" s="7">
        <v>6.5</v>
      </c>
      <c r="K1233" s="7" t="s">
        <v>28</v>
      </c>
      <c r="L1233" s="9" t="str">
        <f>VLOOKUP(K1233, 'Alphabetical by species code'!A:B, 2, FALSE)</f>
        <v>Litter</v>
      </c>
      <c r="M1233" s="9" t="str">
        <f>VLOOKUP(L1233, 'Alphabetical by species code'!B:C, 2, FALSE)</f>
        <v>Ground Cover</v>
      </c>
    </row>
    <row r="1234">
      <c r="A1234" s="7">
        <v>14.0</v>
      </c>
      <c r="B1234" s="7">
        <v>2025.0</v>
      </c>
      <c r="C1234" s="8">
        <v>45790.0</v>
      </c>
      <c r="D1234" s="7" t="s">
        <v>83</v>
      </c>
      <c r="E1234" s="7" t="s">
        <v>85</v>
      </c>
      <c r="F1234" s="7">
        <v>3.0</v>
      </c>
      <c r="G1234" s="7" t="s">
        <v>46</v>
      </c>
      <c r="H1234" s="7">
        <v>2.0</v>
      </c>
      <c r="I1234" s="7">
        <v>13.0</v>
      </c>
      <c r="J1234" s="7">
        <v>6.5</v>
      </c>
      <c r="K1234" s="7" t="s">
        <v>36</v>
      </c>
      <c r="L1234" s="9" t="str">
        <f>VLOOKUP(K1234, 'Alphabetical by species code'!A:B, 2, FALSE)</f>
        <v>Bromus madritensis</v>
      </c>
      <c r="M1234" s="9" t="str">
        <f>VLOOKUP(L1234, 'Alphabetical by species code'!B:C, 2, FALSE)</f>
        <v>Non-Native</v>
      </c>
    </row>
    <row r="1235">
      <c r="A1235" s="7">
        <v>14.0</v>
      </c>
      <c r="B1235" s="7">
        <v>2025.0</v>
      </c>
      <c r="C1235" s="8">
        <v>45790.0</v>
      </c>
      <c r="D1235" s="7" t="s">
        <v>83</v>
      </c>
      <c r="E1235" s="7" t="s">
        <v>85</v>
      </c>
      <c r="F1235" s="7">
        <v>3.0</v>
      </c>
      <c r="G1235" s="7" t="s">
        <v>46</v>
      </c>
      <c r="H1235" s="7">
        <v>2.0</v>
      </c>
      <c r="I1235" s="7">
        <v>13.0</v>
      </c>
      <c r="J1235" s="7">
        <v>6.5</v>
      </c>
      <c r="K1235" s="7" t="s">
        <v>31</v>
      </c>
      <c r="L1235" s="9" t="str">
        <f>VLOOKUP(K1235, 'Alphabetical by species code'!A:B, 2, FALSE)</f>
        <v>Festuca myuros</v>
      </c>
      <c r="M1235" s="9" t="str">
        <f>VLOOKUP(L1235, 'Alphabetical by species code'!B:C, 2, FALSE)</f>
        <v>Non-Native</v>
      </c>
    </row>
    <row r="1236">
      <c r="A1236" s="7">
        <v>14.0</v>
      </c>
      <c r="B1236" s="7">
        <v>2025.0</v>
      </c>
      <c r="C1236" s="8">
        <v>45790.0</v>
      </c>
      <c r="D1236" s="7" t="s">
        <v>83</v>
      </c>
      <c r="E1236" s="7" t="s">
        <v>85</v>
      </c>
      <c r="F1236" s="7">
        <v>3.0</v>
      </c>
      <c r="G1236" s="7" t="s">
        <v>46</v>
      </c>
      <c r="H1236" s="7">
        <v>2.0</v>
      </c>
      <c r="I1236" s="7">
        <v>14.0</v>
      </c>
      <c r="J1236" s="7">
        <v>7.0</v>
      </c>
      <c r="K1236" s="7" t="s">
        <v>28</v>
      </c>
      <c r="L1236" s="9" t="str">
        <f>VLOOKUP(K1236, 'Alphabetical by species code'!A:B, 2, FALSE)</f>
        <v>Litter</v>
      </c>
      <c r="M1236" s="9" t="str">
        <f>VLOOKUP(L1236, 'Alphabetical by species code'!B:C, 2, FALSE)</f>
        <v>Ground Cover</v>
      </c>
    </row>
    <row r="1237">
      <c r="A1237" s="7">
        <v>14.0</v>
      </c>
      <c r="B1237" s="7">
        <v>2025.0</v>
      </c>
      <c r="C1237" s="8">
        <v>45790.0</v>
      </c>
      <c r="D1237" s="7" t="s">
        <v>83</v>
      </c>
      <c r="E1237" s="7" t="s">
        <v>85</v>
      </c>
      <c r="F1237" s="7">
        <v>3.0</v>
      </c>
      <c r="G1237" s="7" t="s">
        <v>46</v>
      </c>
      <c r="H1237" s="7">
        <v>2.0</v>
      </c>
      <c r="I1237" s="7">
        <v>14.0</v>
      </c>
      <c r="J1237" s="7">
        <v>7.0</v>
      </c>
      <c r="K1237" s="7" t="s">
        <v>36</v>
      </c>
      <c r="L1237" s="9" t="str">
        <f>VLOOKUP(K1237, 'Alphabetical by species code'!A:B, 2, FALSE)</f>
        <v>Bromus madritensis</v>
      </c>
      <c r="M1237" s="9" t="str">
        <f>VLOOKUP(L1237, 'Alphabetical by species code'!B:C, 2, FALSE)</f>
        <v>Non-Native</v>
      </c>
    </row>
    <row r="1238">
      <c r="A1238" s="7">
        <v>14.0</v>
      </c>
      <c r="B1238" s="7">
        <v>2025.0</v>
      </c>
      <c r="C1238" s="8">
        <v>45790.0</v>
      </c>
      <c r="D1238" s="7" t="s">
        <v>83</v>
      </c>
      <c r="E1238" s="7" t="s">
        <v>85</v>
      </c>
      <c r="F1238" s="7">
        <v>3.0</v>
      </c>
      <c r="G1238" s="7" t="s">
        <v>46</v>
      </c>
      <c r="H1238" s="7">
        <v>2.0</v>
      </c>
      <c r="I1238" s="7">
        <v>14.0</v>
      </c>
      <c r="J1238" s="7">
        <v>7.0</v>
      </c>
      <c r="K1238" s="7" t="s">
        <v>31</v>
      </c>
      <c r="L1238" s="9" t="str">
        <f>VLOOKUP(K1238, 'Alphabetical by species code'!A:B, 2, FALSE)</f>
        <v>Festuca myuros</v>
      </c>
      <c r="M1238" s="9" t="str">
        <f>VLOOKUP(L1238, 'Alphabetical by species code'!B:C, 2, FALSE)</f>
        <v>Non-Native</v>
      </c>
    </row>
    <row r="1239">
      <c r="A1239" s="7">
        <v>14.0</v>
      </c>
      <c r="B1239" s="7">
        <v>2025.0</v>
      </c>
      <c r="C1239" s="8">
        <v>45790.0</v>
      </c>
      <c r="D1239" s="7" t="s">
        <v>83</v>
      </c>
      <c r="E1239" s="7" t="s">
        <v>85</v>
      </c>
      <c r="F1239" s="7">
        <v>3.0</v>
      </c>
      <c r="G1239" s="7" t="s">
        <v>46</v>
      </c>
      <c r="H1239" s="7">
        <v>2.0</v>
      </c>
      <c r="I1239" s="7">
        <v>15.0</v>
      </c>
      <c r="J1239" s="7">
        <v>7.5</v>
      </c>
      <c r="K1239" s="7" t="s">
        <v>28</v>
      </c>
      <c r="L1239" s="9" t="str">
        <f>VLOOKUP(K1239, 'Alphabetical by species code'!A:B, 2, FALSE)</f>
        <v>Litter</v>
      </c>
      <c r="M1239" s="9" t="str">
        <f>VLOOKUP(L1239, 'Alphabetical by species code'!B:C, 2, FALSE)</f>
        <v>Ground Cover</v>
      </c>
    </row>
    <row r="1240">
      <c r="A1240" s="7">
        <v>14.0</v>
      </c>
      <c r="B1240" s="7">
        <v>2025.0</v>
      </c>
      <c r="C1240" s="8">
        <v>45790.0</v>
      </c>
      <c r="D1240" s="7" t="s">
        <v>83</v>
      </c>
      <c r="E1240" s="7" t="s">
        <v>85</v>
      </c>
      <c r="F1240" s="7">
        <v>3.0</v>
      </c>
      <c r="G1240" s="7" t="s">
        <v>46</v>
      </c>
      <c r="H1240" s="7">
        <v>2.0</v>
      </c>
      <c r="I1240" s="7">
        <v>15.0</v>
      </c>
      <c r="J1240" s="7">
        <v>7.5</v>
      </c>
      <c r="K1240" s="7" t="s">
        <v>47</v>
      </c>
      <c r="L1240" s="9" t="str">
        <f>VLOOKUP(K1240, 'Alphabetical by species code'!A:B, 2, FALSE)</f>
        <v>Sonchus species</v>
      </c>
      <c r="M1240" s="9" t="str">
        <f>VLOOKUP(L1240, 'Alphabetical by species code'!B:C, 2, FALSE)</f>
        <v>Non-Native</v>
      </c>
    </row>
    <row r="1241">
      <c r="A1241" s="7">
        <v>14.0</v>
      </c>
      <c r="B1241" s="7">
        <v>2025.0</v>
      </c>
      <c r="C1241" s="8">
        <v>45790.0</v>
      </c>
      <c r="D1241" s="7" t="s">
        <v>83</v>
      </c>
      <c r="E1241" s="7" t="s">
        <v>85</v>
      </c>
      <c r="F1241" s="7">
        <v>3.0</v>
      </c>
      <c r="G1241" s="7" t="s">
        <v>46</v>
      </c>
      <c r="H1241" s="7">
        <v>2.0</v>
      </c>
      <c r="I1241" s="7">
        <v>15.0</v>
      </c>
      <c r="J1241" s="7">
        <v>7.5</v>
      </c>
      <c r="K1241" s="7" t="s">
        <v>31</v>
      </c>
      <c r="L1241" s="9" t="str">
        <f>VLOOKUP(K1241, 'Alphabetical by species code'!A:B, 2, FALSE)</f>
        <v>Festuca myuros</v>
      </c>
      <c r="M1241" s="9" t="str">
        <f>VLOOKUP(L1241, 'Alphabetical by species code'!B:C, 2, FALSE)</f>
        <v>Non-Native</v>
      </c>
    </row>
    <row r="1242">
      <c r="A1242" s="7">
        <v>15.0</v>
      </c>
      <c r="B1242" s="7">
        <v>2025.0</v>
      </c>
      <c r="C1242" s="8">
        <v>45790.0</v>
      </c>
      <c r="D1242" s="7" t="s">
        <v>83</v>
      </c>
      <c r="E1242" s="7" t="s">
        <v>85</v>
      </c>
      <c r="F1242" s="7">
        <v>3.0</v>
      </c>
      <c r="G1242" s="7" t="s">
        <v>63</v>
      </c>
      <c r="H1242" s="7">
        <v>1.0</v>
      </c>
      <c r="I1242" s="7">
        <v>1.0</v>
      </c>
      <c r="J1242" s="7">
        <v>0.0</v>
      </c>
      <c r="K1242" s="7" t="s">
        <v>51</v>
      </c>
      <c r="L1242" s="9" t="str">
        <f>VLOOKUP(K1242, 'Alphabetical by species code'!A:B, 2, FALSE)</f>
        <v>Bareground</v>
      </c>
      <c r="M1242" s="9" t="str">
        <f>VLOOKUP(L1242, 'Alphabetical by species code'!B:C, 2, FALSE)</f>
        <v>Ground Cover</v>
      </c>
    </row>
    <row r="1243">
      <c r="A1243" s="7">
        <v>15.0</v>
      </c>
      <c r="B1243" s="7">
        <v>2025.0</v>
      </c>
      <c r="C1243" s="8">
        <v>45790.0</v>
      </c>
      <c r="D1243" s="7" t="s">
        <v>83</v>
      </c>
      <c r="E1243" s="7" t="s">
        <v>85</v>
      </c>
      <c r="F1243" s="7">
        <v>3.0</v>
      </c>
      <c r="G1243" s="7" t="s">
        <v>63</v>
      </c>
      <c r="H1243" s="7">
        <v>1.0</v>
      </c>
      <c r="I1243" s="7">
        <v>1.0</v>
      </c>
      <c r="J1243" s="7">
        <v>0.0</v>
      </c>
      <c r="K1243" s="7" t="s">
        <v>73</v>
      </c>
      <c r="L1243" s="9" t="str">
        <f>VLOOKUP(K1243, 'Alphabetical by species code'!A:B, 2, FALSE)</f>
        <v>Eriogonum fasciculatum</v>
      </c>
      <c r="M1243" s="9" t="str">
        <f>VLOOKUP(L1243, 'Alphabetical by species code'!B:C, 2, FALSE)</f>
        <v>Native</v>
      </c>
    </row>
    <row r="1244">
      <c r="A1244" s="7">
        <v>15.0</v>
      </c>
      <c r="B1244" s="7">
        <v>2025.0</v>
      </c>
      <c r="C1244" s="8">
        <v>45790.0</v>
      </c>
      <c r="D1244" s="7" t="s">
        <v>83</v>
      </c>
      <c r="E1244" s="7" t="s">
        <v>85</v>
      </c>
      <c r="F1244" s="7">
        <v>3.0</v>
      </c>
      <c r="G1244" s="7" t="s">
        <v>63</v>
      </c>
      <c r="H1244" s="7">
        <v>1.0</v>
      </c>
      <c r="I1244" s="7">
        <v>2.0</v>
      </c>
      <c r="J1244" s="7">
        <v>1.0</v>
      </c>
      <c r="K1244" s="7" t="s">
        <v>38</v>
      </c>
      <c r="L1244" s="9" t="str">
        <f>VLOOKUP(K1244, 'Alphabetical by species code'!A:B, 2, FALSE)</f>
        <v>Thatch</v>
      </c>
      <c r="M1244" s="9" t="str">
        <f>VLOOKUP(L1244, 'Alphabetical by species code'!B:C, 2, FALSE)</f>
        <v>Ground Cover</v>
      </c>
    </row>
    <row r="1245">
      <c r="A1245" s="7">
        <v>15.0</v>
      </c>
      <c r="B1245" s="7">
        <v>2025.0</v>
      </c>
      <c r="C1245" s="8">
        <v>45790.0</v>
      </c>
      <c r="D1245" s="7" t="s">
        <v>83</v>
      </c>
      <c r="E1245" s="7" t="s">
        <v>85</v>
      </c>
      <c r="F1245" s="7">
        <v>3.0</v>
      </c>
      <c r="G1245" s="7" t="s">
        <v>63</v>
      </c>
      <c r="H1245" s="7">
        <v>1.0</v>
      </c>
      <c r="I1245" s="7">
        <v>2.0</v>
      </c>
      <c r="J1245" s="7">
        <v>1.0</v>
      </c>
      <c r="K1245" s="7" t="s">
        <v>31</v>
      </c>
      <c r="L1245" s="9" t="str">
        <f>VLOOKUP(K1245, 'Alphabetical by species code'!A:B, 2, FALSE)</f>
        <v>Festuca myuros</v>
      </c>
      <c r="M1245" s="9" t="str">
        <f>VLOOKUP(L1245, 'Alphabetical by species code'!B:C, 2, FALSE)</f>
        <v>Non-Native</v>
      </c>
    </row>
    <row r="1246">
      <c r="A1246" s="7">
        <v>15.0</v>
      </c>
      <c r="B1246" s="7">
        <v>2025.0</v>
      </c>
      <c r="C1246" s="8">
        <v>45790.0</v>
      </c>
      <c r="D1246" s="7" t="s">
        <v>83</v>
      </c>
      <c r="E1246" s="7" t="s">
        <v>85</v>
      </c>
      <c r="F1246" s="7">
        <v>3.0</v>
      </c>
      <c r="G1246" s="7" t="s">
        <v>63</v>
      </c>
      <c r="H1246" s="7">
        <v>1.0</v>
      </c>
      <c r="I1246" s="7">
        <v>3.0</v>
      </c>
      <c r="J1246" s="7">
        <v>1.5</v>
      </c>
      <c r="K1246" s="7" t="s">
        <v>51</v>
      </c>
      <c r="L1246" s="9" t="str">
        <f>VLOOKUP(K1246, 'Alphabetical by species code'!A:B, 2, FALSE)</f>
        <v>Bareground</v>
      </c>
      <c r="M1246" s="9" t="str">
        <f>VLOOKUP(L1246, 'Alphabetical by species code'!B:C, 2, FALSE)</f>
        <v>Ground Cover</v>
      </c>
    </row>
    <row r="1247">
      <c r="A1247" s="7">
        <v>15.0</v>
      </c>
      <c r="B1247" s="7">
        <v>2025.0</v>
      </c>
      <c r="C1247" s="8">
        <v>45790.0</v>
      </c>
      <c r="D1247" s="7" t="s">
        <v>83</v>
      </c>
      <c r="E1247" s="7" t="s">
        <v>85</v>
      </c>
      <c r="F1247" s="7">
        <v>3.0</v>
      </c>
      <c r="G1247" s="7" t="s">
        <v>63</v>
      </c>
      <c r="H1247" s="7">
        <v>1.0</v>
      </c>
      <c r="I1247" s="7">
        <v>3.0</v>
      </c>
      <c r="J1247" s="7">
        <v>1.5</v>
      </c>
      <c r="K1247" s="7" t="s">
        <v>31</v>
      </c>
      <c r="L1247" s="9" t="str">
        <f>VLOOKUP(K1247, 'Alphabetical by species code'!A:B, 2, FALSE)</f>
        <v>Festuca myuros</v>
      </c>
      <c r="M1247" s="9" t="str">
        <f>VLOOKUP(L1247, 'Alphabetical by species code'!B:C, 2, FALSE)</f>
        <v>Non-Native</v>
      </c>
    </row>
    <row r="1248">
      <c r="A1248" s="7">
        <v>15.0</v>
      </c>
      <c r="B1248" s="7">
        <v>2025.0</v>
      </c>
      <c r="C1248" s="8">
        <v>45790.0</v>
      </c>
      <c r="D1248" s="7" t="s">
        <v>83</v>
      </c>
      <c r="E1248" s="7" t="s">
        <v>85</v>
      </c>
      <c r="F1248" s="7">
        <v>3.0</v>
      </c>
      <c r="G1248" s="7" t="s">
        <v>63</v>
      </c>
      <c r="H1248" s="7">
        <v>1.0</v>
      </c>
      <c r="I1248" s="7">
        <v>4.0</v>
      </c>
      <c r="J1248" s="7">
        <v>2.0</v>
      </c>
      <c r="K1248" s="7" t="s">
        <v>28</v>
      </c>
      <c r="L1248" s="9" t="str">
        <f>VLOOKUP(K1248, 'Alphabetical by species code'!A:B, 2, FALSE)</f>
        <v>Litter</v>
      </c>
      <c r="M1248" s="9" t="str">
        <f>VLOOKUP(L1248, 'Alphabetical by species code'!B:C, 2, FALSE)</f>
        <v>Ground Cover</v>
      </c>
    </row>
    <row r="1249">
      <c r="A1249" s="7">
        <v>15.0</v>
      </c>
      <c r="B1249" s="7">
        <v>2025.0</v>
      </c>
      <c r="C1249" s="8">
        <v>45790.0</v>
      </c>
      <c r="D1249" s="7" t="s">
        <v>83</v>
      </c>
      <c r="E1249" s="7" t="s">
        <v>85</v>
      </c>
      <c r="F1249" s="7">
        <v>3.0</v>
      </c>
      <c r="G1249" s="7" t="s">
        <v>63</v>
      </c>
      <c r="H1249" s="7">
        <v>1.0</v>
      </c>
      <c r="I1249" s="7">
        <v>4.0</v>
      </c>
      <c r="J1249" s="7">
        <v>2.0</v>
      </c>
      <c r="K1249" s="7" t="s">
        <v>31</v>
      </c>
      <c r="L1249" s="9" t="str">
        <f>VLOOKUP(K1249, 'Alphabetical by species code'!A:B, 2, FALSE)</f>
        <v>Festuca myuros</v>
      </c>
      <c r="M1249" s="9" t="str">
        <f>VLOOKUP(L1249, 'Alphabetical by species code'!B:C, 2, FALSE)</f>
        <v>Non-Native</v>
      </c>
    </row>
    <row r="1250">
      <c r="A1250" s="7">
        <v>15.0</v>
      </c>
      <c r="B1250" s="7">
        <v>2025.0</v>
      </c>
      <c r="C1250" s="8">
        <v>45790.0</v>
      </c>
      <c r="D1250" s="7" t="s">
        <v>83</v>
      </c>
      <c r="E1250" s="7" t="s">
        <v>85</v>
      </c>
      <c r="F1250" s="7">
        <v>3.0</v>
      </c>
      <c r="G1250" s="7" t="s">
        <v>63</v>
      </c>
      <c r="H1250" s="7">
        <v>1.0</v>
      </c>
      <c r="I1250" s="7">
        <v>5.0</v>
      </c>
      <c r="J1250" s="7">
        <v>3.0</v>
      </c>
      <c r="K1250" s="7" t="s">
        <v>28</v>
      </c>
      <c r="L1250" s="9" t="str">
        <f>VLOOKUP(K1250, 'Alphabetical by species code'!A:B, 2, FALSE)</f>
        <v>Litter</v>
      </c>
      <c r="M1250" s="9" t="str">
        <f>VLOOKUP(L1250, 'Alphabetical by species code'!B:C, 2, FALSE)</f>
        <v>Ground Cover</v>
      </c>
    </row>
    <row r="1251">
      <c r="A1251" s="7">
        <v>15.0</v>
      </c>
      <c r="B1251" s="7">
        <v>2025.0</v>
      </c>
      <c r="C1251" s="8">
        <v>45790.0</v>
      </c>
      <c r="D1251" s="7" t="s">
        <v>83</v>
      </c>
      <c r="E1251" s="7" t="s">
        <v>85</v>
      </c>
      <c r="F1251" s="7">
        <v>3.0</v>
      </c>
      <c r="G1251" s="7" t="s">
        <v>63</v>
      </c>
      <c r="H1251" s="7">
        <v>1.0</v>
      </c>
      <c r="I1251" s="7">
        <v>5.0</v>
      </c>
      <c r="J1251" s="7">
        <v>3.0</v>
      </c>
      <c r="K1251" s="7" t="s">
        <v>31</v>
      </c>
      <c r="L1251" s="9" t="str">
        <f>VLOOKUP(K1251, 'Alphabetical by species code'!A:B, 2, FALSE)</f>
        <v>Festuca myuros</v>
      </c>
      <c r="M1251" s="9" t="str">
        <f>VLOOKUP(L1251, 'Alphabetical by species code'!B:C, 2, FALSE)</f>
        <v>Non-Native</v>
      </c>
    </row>
    <row r="1252">
      <c r="A1252" s="7">
        <v>15.0</v>
      </c>
      <c r="B1252" s="7">
        <v>2025.0</v>
      </c>
      <c r="C1252" s="8">
        <v>45790.0</v>
      </c>
      <c r="D1252" s="7" t="s">
        <v>83</v>
      </c>
      <c r="E1252" s="7" t="s">
        <v>85</v>
      </c>
      <c r="F1252" s="7">
        <v>3.0</v>
      </c>
      <c r="G1252" s="7" t="s">
        <v>63</v>
      </c>
      <c r="H1252" s="7">
        <v>1.0</v>
      </c>
      <c r="I1252" s="7">
        <v>6.0</v>
      </c>
      <c r="J1252" s="7">
        <v>3.5</v>
      </c>
      <c r="K1252" s="7" t="s">
        <v>51</v>
      </c>
      <c r="L1252" s="9" t="str">
        <f>VLOOKUP(K1252, 'Alphabetical by species code'!A:B, 2, FALSE)</f>
        <v>Bareground</v>
      </c>
      <c r="M1252" s="9" t="str">
        <f>VLOOKUP(L1252, 'Alphabetical by species code'!B:C, 2, FALSE)</f>
        <v>Ground Cover</v>
      </c>
    </row>
    <row r="1253">
      <c r="A1253" s="7">
        <v>15.0</v>
      </c>
      <c r="B1253" s="7">
        <v>2025.0</v>
      </c>
      <c r="C1253" s="8">
        <v>45790.0</v>
      </c>
      <c r="D1253" s="7" t="s">
        <v>83</v>
      </c>
      <c r="E1253" s="7" t="s">
        <v>85</v>
      </c>
      <c r="F1253" s="7">
        <v>3.0</v>
      </c>
      <c r="G1253" s="7" t="s">
        <v>63</v>
      </c>
      <c r="H1253" s="7">
        <v>1.0</v>
      </c>
      <c r="I1253" s="7">
        <v>6.0</v>
      </c>
      <c r="J1253" s="7">
        <v>3.5</v>
      </c>
      <c r="K1253" s="7" t="s">
        <v>31</v>
      </c>
      <c r="L1253" s="9" t="str">
        <f>VLOOKUP(K1253, 'Alphabetical by species code'!A:B, 2, FALSE)</f>
        <v>Festuca myuros</v>
      </c>
      <c r="M1253" s="9" t="str">
        <f>VLOOKUP(L1253, 'Alphabetical by species code'!B:C, 2, FALSE)</f>
        <v>Non-Native</v>
      </c>
    </row>
    <row r="1254">
      <c r="A1254" s="7">
        <v>15.0</v>
      </c>
      <c r="B1254" s="7">
        <v>2025.0</v>
      </c>
      <c r="C1254" s="8">
        <v>45790.0</v>
      </c>
      <c r="D1254" s="7" t="s">
        <v>83</v>
      </c>
      <c r="E1254" s="7" t="s">
        <v>85</v>
      </c>
      <c r="F1254" s="7">
        <v>3.0</v>
      </c>
      <c r="G1254" s="7" t="s">
        <v>63</v>
      </c>
      <c r="H1254" s="7">
        <v>1.0</v>
      </c>
      <c r="I1254" s="7">
        <v>6.0</v>
      </c>
      <c r="J1254" s="7">
        <v>3.5</v>
      </c>
      <c r="K1254" s="7" t="s">
        <v>35</v>
      </c>
      <c r="L1254" s="9" t="str">
        <f>VLOOKUP(K1254, 'Alphabetical by species code'!A:B, 2, FALSE)</f>
        <v>Deinandra fasciculata</v>
      </c>
      <c r="M1254" s="9" t="str">
        <f>VLOOKUP(L1254, 'Alphabetical by species code'!B:C, 2, FALSE)</f>
        <v>Native</v>
      </c>
    </row>
    <row r="1255">
      <c r="A1255" s="7">
        <v>15.0</v>
      </c>
      <c r="B1255" s="7">
        <v>2025.0</v>
      </c>
      <c r="C1255" s="8">
        <v>45790.0</v>
      </c>
      <c r="D1255" s="7" t="s">
        <v>83</v>
      </c>
      <c r="E1255" s="7" t="s">
        <v>85</v>
      </c>
      <c r="F1255" s="7">
        <v>3.0</v>
      </c>
      <c r="G1255" s="7" t="s">
        <v>63</v>
      </c>
      <c r="H1255" s="7">
        <v>1.0</v>
      </c>
      <c r="I1255" s="7">
        <v>7.0</v>
      </c>
      <c r="J1255" s="7">
        <v>4.0</v>
      </c>
      <c r="K1255" s="7" t="s">
        <v>28</v>
      </c>
      <c r="L1255" s="9" t="str">
        <f>VLOOKUP(K1255, 'Alphabetical by species code'!A:B, 2, FALSE)</f>
        <v>Litter</v>
      </c>
      <c r="M1255" s="9" t="str">
        <f>VLOOKUP(L1255, 'Alphabetical by species code'!B:C, 2, FALSE)</f>
        <v>Ground Cover</v>
      </c>
    </row>
    <row r="1256">
      <c r="A1256" s="7">
        <v>15.0</v>
      </c>
      <c r="B1256" s="7">
        <v>2025.0</v>
      </c>
      <c r="C1256" s="8">
        <v>45790.0</v>
      </c>
      <c r="D1256" s="7" t="s">
        <v>83</v>
      </c>
      <c r="E1256" s="7" t="s">
        <v>85</v>
      </c>
      <c r="F1256" s="7">
        <v>3.0</v>
      </c>
      <c r="G1256" s="7" t="s">
        <v>63</v>
      </c>
      <c r="H1256" s="7">
        <v>1.0</v>
      </c>
      <c r="I1256" s="7">
        <v>7.0</v>
      </c>
      <c r="J1256" s="7">
        <v>4.0</v>
      </c>
      <c r="K1256" s="7" t="s">
        <v>31</v>
      </c>
      <c r="L1256" s="9" t="str">
        <f>VLOOKUP(K1256, 'Alphabetical by species code'!A:B, 2, FALSE)</f>
        <v>Festuca myuros</v>
      </c>
      <c r="M1256" s="9" t="str">
        <f>VLOOKUP(L1256, 'Alphabetical by species code'!B:C, 2, FALSE)</f>
        <v>Non-Native</v>
      </c>
    </row>
    <row r="1257">
      <c r="A1257" s="7">
        <v>15.0</v>
      </c>
      <c r="B1257" s="7">
        <v>2025.0</v>
      </c>
      <c r="C1257" s="8">
        <v>45790.0</v>
      </c>
      <c r="D1257" s="7" t="s">
        <v>83</v>
      </c>
      <c r="E1257" s="7" t="s">
        <v>85</v>
      </c>
      <c r="F1257" s="7">
        <v>3.0</v>
      </c>
      <c r="G1257" s="7" t="s">
        <v>63</v>
      </c>
      <c r="H1257" s="7">
        <v>1.0</v>
      </c>
      <c r="I1257" s="7">
        <v>8.0</v>
      </c>
      <c r="J1257" s="7">
        <v>5.0</v>
      </c>
      <c r="K1257" s="7" t="s">
        <v>28</v>
      </c>
      <c r="L1257" s="9" t="str">
        <f>VLOOKUP(K1257, 'Alphabetical by species code'!A:B, 2, FALSE)</f>
        <v>Litter</v>
      </c>
      <c r="M1257" s="9" t="str">
        <f>VLOOKUP(L1257, 'Alphabetical by species code'!B:C, 2, FALSE)</f>
        <v>Ground Cover</v>
      </c>
    </row>
    <row r="1258">
      <c r="A1258" s="7">
        <v>15.0</v>
      </c>
      <c r="B1258" s="7">
        <v>2025.0</v>
      </c>
      <c r="C1258" s="8">
        <v>45790.0</v>
      </c>
      <c r="D1258" s="7" t="s">
        <v>83</v>
      </c>
      <c r="E1258" s="7" t="s">
        <v>85</v>
      </c>
      <c r="F1258" s="7">
        <v>3.0</v>
      </c>
      <c r="G1258" s="7" t="s">
        <v>63</v>
      </c>
      <c r="H1258" s="7">
        <v>1.0</v>
      </c>
      <c r="I1258" s="7">
        <v>8.0</v>
      </c>
      <c r="J1258" s="7">
        <v>5.0</v>
      </c>
      <c r="K1258" s="7" t="s">
        <v>35</v>
      </c>
      <c r="L1258" s="9" t="str">
        <f>VLOOKUP(K1258, 'Alphabetical by species code'!A:B, 2, FALSE)</f>
        <v>Deinandra fasciculata</v>
      </c>
      <c r="M1258" s="9" t="str">
        <f>VLOOKUP(L1258, 'Alphabetical by species code'!B:C, 2, FALSE)</f>
        <v>Native</v>
      </c>
    </row>
    <row r="1259">
      <c r="A1259" s="7">
        <v>15.0</v>
      </c>
      <c r="B1259" s="7">
        <v>2025.0</v>
      </c>
      <c r="C1259" s="8">
        <v>45790.0</v>
      </c>
      <c r="D1259" s="7" t="s">
        <v>83</v>
      </c>
      <c r="E1259" s="7" t="s">
        <v>85</v>
      </c>
      <c r="F1259" s="7">
        <v>3.0</v>
      </c>
      <c r="G1259" s="7" t="s">
        <v>63</v>
      </c>
      <c r="H1259" s="7">
        <v>1.0</v>
      </c>
      <c r="I1259" s="7">
        <v>8.0</v>
      </c>
      <c r="J1259" s="7">
        <v>5.0</v>
      </c>
      <c r="K1259" s="7" t="s">
        <v>36</v>
      </c>
      <c r="L1259" s="9" t="str">
        <f>VLOOKUP(K1259, 'Alphabetical by species code'!A:B, 2, FALSE)</f>
        <v>Bromus madritensis</v>
      </c>
      <c r="M1259" s="9" t="str">
        <f>VLOOKUP(L1259, 'Alphabetical by species code'!B:C, 2, FALSE)</f>
        <v>Non-Native</v>
      </c>
    </row>
    <row r="1260">
      <c r="A1260" s="7">
        <v>15.0</v>
      </c>
      <c r="B1260" s="7">
        <v>2025.0</v>
      </c>
      <c r="C1260" s="8">
        <v>45790.0</v>
      </c>
      <c r="D1260" s="7" t="s">
        <v>83</v>
      </c>
      <c r="E1260" s="7" t="s">
        <v>85</v>
      </c>
      <c r="F1260" s="7">
        <v>3.0</v>
      </c>
      <c r="G1260" s="7" t="s">
        <v>63</v>
      </c>
      <c r="H1260" s="7">
        <v>1.0</v>
      </c>
      <c r="I1260" s="7">
        <v>9.0</v>
      </c>
      <c r="J1260" s="7">
        <v>7.0</v>
      </c>
      <c r="K1260" s="7" t="s">
        <v>28</v>
      </c>
      <c r="L1260" s="9" t="str">
        <f>VLOOKUP(K1260, 'Alphabetical by species code'!A:B, 2, FALSE)</f>
        <v>Litter</v>
      </c>
      <c r="M1260" s="9" t="str">
        <f>VLOOKUP(L1260, 'Alphabetical by species code'!B:C, 2, FALSE)</f>
        <v>Ground Cover</v>
      </c>
    </row>
    <row r="1261">
      <c r="A1261" s="7">
        <v>15.0</v>
      </c>
      <c r="B1261" s="7">
        <v>2025.0</v>
      </c>
      <c r="C1261" s="8">
        <v>45790.0</v>
      </c>
      <c r="D1261" s="7" t="s">
        <v>83</v>
      </c>
      <c r="E1261" s="7" t="s">
        <v>85</v>
      </c>
      <c r="F1261" s="7">
        <v>3.0</v>
      </c>
      <c r="G1261" s="7" t="s">
        <v>63</v>
      </c>
      <c r="H1261" s="7">
        <v>1.0</v>
      </c>
      <c r="I1261" s="7">
        <v>9.0</v>
      </c>
      <c r="J1261" s="7">
        <v>7.0</v>
      </c>
      <c r="K1261" s="7" t="s">
        <v>32</v>
      </c>
      <c r="L1261" s="9" t="str">
        <f>VLOOKUP(K1261, 'Alphabetical by species code'!A:B, 2, FALSE)</f>
        <v>Medicago polymorpha</v>
      </c>
      <c r="M1261" s="9" t="str">
        <f>VLOOKUP(L1261, 'Alphabetical by species code'!B:C, 2, FALSE)</f>
        <v>Non-Native</v>
      </c>
    </row>
    <row r="1262">
      <c r="A1262" s="7">
        <v>15.0</v>
      </c>
      <c r="B1262" s="7">
        <v>2025.0</v>
      </c>
      <c r="C1262" s="8">
        <v>45790.0</v>
      </c>
      <c r="D1262" s="7" t="s">
        <v>83</v>
      </c>
      <c r="E1262" s="7" t="s">
        <v>85</v>
      </c>
      <c r="F1262" s="7">
        <v>3.0</v>
      </c>
      <c r="G1262" s="7" t="s">
        <v>63</v>
      </c>
      <c r="H1262" s="7">
        <v>1.0</v>
      </c>
      <c r="I1262" s="7">
        <v>10.0</v>
      </c>
      <c r="J1262" s="7">
        <v>8.0</v>
      </c>
      <c r="K1262" s="7" t="s">
        <v>28</v>
      </c>
      <c r="L1262" s="9" t="str">
        <f>VLOOKUP(K1262, 'Alphabetical by species code'!A:B, 2, FALSE)</f>
        <v>Litter</v>
      </c>
      <c r="M1262" s="9" t="str">
        <f>VLOOKUP(L1262, 'Alphabetical by species code'!B:C, 2, FALSE)</f>
        <v>Ground Cover</v>
      </c>
    </row>
    <row r="1263">
      <c r="A1263" s="7">
        <v>15.0</v>
      </c>
      <c r="B1263" s="7">
        <v>2025.0</v>
      </c>
      <c r="C1263" s="8">
        <v>45790.0</v>
      </c>
      <c r="D1263" s="7" t="s">
        <v>83</v>
      </c>
      <c r="E1263" s="7" t="s">
        <v>85</v>
      </c>
      <c r="F1263" s="7">
        <v>3.0</v>
      </c>
      <c r="G1263" s="7" t="s">
        <v>63</v>
      </c>
      <c r="H1263" s="7">
        <v>1.0</v>
      </c>
      <c r="I1263" s="7">
        <v>10.0</v>
      </c>
      <c r="J1263" s="7">
        <v>8.0</v>
      </c>
      <c r="K1263" s="7" t="s">
        <v>31</v>
      </c>
      <c r="L1263" s="9" t="str">
        <f>VLOOKUP(K1263, 'Alphabetical by species code'!A:B, 2, FALSE)</f>
        <v>Festuca myuros</v>
      </c>
      <c r="M1263" s="9" t="str">
        <f>VLOOKUP(L1263, 'Alphabetical by species code'!B:C, 2, FALSE)</f>
        <v>Non-Native</v>
      </c>
    </row>
    <row r="1264">
      <c r="A1264" s="7">
        <v>15.0</v>
      </c>
      <c r="B1264" s="7">
        <v>2025.0</v>
      </c>
      <c r="C1264" s="8">
        <v>45790.0</v>
      </c>
      <c r="D1264" s="7" t="s">
        <v>83</v>
      </c>
      <c r="E1264" s="7" t="s">
        <v>85</v>
      </c>
      <c r="F1264" s="7">
        <v>3.0</v>
      </c>
      <c r="G1264" s="7" t="s">
        <v>63</v>
      </c>
      <c r="H1264" s="7">
        <v>1.0</v>
      </c>
      <c r="I1264" s="7">
        <v>10.0</v>
      </c>
      <c r="J1264" s="7">
        <v>8.0</v>
      </c>
      <c r="K1264" s="7" t="s">
        <v>44</v>
      </c>
      <c r="L1264" s="9" t="str">
        <f>VLOOKUP(K1264, 'Alphabetical by species code'!A:B, 2, FALSE)</f>
        <v>Amsinckia menziesii</v>
      </c>
      <c r="M1264" s="9" t="str">
        <f>VLOOKUP(L1264, 'Alphabetical by species code'!B:C, 2, FALSE)</f>
        <v>Native</v>
      </c>
    </row>
    <row r="1265">
      <c r="A1265" s="7">
        <v>15.0</v>
      </c>
      <c r="B1265" s="7">
        <v>2025.0</v>
      </c>
      <c r="C1265" s="8">
        <v>45790.0</v>
      </c>
      <c r="D1265" s="7" t="s">
        <v>83</v>
      </c>
      <c r="E1265" s="7" t="s">
        <v>85</v>
      </c>
      <c r="F1265" s="7">
        <v>3.0</v>
      </c>
      <c r="G1265" s="7" t="s">
        <v>63</v>
      </c>
      <c r="H1265" s="7">
        <v>1.0</v>
      </c>
      <c r="I1265" s="7">
        <v>11.0</v>
      </c>
      <c r="J1265" s="7">
        <v>8.5</v>
      </c>
      <c r="K1265" s="7" t="s">
        <v>51</v>
      </c>
      <c r="L1265" s="9" t="str">
        <f>VLOOKUP(K1265, 'Alphabetical by species code'!A:B, 2, FALSE)</f>
        <v>Bareground</v>
      </c>
      <c r="M1265" s="9" t="str">
        <f>VLOOKUP(L1265, 'Alphabetical by species code'!B:C, 2, FALSE)</f>
        <v>Ground Cover</v>
      </c>
    </row>
    <row r="1266">
      <c r="A1266" s="7">
        <v>15.0</v>
      </c>
      <c r="B1266" s="7">
        <v>2025.0</v>
      </c>
      <c r="C1266" s="8">
        <v>45790.0</v>
      </c>
      <c r="D1266" s="7" t="s">
        <v>83</v>
      </c>
      <c r="E1266" s="7" t="s">
        <v>85</v>
      </c>
      <c r="F1266" s="7">
        <v>3.0</v>
      </c>
      <c r="G1266" s="7" t="s">
        <v>63</v>
      </c>
      <c r="H1266" s="7">
        <v>1.0</v>
      </c>
      <c r="I1266" s="7">
        <v>11.0</v>
      </c>
      <c r="J1266" s="7">
        <v>8.5</v>
      </c>
      <c r="K1266" s="7" t="s">
        <v>31</v>
      </c>
      <c r="L1266" s="9" t="str">
        <f>VLOOKUP(K1266, 'Alphabetical by species code'!A:B, 2, FALSE)</f>
        <v>Festuca myuros</v>
      </c>
      <c r="M1266" s="9" t="str">
        <f>VLOOKUP(L1266, 'Alphabetical by species code'!B:C, 2, FALSE)</f>
        <v>Non-Native</v>
      </c>
    </row>
    <row r="1267">
      <c r="A1267" s="7">
        <v>15.0</v>
      </c>
      <c r="B1267" s="7">
        <v>2025.0</v>
      </c>
      <c r="C1267" s="8">
        <v>45790.0</v>
      </c>
      <c r="D1267" s="7" t="s">
        <v>83</v>
      </c>
      <c r="E1267" s="7" t="s">
        <v>85</v>
      </c>
      <c r="F1267" s="7">
        <v>3.0</v>
      </c>
      <c r="G1267" s="7" t="s">
        <v>63</v>
      </c>
      <c r="H1267" s="7">
        <v>1.0</v>
      </c>
      <c r="I1267" s="7">
        <v>11.0</v>
      </c>
      <c r="J1267" s="7">
        <v>8.5</v>
      </c>
      <c r="K1267" s="7" t="s">
        <v>32</v>
      </c>
      <c r="L1267" s="9" t="str">
        <f>VLOOKUP(K1267, 'Alphabetical by species code'!A:B, 2, FALSE)</f>
        <v>Medicago polymorpha</v>
      </c>
      <c r="M1267" s="9" t="str">
        <f>VLOOKUP(L1267, 'Alphabetical by species code'!B:C, 2, FALSE)</f>
        <v>Non-Native</v>
      </c>
    </row>
    <row r="1268">
      <c r="A1268" s="7">
        <v>15.0</v>
      </c>
      <c r="B1268" s="7">
        <v>2025.0</v>
      </c>
      <c r="C1268" s="8">
        <v>45790.0</v>
      </c>
      <c r="D1268" s="7" t="s">
        <v>83</v>
      </c>
      <c r="E1268" s="7" t="s">
        <v>85</v>
      </c>
      <c r="F1268" s="7">
        <v>3.0</v>
      </c>
      <c r="G1268" s="7" t="s">
        <v>63</v>
      </c>
      <c r="H1268" s="7">
        <v>1.0</v>
      </c>
      <c r="I1268" s="7">
        <v>12.0</v>
      </c>
      <c r="J1268" s="7">
        <v>9.0</v>
      </c>
      <c r="K1268" s="7" t="s">
        <v>28</v>
      </c>
      <c r="L1268" s="9" t="str">
        <f>VLOOKUP(K1268, 'Alphabetical by species code'!A:B, 2, FALSE)</f>
        <v>Litter</v>
      </c>
      <c r="M1268" s="9" t="str">
        <f>VLOOKUP(L1268, 'Alphabetical by species code'!B:C, 2, FALSE)</f>
        <v>Ground Cover</v>
      </c>
    </row>
    <row r="1269">
      <c r="A1269" s="7">
        <v>15.0</v>
      </c>
      <c r="B1269" s="7">
        <v>2025.0</v>
      </c>
      <c r="C1269" s="8">
        <v>45790.0</v>
      </c>
      <c r="D1269" s="7" t="s">
        <v>83</v>
      </c>
      <c r="E1269" s="7" t="s">
        <v>85</v>
      </c>
      <c r="F1269" s="7">
        <v>3.0</v>
      </c>
      <c r="G1269" s="7" t="s">
        <v>63</v>
      </c>
      <c r="H1269" s="7">
        <v>1.0</v>
      </c>
      <c r="I1269" s="7">
        <v>12.0</v>
      </c>
      <c r="J1269" s="7">
        <v>9.0</v>
      </c>
      <c r="K1269" s="7" t="s">
        <v>32</v>
      </c>
      <c r="L1269" s="9" t="str">
        <f>VLOOKUP(K1269, 'Alphabetical by species code'!A:B, 2, FALSE)</f>
        <v>Medicago polymorpha</v>
      </c>
      <c r="M1269" s="9" t="str">
        <f>VLOOKUP(L1269, 'Alphabetical by species code'!B:C, 2, FALSE)</f>
        <v>Non-Native</v>
      </c>
    </row>
    <row r="1270">
      <c r="A1270" s="7">
        <v>15.0</v>
      </c>
      <c r="B1270" s="7">
        <v>2025.0</v>
      </c>
      <c r="C1270" s="8">
        <v>45790.0</v>
      </c>
      <c r="D1270" s="7" t="s">
        <v>83</v>
      </c>
      <c r="E1270" s="7" t="s">
        <v>85</v>
      </c>
      <c r="F1270" s="7">
        <v>3.0</v>
      </c>
      <c r="G1270" s="7" t="s">
        <v>63</v>
      </c>
      <c r="H1270" s="7">
        <v>1.0</v>
      </c>
      <c r="I1270" s="7">
        <v>12.0</v>
      </c>
      <c r="J1270" s="7">
        <v>9.0</v>
      </c>
      <c r="K1270" s="7" t="s">
        <v>36</v>
      </c>
      <c r="L1270" s="9" t="str">
        <f>VLOOKUP(K1270, 'Alphabetical by species code'!A:B, 2, FALSE)</f>
        <v>Bromus madritensis</v>
      </c>
      <c r="M1270" s="9" t="str">
        <f>VLOOKUP(L1270, 'Alphabetical by species code'!B:C, 2, FALSE)</f>
        <v>Non-Native</v>
      </c>
    </row>
    <row r="1271">
      <c r="A1271" s="7">
        <v>15.0</v>
      </c>
      <c r="B1271" s="7">
        <v>2025.0</v>
      </c>
      <c r="C1271" s="8">
        <v>45790.0</v>
      </c>
      <c r="D1271" s="7" t="s">
        <v>83</v>
      </c>
      <c r="E1271" s="7" t="s">
        <v>85</v>
      </c>
      <c r="F1271" s="7">
        <v>3.0</v>
      </c>
      <c r="G1271" s="7" t="s">
        <v>63</v>
      </c>
      <c r="H1271" s="7">
        <v>1.0</v>
      </c>
      <c r="I1271" s="7">
        <v>13.0</v>
      </c>
      <c r="J1271" s="7">
        <v>10.0</v>
      </c>
      <c r="K1271" s="7" t="s">
        <v>28</v>
      </c>
      <c r="L1271" s="9" t="str">
        <f>VLOOKUP(K1271, 'Alphabetical by species code'!A:B, 2, FALSE)</f>
        <v>Litter</v>
      </c>
      <c r="M1271" s="9" t="str">
        <f>VLOOKUP(L1271, 'Alphabetical by species code'!B:C, 2, FALSE)</f>
        <v>Ground Cover</v>
      </c>
    </row>
    <row r="1272">
      <c r="A1272" s="7">
        <v>15.0</v>
      </c>
      <c r="B1272" s="7">
        <v>2025.0</v>
      </c>
      <c r="C1272" s="8">
        <v>45790.0</v>
      </c>
      <c r="D1272" s="7" t="s">
        <v>83</v>
      </c>
      <c r="E1272" s="7" t="s">
        <v>85</v>
      </c>
      <c r="F1272" s="7">
        <v>3.0</v>
      </c>
      <c r="G1272" s="7" t="s">
        <v>63</v>
      </c>
      <c r="H1272" s="7">
        <v>1.0</v>
      </c>
      <c r="I1272" s="7">
        <v>13.0</v>
      </c>
      <c r="J1272" s="7">
        <v>10.0</v>
      </c>
      <c r="K1272" s="7" t="s">
        <v>36</v>
      </c>
      <c r="L1272" s="9" t="str">
        <f>VLOOKUP(K1272, 'Alphabetical by species code'!A:B, 2, FALSE)</f>
        <v>Bromus madritensis</v>
      </c>
      <c r="M1272" s="9" t="str">
        <f>VLOOKUP(L1272, 'Alphabetical by species code'!B:C, 2, FALSE)</f>
        <v>Non-Native</v>
      </c>
    </row>
    <row r="1273">
      <c r="A1273" s="7">
        <v>15.0</v>
      </c>
      <c r="B1273" s="7">
        <v>2025.0</v>
      </c>
      <c r="C1273" s="8">
        <v>45790.0</v>
      </c>
      <c r="D1273" s="7" t="s">
        <v>83</v>
      </c>
      <c r="E1273" s="7" t="s">
        <v>85</v>
      </c>
      <c r="F1273" s="7">
        <v>3.0</v>
      </c>
      <c r="G1273" s="7" t="s">
        <v>63</v>
      </c>
      <c r="H1273" s="7">
        <v>1.0</v>
      </c>
      <c r="I1273" s="7">
        <v>13.0</v>
      </c>
      <c r="J1273" s="7">
        <v>10.0</v>
      </c>
      <c r="K1273" s="7" t="s">
        <v>32</v>
      </c>
      <c r="L1273" s="9" t="str">
        <f>VLOOKUP(K1273, 'Alphabetical by species code'!A:B, 2, FALSE)</f>
        <v>Medicago polymorpha</v>
      </c>
      <c r="M1273" s="9" t="str">
        <f>VLOOKUP(L1273, 'Alphabetical by species code'!B:C, 2, FALSE)</f>
        <v>Non-Native</v>
      </c>
    </row>
    <row r="1274">
      <c r="A1274" s="7">
        <v>15.0</v>
      </c>
      <c r="B1274" s="7">
        <v>2025.0</v>
      </c>
      <c r="C1274" s="8">
        <v>45790.0</v>
      </c>
      <c r="D1274" s="7" t="s">
        <v>83</v>
      </c>
      <c r="E1274" s="7" t="s">
        <v>85</v>
      </c>
      <c r="F1274" s="7">
        <v>3.0</v>
      </c>
      <c r="G1274" s="7" t="s">
        <v>63</v>
      </c>
      <c r="H1274" s="7">
        <v>1.0</v>
      </c>
      <c r="I1274" s="7">
        <v>14.0</v>
      </c>
      <c r="J1274" s="7">
        <v>11.0</v>
      </c>
      <c r="K1274" s="7" t="s">
        <v>28</v>
      </c>
      <c r="L1274" s="9" t="str">
        <f>VLOOKUP(K1274, 'Alphabetical by species code'!A:B, 2, FALSE)</f>
        <v>Litter</v>
      </c>
      <c r="M1274" s="9" t="str">
        <f>VLOOKUP(L1274, 'Alphabetical by species code'!B:C, 2, FALSE)</f>
        <v>Ground Cover</v>
      </c>
    </row>
    <row r="1275">
      <c r="A1275" s="7">
        <v>15.0</v>
      </c>
      <c r="B1275" s="7">
        <v>2025.0</v>
      </c>
      <c r="C1275" s="8">
        <v>45790.0</v>
      </c>
      <c r="D1275" s="7" t="s">
        <v>83</v>
      </c>
      <c r="E1275" s="7" t="s">
        <v>85</v>
      </c>
      <c r="F1275" s="7">
        <v>3.0</v>
      </c>
      <c r="G1275" s="7" t="s">
        <v>63</v>
      </c>
      <c r="H1275" s="7">
        <v>1.0</v>
      </c>
      <c r="I1275" s="7">
        <v>14.0</v>
      </c>
      <c r="J1275" s="7">
        <v>11.0</v>
      </c>
      <c r="K1275" s="7" t="s">
        <v>73</v>
      </c>
      <c r="L1275" s="9" t="str">
        <f>VLOOKUP(K1275, 'Alphabetical by species code'!A:B, 2, FALSE)</f>
        <v>Eriogonum fasciculatum</v>
      </c>
      <c r="M1275" s="9" t="str">
        <f>VLOOKUP(L1275, 'Alphabetical by species code'!B:C, 2, FALSE)</f>
        <v>Native</v>
      </c>
    </row>
    <row r="1276">
      <c r="A1276" s="7">
        <v>15.0</v>
      </c>
      <c r="B1276" s="7">
        <v>2025.0</v>
      </c>
      <c r="C1276" s="8">
        <v>45790.0</v>
      </c>
      <c r="D1276" s="7" t="s">
        <v>83</v>
      </c>
      <c r="E1276" s="7" t="s">
        <v>85</v>
      </c>
      <c r="F1276" s="7">
        <v>3.0</v>
      </c>
      <c r="G1276" s="7" t="s">
        <v>63</v>
      </c>
      <c r="H1276" s="7">
        <v>1.0</v>
      </c>
      <c r="I1276" s="7">
        <v>14.0</v>
      </c>
      <c r="J1276" s="7">
        <v>11.0</v>
      </c>
      <c r="K1276" s="7" t="s">
        <v>31</v>
      </c>
      <c r="L1276" s="9" t="str">
        <f>VLOOKUP(K1276, 'Alphabetical by species code'!A:B, 2, FALSE)</f>
        <v>Festuca myuros</v>
      </c>
      <c r="M1276" s="9" t="str">
        <f>VLOOKUP(L1276, 'Alphabetical by species code'!B:C, 2, FALSE)</f>
        <v>Non-Native</v>
      </c>
    </row>
    <row r="1277">
      <c r="A1277" s="7">
        <v>15.0</v>
      </c>
      <c r="B1277" s="7">
        <v>2025.0</v>
      </c>
      <c r="C1277" s="8">
        <v>45790.0</v>
      </c>
      <c r="D1277" s="7" t="s">
        <v>83</v>
      </c>
      <c r="E1277" s="7" t="s">
        <v>85</v>
      </c>
      <c r="F1277" s="7">
        <v>3.0</v>
      </c>
      <c r="G1277" s="7" t="s">
        <v>63</v>
      </c>
      <c r="H1277" s="7">
        <v>1.0</v>
      </c>
      <c r="I1277" s="7">
        <v>15.0</v>
      </c>
      <c r="J1277" s="7">
        <v>12.0</v>
      </c>
      <c r="K1277" s="7" t="s">
        <v>28</v>
      </c>
      <c r="L1277" s="9" t="str">
        <f>VLOOKUP(K1277, 'Alphabetical by species code'!A:B, 2, FALSE)</f>
        <v>Litter</v>
      </c>
      <c r="M1277" s="9" t="str">
        <f>VLOOKUP(L1277, 'Alphabetical by species code'!B:C, 2, FALSE)</f>
        <v>Ground Cover</v>
      </c>
    </row>
    <row r="1278">
      <c r="A1278" s="7">
        <v>15.0</v>
      </c>
      <c r="B1278" s="7">
        <v>2025.0</v>
      </c>
      <c r="C1278" s="8">
        <v>45790.0</v>
      </c>
      <c r="D1278" s="7" t="s">
        <v>83</v>
      </c>
      <c r="E1278" s="7" t="s">
        <v>85</v>
      </c>
      <c r="F1278" s="7">
        <v>3.0</v>
      </c>
      <c r="G1278" s="7" t="s">
        <v>63</v>
      </c>
      <c r="H1278" s="7">
        <v>1.0</v>
      </c>
      <c r="I1278" s="7">
        <v>15.0</v>
      </c>
      <c r="J1278" s="7">
        <v>12.0</v>
      </c>
      <c r="K1278" s="7" t="s">
        <v>73</v>
      </c>
      <c r="L1278" s="9" t="str">
        <f>VLOOKUP(K1278, 'Alphabetical by species code'!A:B, 2, FALSE)</f>
        <v>Eriogonum fasciculatum</v>
      </c>
      <c r="M1278" s="9" t="str">
        <f>VLOOKUP(L1278, 'Alphabetical by species code'!B:C, 2, FALSE)</f>
        <v>Native</v>
      </c>
    </row>
    <row r="1279">
      <c r="A1279" s="7">
        <v>15.0</v>
      </c>
      <c r="B1279" s="7">
        <v>2025.0</v>
      </c>
      <c r="C1279" s="8">
        <v>45790.0</v>
      </c>
      <c r="D1279" s="7" t="s">
        <v>83</v>
      </c>
      <c r="E1279" s="7" t="s">
        <v>85</v>
      </c>
      <c r="F1279" s="7">
        <v>3.0</v>
      </c>
      <c r="G1279" s="7" t="s">
        <v>63</v>
      </c>
      <c r="H1279" s="7">
        <v>2.0</v>
      </c>
      <c r="I1279" s="7">
        <v>1.0</v>
      </c>
      <c r="J1279" s="7">
        <v>0.0</v>
      </c>
      <c r="K1279" s="7" t="s">
        <v>51</v>
      </c>
      <c r="L1279" s="9" t="str">
        <f>VLOOKUP(K1279, 'Alphabetical by species code'!A:B, 2, FALSE)</f>
        <v>Bareground</v>
      </c>
      <c r="M1279" s="9" t="str">
        <f>VLOOKUP(L1279, 'Alphabetical by species code'!B:C, 2, FALSE)</f>
        <v>Ground Cover</v>
      </c>
    </row>
    <row r="1280">
      <c r="A1280" s="7">
        <v>15.0</v>
      </c>
      <c r="B1280" s="7">
        <v>2025.0</v>
      </c>
      <c r="C1280" s="8">
        <v>45790.0</v>
      </c>
      <c r="D1280" s="7" t="s">
        <v>83</v>
      </c>
      <c r="E1280" s="7" t="s">
        <v>85</v>
      </c>
      <c r="F1280" s="7">
        <v>3.0</v>
      </c>
      <c r="G1280" s="7" t="s">
        <v>63</v>
      </c>
      <c r="H1280" s="7">
        <v>2.0</v>
      </c>
      <c r="I1280" s="7">
        <v>1.0</v>
      </c>
      <c r="J1280" s="7">
        <v>0.0</v>
      </c>
      <c r="K1280" s="7" t="s">
        <v>31</v>
      </c>
      <c r="L1280" s="9" t="str">
        <f>VLOOKUP(K1280, 'Alphabetical by species code'!A:B, 2, FALSE)</f>
        <v>Festuca myuros</v>
      </c>
      <c r="M1280" s="9" t="str">
        <f>VLOOKUP(L1280, 'Alphabetical by species code'!B:C, 2, FALSE)</f>
        <v>Non-Native</v>
      </c>
    </row>
    <row r="1281">
      <c r="A1281" s="7">
        <v>15.0</v>
      </c>
      <c r="B1281" s="7">
        <v>2025.0</v>
      </c>
      <c r="C1281" s="8">
        <v>45790.0</v>
      </c>
      <c r="D1281" s="7" t="s">
        <v>83</v>
      </c>
      <c r="E1281" s="7" t="s">
        <v>85</v>
      </c>
      <c r="F1281" s="7">
        <v>3.0</v>
      </c>
      <c r="G1281" s="7" t="s">
        <v>63</v>
      </c>
      <c r="H1281" s="7">
        <v>2.0</v>
      </c>
      <c r="I1281" s="7">
        <v>2.0</v>
      </c>
      <c r="J1281" s="7">
        <v>1.0</v>
      </c>
      <c r="K1281" s="7" t="s">
        <v>28</v>
      </c>
      <c r="L1281" s="9" t="str">
        <f>VLOOKUP(K1281, 'Alphabetical by species code'!A:B, 2, FALSE)</f>
        <v>Litter</v>
      </c>
      <c r="M1281" s="9" t="str">
        <f>VLOOKUP(L1281, 'Alphabetical by species code'!B:C, 2, FALSE)</f>
        <v>Ground Cover</v>
      </c>
    </row>
    <row r="1282">
      <c r="A1282" s="7">
        <v>15.0</v>
      </c>
      <c r="B1282" s="7">
        <v>2025.0</v>
      </c>
      <c r="C1282" s="8">
        <v>45790.0</v>
      </c>
      <c r="D1282" s="7" t="s">
        <v>83</v>
      </c>
      <c r="E1282" s="7" t="s">
        <v>85</v>
      </c>
      <c r="F1282" s="7">
        <v>3.0</v>
      </c>
      <c r="G1282" s="7" t="s">
        <v>63</v>
      </c>
      <c r="H1282" s="7">
        <v>2.0</v>
      </c>
      <c r="I1282" s="7">
        <v>2.0</v>
      </c>
      <c r="J1282" s="7">
        <v>1.0</v>
      </c>
      <c r="K1282" s="7" t="s">
        <v>31</v>
      </c>
      <c r="L1282" s="9" t="str">
        <f>VLOOKUP(K1282, 'Alphabetical by species code'!A:B, 2, FALSE)</f>
        <v>Festuca myuros</v>
      </c>
      <c r="M1282" s="9" t="str">
        <f>VLOOKUP(L1282, 'Alphabetical by species code'!B:C, 2, FALSE)</f>
        <v>Non-Native</v>
      </c>
    </row>
    <row r="1283">
      <c r="A1283" s="7">
        <v>15.0</v>
      </c>
      <c r="B1283" s="7">
        <v>2025.0</v>
      </c>
      <c r="C1283" s="8">
        <v>45790.0</v>
      </c>
      <c r="D1283" s="7" t="s">
        <v>83</v>
      </c>
      <c r="E1283" s="7" t="s">
        <v>85</v>
      </c>
      <c r="F1283" s="7">
        <v>3.0</v>
      </c>
      <c r="G1283" s="7" t="s">
        <v>63</v>
      </c>
      <c r="H1283" s="7">
        <v>2.0</v>
      </c>
      <c r="I1283" s="7">
        <v>3.0</v>
      </c>
      <c r="J1283" s="7">
        <v>1.5</v>
      </c>
      <c r="K1283" s="7" t="s">
        <v>28</v>
      </c>
      <c r="L1283" s="9" t="str">
        <f>VLOOKUP(K1283, 'Alphabetical by species code'!A:B, 2, FALSE)</f>
        <v>Litter</v>
      </c>
      <c r="M1283" s="9" t="str">
        <f>VLOOKUP(L1283, 'Alphabetical by species code'!B:C, 2, FALSE)</f>
        <v>Ground Cover</v>
      </c>
    </row>
    <row r="1284">
      <c r="A1284" s="7">
        <v>15.0</v>
      </c>
      <c r="B1284" s="7">
        <v>2025.0</v>
      </c>
      <c r="C1284" s="8">
        <v>45790.0</v>
      </c>
      <c r="D1284" s="7" t="s">
        <v>83</v>
      </c>
      <c r="E1284" s="7" t="s">
        <v>85</v>
      </c>
      <c r="F1284" s="7">
        <v>3.0</v>
      </c>
      <c r="G1284" s="7" t="s">
        <v>63</v>
      </c>
      <c r="H1284" s="7">
        <v>2.0</v>
      </c>
      <c r="I1284" s="7">
        <v>3.0</v>
      </c>
      <c r="J1284" s="7">
        <v>1.5</v>
      </c>
      <c r="K1284" s="7" t="s">
        <v>31</v>
      </c>
      <c r="L1284" s="9" t="str">
        <f>VLOOKUP(K1284, 'Alphabetical by species code'!A:B, 2, FALSE)</f>
        <v>Festuca myuros</v>
      </c>
      <c r="M1284" s="9" t="str">
        <f>VLOOKUP(L1284, 'Alphabetical by species code'!B:C, 2, FALSE)</f>
        <v>Non-Native</v>
      </c>
    </row>
    <row r="1285">
      <c r="A1285" s="7">
        <v>15.0</v>
      </c>
      <c r="B1285" s="7">
        <v>2025.0</v>
      </c>
      <c r="C1285" s="8">
        <v>45790.0</v>
      </c>
      <c r="D1285" s="7" t="s">
        <v>83</v>
      </c>
      <c r="E1285" s="7" t="s">
        <v>85</v>
      </c>
      <c r="F1285" s="7">
        <v>3.0</v>
      </c>
      <c r="G1285" s="7" t="s">
        <v>63</v>
      </c>
      <c r="H1285" s="7">
        <v>2.0</v>
      </c>
      <c r="I1285" s="7">
        <v>4.0</v>
      </c>
      <c r="J1285" s="7">
        <v>2.0</v>
      </c>
      <c r="K1285" s="7" t="s">
        <v>28</v>
      </c>
      <c r="L1285" s="9" t="str">
        <f>VLOOKUP(K1285, 'Alphabetical by species code'!A:B, 2, FALSE)</f>
        <v>Litter</v>
      </c>
      <c r="M1285" s="9" t="str">
        <f>VLOOKUP(L1285, 'Alphabetical by species code'!B:C, 2, FALSE)</f>
        <v>Ground Cover</v>
      </c>
    </row>
    <row r="1286">
      <c r="A1286" s="7">
        <v>15.0</v>
      </c>
      <c r="B1286" s="7">
        <v>2025.0</v>
      </c>
      <c r="C1286" s="8">
        <v>45790.0</v>
      </c>
      <c r="D1286" s="7" t="s">
        <v>83</v>
      </c>
      <c r="E1286" s="7" t="s">
        <v>85</v>
      </c>
      <c r="F1286" s="7">
        <v>3.0</v>
      </c>
      <c r="G1286" s="7" t="s">
        <v>63</v>
      </c>
      <c r="H1286" s="7">
        <v>2.0</v>
      </c>
      <c r="I1286" s="7">
        <v>4.0</v>
      </c>
      <c r="J1286" s="7">
        <v>2.0</v>
      </c>
      <c r="K1286" s="7" t="s">
        <v>32</v>
      </c>
      <c r="L1286" s="9" t="str">
        <f>VLOOKUP(K1286, 'Alphabetical by species code'!A:B, 2, FALSE)</f>
        <v>Medicago polymorpha</v>
      </c>
      <c r="M1286" s="9" t="str">
        <f>VLOOKUP(L1286, 'Alphabetical by species code'!B:C, 2, FALSE)</f>
        <v>Non-Native</v>
      </c>
    </row>
    <row r="1287">
      <c r="A1287" s="7">
        <v>15.0</v>
      </c>
      <c r="B1287" s="7">
        <v>2025.0</v>
      </c>
      <c r="C1287" s="8">
        <v>45790.0</v>
      </c>
      <c r="D1287" s="7" t="s">
        <v>83</v>
      </c>
      <c r="E1287" s="7" t="s">
        <v>85</v>
      </c>
      <c r="F1287" s="7">
        <v>3.0</v>
      </c>
      <c r="G1287" s="7" t="s">
        <v>63</v>
      </c>
      <c r="H1287" s="7">
        <v>2.0</v>
      </c>
      <c r="I1287" s="7">
        <v>4.0</v>
      </c>
      <c r="J1287" s="7">
        <v>2.0</v>
      </c>
      <c r="K1287" s="7" t="s">
        <v>31</v>
      </c>
      <c r="L1287" s="9" t="str">
        <f>VLOOKUP(K1287, 'Alphabetical by species code'!A:B, 2, FALSE)</f>
        <v>Festuca myuros</v>
      </c>
      <c r="M1287" s="9" t="str">
        <f>VLOOKUP(L1287, 'Alphabetical by species code'!B:C, 2, FALSE)</f>
        <v>Non-Native</v>
      </c>
    </row>
    <row r="1288">
      <c r="A1288" s="7">
        <v>15.0</v>
      </c>
      <c r="B1288" s="7">
        <v>2025.0</v>
      </c>
      <c r="C1288" s="8">
        <v>45790.0</v>
      </c>
      <c r="D1288" s="7" t="s">
        <v>83</v>
      </c>
      <c r="E1288" s="7" t="s">
        <v>85</v>
      </c>
      <c r="F1288" s="7">
        <v>3.0</v>
      </c>
      <c r="G1288" s="7" t="s">
        <v>63</v>
      </c>
      <c r="H1288" s="7">
        <v>2.0</v>
      </c>
      <c r="I1288" s="7">
        <v>4.0</v>
      </c>
      <c r="J1288" s="7">
        <v>2.0</v>
      </c>
      <c r="K1288" s="7" t="s">
        <v>36</v>
      </c>
      <c r="L1288" s="9" t="str">
        <f>VLOOKUP(K1288, 'Alphabetical by species code'!A:B, 2, FALSE)</f>
        <v>Bromus madritensis</v>
      </c>
      <c r="M1288" s="9" t="str">
        <f>VLOOKUP(L1288, 'Alphabetical by species code'!B:C, 2, FALSE)</f>
        <v>Non-Native</v>
      </c>
    </row>
    <row r="1289">
      <c r="A1289" s="7">
        <v>15.0</v>
      </c>
      <c r="B1289" s="7">
        <v>2025.0</v>
      </c>
      <c r="C1289" s="8">
        <v>45790.0</v>
      </c>
      <c r="D1289" s="7" t="s">
        <v>83</v>
      </c>
      <c r="E1289" s="7" t="s">
        <v>85</v>
      </c>
      <c r="F1289" s="7">
        <v>3.0</v>
      </c>
      <c r="G1289" s="7" t="s">
        <v>63</v>
      </c>
      <c r="H1289" s="7">
        <v>2.0</v>
      </c>
      <c r="I1289" s="7">
        <v>5.0</v>
      </c>
      <c r="J1289" s="7">
        <v>3.0</v>
      </c>
      <c r="K1289" s="7" t="s">
        <v>28</v>
      </c>
      <c r="L1289" s="9" t="str">
        <f>VLOOKUP(K1289, 'Alphabetical by species code'!A:B, 2, FALSE)</f>
        <v>Litter</v>
      </c>
      <c r="M1289" s="9" t="str">
        <f>VLOOKUP(L1289, 'Alphabetical by species code'!B:C, 2, FALSE)</f>
        <v>Ground Cover</v>
      </c>
    </row>
    <row r="1290">
      <c r="A1290" s="7">
        <v>15.0</v>
      </c>
      <c r="B1290" s="7">
        <v>2025.0</v>
      </c>
      <c r="C1290" s="8">
        <v>45790.0</v>
      </c>
      <c r="D1290" s="7" t="s">
        <v>83</v>
      </c>
      <c r="E1290" s="7" t="s">
        <v>85</v>
      </c>
      <c r="F1290" s="7">
        <v>3.0</v>
      </c>
      <c r="G1290" s="7" t="s">
        <v>63</v>
      </c>
      <c r="H1290" s="7">
        <v>2.0</v>
      </c>
      <c r="I1290" s="7">
        <v>5.0</v>
      </c>
      <c r="J1290" s="7">
        <v>3.0</v>
      </c>
      <c r="K1290" s="7" t="s">
        <v>31</v>
      </c>
      <c r="L1290" s="9" t="str">
        <f>VLOOKUP(K1290, 'Alphabetical by species code'!A:B, 2, FALSE)</f>
        <v>Festuca myuros</v>
      </c>
      <c r="M1290" s="9" t="str">
        <f>VLOOKUP(L1290, 'Alphabetical by species code'!B:C, 2, FALSE)</f>
        <v>Non-Native</v>
      </c>
    </row>
    <row r="1291">
      <c r="A1291" s="7">
        <v>15.0</v>
      </c>
      <c r="B1291" s="7">
        <v>2025.0</v>
      </c>
      <c r="C1291" s="8">
        <v>45790.0</v>
      </c>
      <c r="D1291" s="7" t="s">
        <v>83</v>
      </c>
      <c r="E1291" s="7" t="s">
        <v>85</v>
      </c>
      <c r="F1291" s="7">
        <v>3.0</v>
      </c>
      <c r="G1291" s="7" t="s">
        <v>63</v>
      </c>
      <c r="H1291" s="7">
        <v>2.0</v>
      </c>
      <c r="I1291" s="7">
        <v>6.0</v>
      </c>
      <c r="J1291" s="7">
        <v>3.5</v>
      </c>
      <c r="K1291" s="7" t="s">
        <v>51</v>
      </c>
      <c r="L1291" s="9" t="str">
        <f>VLOOKUP(K1291, 'Alphabetical by species code'!A:B, 2, FALSE)</f>
        <v>Bareground</v>
      </c>
      <c r="M1291" s="9" t="str">
        <f>VLOOKUP(L1291, 'Alphabetical by species code'!B:C, 2, FALSE)</f>
        <v>Ground Cover</v>
      </c>
    </row>
    <row r="1292">
      <c r="A1292" s="7">
        <v>15.0</v>
      </c>
      <c r="B1292" s="7">
        <v>2025.0</v>
      </c>
      <c r="C1292" s="8">
        <v>45790.0</v>
      </c>
      <c r="D1292" s="7" t="s">
        <v>83</v>
      </c>
      <c r="E1292" s="7" t="s">
        <v>85</v>
      </c>
      <c r="F1292" s="7">
        <v>3.0</v>
      </c>
      <c r="G1292" s="7" t="s">
        <v>63</v>
      </c>
      <c r="H1292" s="7">
        <v>2.0</v>
      </c>
      <c r="I1292" s="7">
        <v>6.0</v>
      </c>
      <c r="J1292" s="7">
        <v>3.5</v>
      </c>
      <c r="K1292" s="7" t="s">
        <v>31</v>
      </c>
      <c r="L1292" s="9" t="str">
        <f>VLOOKUP(K1292, 'Alphabetical by species code'!A:B, 2, FALSE)</f>
        <v>Festuca myuros</v>
      </c>
      <c r="M1292" s="9" t="str">
        <f>VLOOKUP(L1292, 'Alphabetical by species code'!B:C, 2, FALSE)</f>
        <v>Non-Native</v>
      </c>
    </row>
    <row r="1293">
      <c r="A1293" s="7">
        <v>15.0</v>
      </c>
      <c r="B1293" s="7">
        <v>2025.0</v>
      </c>
      <c r="C1293" s="8">
        <v>45790.0</v>
      </c>
      <c r="D1293" s="7" t="s">
        <v>83</v>
      </c>
      <c r="E1293" s="7" t="s">
        <v>85</v>
      </c>
      <c r="F1293" s="7">
        <v>3.0</v>
      </c>
      <c r="G1293" s="7" t="s">
        <v>63</v>
      </c>
      <c r="H1293" s="7">
        <v>2.0</v>
      </c>
      <c r="I1293" s="7">
        <v>7.0</v>
      </c>
      <c r="J1293" s="7">
        <v>4.0</v>
      </c>
      <c r="K1293" s="7" t="s">
        <v>28</v>
      </c>
      <c r="L1293" s="9" t="str">
        <f>VLOOKUP(K1293, 'Alphabetical by species code'!A:B, 2, FALSE)</f>
        <v>Litter</v>
      </c>
      <c r="M1293" s="9" t="str">
        <f>VLOOKUP(L1293, 'Alphabetical by species code'!B:C, 2, FALSE)</f>
        <v>Ground Cover</v>
      </c>
    </row>
    <row r="1294">
      <c r="A1294" s="7">
        <v>15.0</v>
      </c>
      <c r="B1294" s="7">
        <v>2025.0</v>
      </c>
      <c r="C1294" s="8">
        <v>45790.0</v>
      </c>
      <c r="D1294" s="7" t="s">
        <v>83</v>
      </c>
      <c r="E1294" s="7" t="s">
        <v>85</v>
      </c>
      <c r="F1294" s="7">
        <v>3.0</v>
      </c>
      <c r="G1294" s="7" t="s">
        <v>63</v>
      </c>
      <c r="H1294" s="7">
        <v>2.0</v>
      </c>
      <c r="I1294" s="7">
        <v>7.0</v>
      </c>
      <c r="J1294" s="7">
        <v>4.0</v>
      </c>
      <c r="K1294" s="7" t="s">
        <v>32</v>
      </c>
      <c r="L1294" s="9" t="str">
        <f>VLOOKUP(K1294, 'Alphabetical by species code'!A:B, 2, FALSE)</f>
        <v>Medicago polymorpha</v>
      </c>
      <c r="M1294" s="9" t="str">
        <f>VLOOKUP(L1294, 'Alphabetical by species code'!B:C, 2, FALSE)</f>
        <v>Non-Native</v>
      </c>
    </row>
    <row r="1295">
      <c r="A1295" s="7">
        <v>15.0</v>
      </c>
      <c r="B1295" s="7">
        <v>2025.0</v>
      </c>
      <c r="C1295" s="8">
        <v>45790.0</v>
      </c>
      <c r="D1295" s="7" t="s">
        <v>83</v>
      </c>
      <c r="E1295" s="7" t="s">
        <v>85</v>
      </c>
      <c r="F1295" s="7">
        <v>3.0</v>
      </c>
      <c r="G1295" s="7" t="s">
        <v>63</v>
      </c>
      <c r="H1295" s="7">
        <v>2.0</v>
      </c>
      <c r="I1295" s="7">
        <v>7.0</v>
      </c>
      <c r="J1295" s="7">
        <v>4.0</v>
      </c>
      <c r="K1295" s="7" t="s">
        <v>31</v>
      </c>
      <c r="L1295" s="9" t="str">
        <f>VLOOKUP(K1295, 'Alphabetical by species code'!A:B, 2, FALSE)</f>
        <v>Festuca myuros</v>
      </c>
      <c r="M1295" s="9" t="str">
        <f>VLOOKUP(L1295, 'Alphabetical by species code'!B:C, 2, FALSE)</f>
        <v>Non-Native</v>
      </c>
    </row>
    <row r="1296">
      <c r="A1296" s="7">
        <v>15.0</v>
      </c>
      <c r="B1296" s="7">
        <v>2025.0</v>
      </c>
      <c r="C1296" s="8">
        <v>45790.0</v>
      </c>
      <c r="D1296" s="7" t="s">
        <v>83</v>
      </c>
      <c r="E1296" s="7" t="s">
        <v>85</v>
      </c>
      <c r="F1296" s="7">
        <v>3.0</v>
      </c>
      <c r="G1296" s="7" t="s">
        <v>63</v>
      </c>
      <c r="H1296" s="7">
        <v>2.0</v>
      </c>
      <c r="I1296" s="7">
        <v>8.0</v>
      </c>
      <c r="J1296" s="7">
        <v>5.0</v>
      </c>
      <c r="K1296" s="7" t="s">
        <v>51</v>
      </c>
      <c r="L1296" s="9" t="str">
        <f>VLOOKUP(K1296, 'Alphabetical by species code'!A:B, 2, FALSE)</f>
        <v>Bareground</v>
      </c>
      <c r="M1296" s="9" t="str">
        <f>VLOOKUP(L1296, 'Alphabetical by species code'!B:C, 2, FALSE)</f>
        <v>Ground Cover</v>
      </c>
    </row>
    <row r="1297">
      <c r="A1297" s="7">
        <v>15.0</v>
      </c>
      <c r="B1297" s="7">
        <v>2025.0</v>
      </c>
      <c r="C1297" s="8">
        <v>45790.0</v>
      </c>
      <c r="D1297" s="7" t="s">
        <v>83</v>
      </c>
      <c r="E1297" s="7" t="s">
        <v>85</v>
      </c>
      <c r="F1297" s="7">
        <v>3.0</v>
      </c>
      <c r="G1297" s="7" t="s">
        <v>63</v>
      </c>
      <c r="H1297" s="7">
        <v>2.0</v>
      </c>
      <c r="I1297" s="7">
        <v>8.0</v>
      </c>
      <c r="J1297" s="7">
        <v>5.0</v>
      </c>
      <c r="K1297" s="7" t="s">
        <v>32</v>
      </c>
      <c r="L1297" s="9" t="str">
        <f>VLOOKUP(K1297, 'Alphabetical by species code'!A:B, 2, FALSE)</f>
        <v>Medicago polymorpha</v>
      </c>
      <c r="M1297" s="9" t="str">
        <f>VLOOKUP(L1297, 'Alphabetical by species code'!B:C, 2, FALSE)</f>
        <v>Non-Native</v>
      </c>
    </row>
    <row r="1298">
      <c r="A1298" s="7">
        <v>15.0</v>
      </c>
      <c r="B1298" s="7">
        <v>2025.0</v>
      </c>
      <c r="C1298" s="8">
        <v>45790.0</v>
      </c>
      <c r="D1298" s="7" t="s">
        <v>83</v>
      </c>
      <c r="E1298" s="7" t="s">
        <v>85</v>
      </c>
      <c r="F1298" s="7">
        <v>3.0</v>
      </c>
      <c r="G1298" s="7" t="s">
        <v>63</v>
      </c>
      <c r="H1298" s="7">
        <v>2.0</v>
      </c>
      <c r="I1298" s="7">
        <v>8.0</v>
      </c>
      <c r="J1298" s="7">
        <v>5.0</v>
      </c>
      <c r="K1298" s="7" t="s">
        <v>31</v>
      </c>
      <c r="L1298" s="9" t="str">
        <f>VLOOKUP(K1298, 'Alphabetical by species code'!A:B, 2, FALSE)</f>
        <v>Festuca myuros</v>
      </c>
      <c r="M1298" s="9" t="str">
        <f>VLOOKUP(L1298, 'Alphabetical by species code'!B:C, 2, FALSE)</f>
        <v>Non-Native</v>
      </c>
    </row>
    <row r="1299">
      <c r="A1299" s="7">
        <v>15.0</v>
      </c>
      <c r="B1299" s="7">
        <v>2025.0</v>
      </c>
      <c r="C1299" s="8">
        <v>45790.0</v>
      </c>
      <c r="D1299" s="7" t="s">
        <v>83</v>
      </c>
      <c r="E1299" s="7" t="s">
        <v>85</v>
      </c>
      <c r="F1299" s="7">
        <v>3.0</v>
      </c>
      <c r="G1299" s="7" t="s">
        <v>63</v>
      </c>
      <c r="H1299" s="7">
        <v>2.0</v>
      </c>
      <c r="I1299" s="7">
        <v>9.0</v>
      </c>
      <c r="J1299" s="7">
        <v>7.0</v>
      </c>
      <c r="K1299" s="7" t="s">
        <v>28</v>
      </c>
      <c r="L1299" s="9" t="str">
        <f>VLOOKUP(K1299, 'Alphabetical by species code'!A:B, 2, FALSE)</f>
        <v>Litter</v>
      </c>
      <c r="M1299" s="9" t="str">
        <f>VLOOKUP(L1299, 'Alphabetical by species code'!B:C, 2, FALSE)</f>
        <v>Ground Cover</v>
      </c>
    </row>
    <row r="1300">
      <c r="A1300" s="7">
        <v>15.0</v>
      </c>
      <c r="B1300" s="7">
        <v>2025.0</v>
      </c>
      <c r="C1300" s="8">
        <v>45790.0</v>
      </c>
      <c r="D1300" s="7" t="s">
        <v>83</v>
      </c>
      <c r="E1300" s="7" t="s">
        <v>85</v>
      </c>
      <c r="F1300" s="7">
        <v>3.0</v>
      </c>
      <c r="G1300" s="7" t="s">
        <v>63</v>
      </c>
      <c r="H1300" s="7">
        <v>2.0</v>
      </c>
      <c r="I1300" s="7">
        <v>9.0</v>
      </c>
      <c r="J1300" s="7">
        <v>7.0</v>
      </c>
      <c r="K1300" s="7" t="s">
        <v>32</v>
      </c>
      <c r="L1300" s="9" t="str">
        <f>VLOOKUP(K1300, 'Alphabetical by species code'!A:B, 2, FALSE)</f>
        <v>Medicago polymorpha</v>
      </c>
      <c r="M1300" s="9" t="str">
        <f>VLOOKUP(L1300, 'Alphabetical by species code'!B:C, 2, FALSE)</f>
        <v>Non-Native</v>
      </c>
    </row>
    <row r="1301">
      <c r="A1301" s="7">
        <v>15.0</v>
      </c>
      <c r="B1301" s="7">
        <v>2025.0</v>
      </c>
      <c r="C1301" s="8">
        <v>45790.0</v>
      </c>
      <c r="D1301" s="7" t="s">
        <v>83</v>
      </c>
      <c r="E1301" s="7" t="s">
        <v>85</v>
      </c>
      <c r="F1301" s="7">
        <v>3.0</v>
      </c>
      <c r="G1301" s="7" t="s">
        <v>63</v>
      </c>
      <c r="H1301" s="7">
        <v>2.0</v>
      </c>
      <c r="I1301" s="7">
        <v>9.0</v>
      </c>
      <c r="J1301" s="7">
        <v>7.0</v>
      </c>
      <c r="K1301" s="7" t="s">
        <v>31</v>
      </c>
      <c r="L1301" s="9" t="str">
        <f>VLOOKUP(K1301, 'Alphabetical by species code'!A:B, 2, FALSE)</f>
        <v>Festuca myuros</v>
      </c>
      <c r="M1301" s="9" t="str">
        <f>VLOOKUP(L1301, 'Alphabetical by species code'!B:C, 2, FALSE)</f>
        <v>Non-Native</v>
      </c>
    </row>
    <row r="1302">
      <c r="A1302" s="7">
        <v>15.0</v>
      </c>
      <c r="B1302" s="7">
        <v>2025.0</v>
      </c>
      <c r="C1302" s="8">
        <v>45790.0</v>
      </c>
      <c r="D1302" s="7" t="s">
        <v>83</v>
      </c>
      <c r="E1302" s="7" t="s">
        <v>85</v>
      </c>
      <c r="F1302" s="7">
        <v>3.0</v>
      </c>
      <c r="G1302" s="7" t="s">
        <v>63</v>
      </c>
      <c r="H1302" s="7">
        <v>2.0</v>
      </c>
      <c r="I1302" s="7">
        <v>9.0</v>
      </c>
      <c r="J1302" s="7">
        <v>7.0</v>
      </c>
      <c r="K1302" s="7" t="s">
        <v>44</v>
      </c>
      <c r="L1302" s="9" t="str">
        <f>VLOOKUP(K1302, 'Alphabetical by species code'!A:B, 2, FALSE)</f>
        <v>Amsinckia menziesii</v>
      </c>
      <c r="M1302" s="9" t="str">
        <f>VLOOKUP(L1302, 'Alphabetical by species code'!B:C, 2, FALSE)</f>
        <v>Native</v>
      </c>
    </row>
    <row r="1303">
      <c r="A1303" s="7">
        <v>15.0</v>
      </c>
      <c r="B1303" s="7">
        <v>2025.0</v>
      </c>
      <c r="C1303" s="8">
        <v>45790.0</v>
      </c>
      <c r="D1303" s="7" t="s">
        <v>83</v>
      </c>
      <c r="E1303" s="7" t="s">
        <v>85</v>
      </c>
      <c r="F1303" s="7">
        <v>3.0</v>
      </c>
      <c r="G1303" s="7" t="s">
        <v>63</v>
      </c>
      <c r="H1303" s="7">
        <v>2.0</v>
      </c>
      <c r="I1303" s="7">
        <v>10.0</v>
      </c>
      <c r="J1303" s="7">
        <v>8.0</v>
      </c>
      <c r="K1303" s="7" t="s">
        <v>28</v>
      </c>
      <c r="L1303" s="9" t="str">
        <f>VLOOKUP(K1303, 'Alphabetical by species code'!A:B, 2, FALSE)</f>
        <v>Litter</v>
      </c>
      <c r="M1303" s="9" t="str">
        <f>VLOOKUP(L1303, 'Alphabetical by species code'!B:C, 2, FALSE)</f>
        <v>Ground Cover</v>
      </c>
    </row>
    <row r="1304">
      <c r="A1304" s="7">
        <v>15.0</v>
      </c>
      <c r="B1304" s="7">
        <v>2025.0</v>
      </c>
      <c r="C1304" s="8">
        <v>45790.0</v>
      </c>
      <c r="D1304" s="7" t="s">
        <v>83</v>
      </c>
      <c r="E1304" s="7" t="s">
        <v>85</v>
      </c>
      <c r="F1304" s="7">
        <v>3.0</v>
      </c>
      <c r="G1304" s="7" t="s">
        <v>63</v>
      </c>
      <c r="H1304" s="7">
        <v>2.0</v>
      </c>
      <c r="I1304" s="7">
        <v>10.0</v>
      </c>
      <c r="J1304" s="7">
        <v>8.0</v>
      </c>
      <c r="K1304" s="7" t="s">
        <v>36</v>
      </c>
      <c r="L1304" s="9" t="str">
        <f>VLOOKUP(K1304, 'Alphabetical by species code'!A:B, 2, FALSE)</f>
        <v>Bromus madritensis</v>
      </c>
      <c r="M1304" s="9" t="str">
        <f>VLOOKUP(L1304, 'Alphabetical by species code'!B:C, 2, FALSE)</f>
        <v>Non-Native</v>
      </c>
    </row>
    <row r="1305">
      <c r="A1305" s="7">
        <v>15.0</v>
      </c>
      <c r="B1305" s="7">
        <v>2025.0</v>
      </c>
      <c r="C1305" s="8">
        <v>45790.0</v>
      </c>
      <c r="D1305" s="7" t="s">
        <v>83</v>
      </c>
      <c r="E1305" s="7" t="s">
        <v>85</v>
      </c>
      <c r="F1305" s="7">
        <v>3.0</v>
      </c>
      <c r="G1305" s="7" t="s">
        <v>63</v>
      </c>
      <c r="H1305" s="7">
        <v>2.0</v>
      </c>
      <c r="I1305" s="7">
        <v>10.0</v>
      </c>
      <c r="J1305" s="7">
        <v>8.0</v>
      </c>
      <c r="K1305" s="7" t="s">
        <v>31</v>
      </c>
      <c r="L1305" s="9" t="str">
        <f>VLOOKUP(K1305, 'Alphabetical by species code'!A:B, 2, FALSE)</f>
        <v>Festuca myuros</v>
      </c>
      <c r="M1305" s="9" t="str">
        <f>VLOOKUP(L1305, 'Alphabetical by species code'!B:C, 2, FALSE)</f>
        <v>Non-Native</v>
      </c>
    </row>
    <row r="1306">
      <c r="A1306" s="7">
        <v>15.0</v>
      </c>
      <c r="B1306" s="7">
        <v>2025.0</v>
      </c>
      <c r="C1306" s="8">
        <v>45790.0</v>
      </c>
      <c r="D1306" s="7" t="s">
        <v>83</v>
      </c>
      <c r="E1306" s="7" t="s">
        <v>85</v>
      </c>
      <c r="F1306" s="7">
        <v>3.0</v>
      </c>
      <c r="G1306" s="7" t="s">
        <v>63</v>
      </c>
      <c r="H1306" s="7">
        <v>2.0</v>
      </c>
      <c r="I1306" s="7">
        <v>11.0</v>
      </c>
      <c r="J1306" s="7">
        <v>8.5</v>
      </c>
      <c r="K1306" s="7" t="s">
        <v>28</v>
      </c>
      <c r="L1306" s="9" t="str">
        <f>VLOOKUP(K1306, 'Alphabetical by species code'!A:B, 2, FALSE)</f>
        <v>Litter</v>
      </c>
      <c r="M1306" s="9" t="str">
        <f>VLOOKUP(L1306, 'Alphabetical by species code'!B:C, 2, FALSE)</f>
        <v>Ground Cover</v>
      </c>
    </row>
    <row r="1307">
      <c r="A1307" s="7">
        <v>15.0</v>
      </c>
      <c r="B1307" s="7">
        <v>2025.0</v>
      </c>
      <c r="C1307" s="8">
        <v>45790.0</v>
      </c>
      <c r="D1307" s="7" t="s">
        <v>83</v>
      </c>
      <c r="E1307" s="7" t="s">
        <v>85</v>
      </c>
      <c r="F1307" s="7">
        <v>3.0</v>
      </c>
      <c r="G1307" s="7" t="s">
        <v>63</v>
      </c>
      <c r="H1307" s="7">
        <v>2.0</v>
      </c>
      <c r="I1307" s="7">
        <v>11.0</v>
      </c>
      <c r="J1307" s="7">
        <v>8.5</v>
      </c>
      <c r="K1307" s="7" t="s">
        <v>31</v>
      </c>
      <c r="L1307" s="9" t="str">
        <f>VLOOKUP(K1307, 'Alphabetical by species code'!A:B, 2, FALSE)</f>
        <v>Festuca myuros</v>
      </c>
      <c r="M1307" s="9" t="str">
        <f>VLOOKUP(L1307, 'Alphabetical by species code'!B:C, 2, FALSE)</f>
        <v>Non-Native</v>
      </c>
    </row>
    <row r="1308">
      <c r="A1308" s="7">
        <v>15.0</v>
      </c>
      <c r="B1308" s="7">
        <v>2025.0</v>
      </c>
      <c r="C1308" s="8">
        <v>45790.0</v>
      </c>
      <c r="D1308" s="7" t="s">
        <v>83</v>
      </c>
      <c r="E1308" s="7" t="s">
        <v>85</v>
      </c>
      <c r="F1308" s="7">
        <v>3.0</v>
      </c>
      <c r="G1308" s="7" t="s">
        <v>63</v>
      </c>
      <c r="H1308" s="7">
        <v>2.0</v>
      </c>
      <c r="I1308" s="7">
        <v>12.0</v>
      </c>
      <c r="J1308" s="7">
        <v>9.0</v>
      </c>
      <c r="K1308" s="7" t="s">
        <v>28</v>
      </c>
      <c r="L1308" s="9" t="str">
        <f>VLOOKUP(K1308, 'Alphabetical by species code'!A:B, 2, FALSE)</f>
        <v>Litter</v>
      </c>
      <c r="M1308" s="9" t="str">
        <f>VLOOKUP(L1308, 'Alphabetical by species code'!B:C, 2, FALSE)</f>
        <v>Ground Cover</v>
      </c>
    </row>
    <row r="1309">
      <c r="A1309" s="7">
        <v>15.0</v>
      </c>
      <c r="B1309" s="7">
        <v>2025.0</v>
      </c>
      <c r="C1309" s="8">
        <v>45790.0</v>
      </c>
      <c r="D1309" s="7" t="s">
        <v>83</v>
      </c>
      <c r="E1309" s="7" t="s">
        <v>85</v>
      </c>
      <c r="F1309" s="7">
        <v>3.0</v>
      </c>
      <c r="G1309" s="7" t="s">
        <v>63</v>
      </c>
      <c r="H1309" s="7">
        <v>2.0</v>
      </c>
      <c r="I1309" s="7">
        <v>12.0</v>
      </c>
      <c r="J1309" s="7">
        <v>9.0</v>
      </c>
      <c r="K1309" s="7" t="s">
        <v>31</v>
      </c>
      <c r="L1309" s="9" t="str">
        <f>VLOOKUP(K1309, 'Alphabetical by species code'!A:B, 2, FALSE)</f>
        <v>Festuca myuros</v>
      </c>
      <c r="M1309" s="9" t="str">
        <f>VLOOKUP(L1309, 'Alphabetical by species code'!B:C, 2, FALSE)</f>
        <v>Non-Native</v>
      </c>
    </row>
    <row r="1310">
      <c r="A1310" s="7">
        <v>15.0</v>
      </c>
      <c r="B1310" s="7">
        <v>2025.0</v>
      </c>
      <c r="C1310" s="8">
        <v>45790.0</v>
      </c>
      <c r="D1310" s="7" t="s">
        <v>83</v>
      </c>
      <c r="E1310" s="7" t="s">
        <v>85</v>
      </c>
      <c r="F1310" s="7">
        <v>3.0</v>
      </c>
      <c r="G1310" s="7" t="s">
        <v>63</v>
      </c>
      <c r="H1310" s="7">
        <v>2.0</v>
      </c>
      <c r="I1310" s="7">
        <v>13.0</v>
      </c>
      <c r="J1310" s="7">
        <v>10.0</v>
      </c>
      <c r="K1310" s="7" t="s">
        <v>51</v>
      </c>
      <c r="L1310" s="9" t="str">
        <f>VLOOKUP(K1310, 'Alphabetical by species code'!A:B, 2, FALSE)</f>
        <v>Bareground</v>
      </c>
      <c r="M1310" s="9" t="str">
        <f>VLOOKUP(L1310, 'Alphabetical by species code'!B:C, 2, FALSE)</f>
        <v>Ground Cover</v>
      </c>
    </row>
    <row r="1311">
      <c r="A1311" s="7">
        <v>15.0</v>
      </c>
      <c r="B1311" s="7">
        <v>2025.0</v>
      </c>
      <c r="C1311" s="8">
        <v>45790.0</v>
      </c>
      <c r="D1311" s="7" t="s">
        <v>83</v>
      </c>
      <c r="E1311" s="7" t="s">
        <v>85</v>
      </c>
      <c r="F1311" s="7">
        <v>3.0</v>
      </c>
      <c r="G1311" s="7" t="s">
        <v>63</v>
      </c>
      <c r="H1311" s="7">
        <v>2.0</v>
      </c>
      <c r="I1311" s="7">
        <v>13.0</v>
      </c>
      <c r="J1311" s="7">
        <v>10.0</v>
      </c>
      <c r="K1311" s="7" t="s">
        <v>32</v>
      </c>
      <c r="L1311" s="9" t="str">
        <f>VLOOKUP(K1311, 'Alphabetical by species code'!A:B, 2, FALSE)</f>
        <v>Medicago polymorpha</v>
      </c>
      <c r="M1311" s="9" t="str">
        <f>VLOOKUP(L1311, 'Alphabetical by species code'!B:C, 2, FALSE)</f>
        <v>Non-Native</v>
      </c>
    </row>
    <row r="1312">
      <c r="A1312" s="7">
        <v>15.0</v>
      </c>
      <c r="B1312" s="7">
        <v>2025.0</v>
      </c>
      <c r="C1312" s="8">
        <v>45790.0</v>
      </c>
      <c r="D1312" s="7" t="s">
        <v>83</v>
      </c>
      <c r="E1312" s="7" t="s">
        <v>85</v>
      </c>
      <c r="F1312" s="7">
        <v>3.0</v>
      </c>
      <c r="G1312" s="7" t="s">
        <v>63</v>
      </c>
      <c r="H1312" s="7">
        <v>2.0</v>
      </c>
      <c r="I1312" s="7">
        <v>13.0</v>
      </c>
      <c r="J1312" s="7">
        <v>10.0</v>
      </c>
      <c r="K1312" s="7" t="s">
        <v>31</v>
      </c>
      <c r="L1312" s="9" t="str">
        <f>VLOOKUP(K1312, 'Alphabetical by species code'!A:B, 2, FALSE)</f>
        <v>Festuca myuros</v>
      </c>
      <c r="M1312" s="9" t="str">
        <f>VLOOKUP(L1312, 'Alphabetical by species code'!B:C, 2, FALSE)</f>
        <v>Non-Native</v>
      </c>
    </row>
    <row r="1313">
      <c r="A1313" s="7">
        <v>15.0</v>
      </c>
      <c r="B1313" s="7">
        <v>2025.0</v>
      </c>
      <c r="C1313" s="8">
        <v>45790.0</v>
      </c>
      <c r="D1313" s="7" t="s">
        <v>83</v>
      </c>
      <c r="E1313" s="7" t="s">
        <v>85</v>
      </c>
      <c r="F1313" s="7">
        <v>3.0</v>
      </c>
      <c r="G1313" s="7" t="s">
        <v>63</v>
      </c>
      <c r="H1313" s="7">
        <v>2.0</v>
      </c>
      <c r="I1313" s="7">
        <v>14.0</v>
      </c>
      <c r="J1313" s="7">
        <v>11.0</v>
      </c>
      <c r="K1313" s="7" t="s">
        <v>51</v>
      </c>
      <c r="L1313" s="9" t="str">
        <f>VLOOKUP(K1313, 'Alphabetical by species code'!A:B, 2, FALSE)</f>
        <v>Bareground</v>
      </c>
      <c r="M1313" s="9" t="str">
        <f>VLOOKUP(L1313, 'Alphabetical by species code'!B:C, 2, FALSE)</f>
        <v>Ground Cover</v>
      </c>
    </row>
    <row r="1314">
      <c r="A1314" s="7">
        <v>15.0</v>
      </c>
      <c r="B1314" s="7">
        <v>2025.0</v>
      </c>
      <c r="C1314" s="8">
        <v>45790.0</v>
      </c>
      <c r="D1314" s="7" t="s">
        <v>83</v>
      </c>
      <c r="E1314" s="7" t="s">
        <v>85</v>
      </c>
      <c r="F1314" s="7">
        <v>3.0</v>
      </c>
      <c r="G1314" s="7" t="s">
        <v>63</v>
      </c>
      <c r="H1314" s="7">
        <v>2.0</v>
      </c>
      <c r="I1314" s="7">
        <v>14.0</v>
      </c>
      <c r="J1314" s="7">
        <v>11.0</v>
      </c>
      <c r="K1314" s="7" t="s">
        <v>31</v>
      </c>
      <c r="L1314" s="9" t="str">
        <f>VLOOKUP(K1314, 'Alphabetical by species code'!A:B, 2, FALSE)</f>
        <v>Festuca myuros</v>
      </c>
      <c r="M1314" s="9" t="str">
        <f>VLOOKUP(L1314, 'Alphabetical by species code'!B:C, 2, FALSE)</f>
        <v>Non-Native</v>
      </c>
    </row>
    <row r="1315">
      <c r="A1315" s="7">
        <v>15.0</v>
      </c>
      <c r="B1315" s="7">
        <v>2025.0</v>
      </c>
      <c r="C1315" s="8">
        <v>45790.0</v>
      </c>
      <c r="D1315" s="7" t="s">
        <v>83</v>
      </c>
      <c r="E1315" s="7" t="s">
        <v>85</v>
      </c>
      <c r="F1315" s="7">
        <v>3.0</v>
      </c>
      <c r="G1315" s="7" t="s">
        <v>63</v>
      </c>
      <c r="H1315" s="7">
        <v>2.0</v>
      </c>
      <c r="I1315" s="7">
        <v>15.0</v>
      </c>
      <c r="J1315" s="7">
        <v>12.0</v>
      </c>
      <c r="K1315" s="7" t="s">
        <v>28</v>
      </c>
      <c r="L1315" s="9" t="str">
        <f>VLOOKUP(K1315, 'Alphabetical by species code'!A:B, 2, FALSE)</f>
        <v>Litter</v>
      </c>
      <c r="M1315" s="9" t="str">
        <f>VLOOKUP(L1315, 'Alphabetical by species code'!B:C, 2, FALSE)</f>
        <v>Ground Cover</v>
      </c>
    </row>
    <row r="1316">
      <c r="A1316" s="7">
        <v>15.0</v>
      </c>
      <c r="B1316" s="7">
        <v>2025.0</v>
      </c>
      <c r="C1316" s="8">
        <v>45790.0</v>
      </c>
      <c r="D1316" s="7" t="s">
        <v>83</v>
      </c>
      <c r="E1316" s="7" t="s">
        <v>85</v>
      </c>
      <c r="F1316" s="7">
        <v>3.0</v>
      </c>
      <c r="G1316" s="7" t="s">
        <v>63</v>
      </c>
      <c r="H1316" s="7">
        <v>2.0</v>
      </c>
      <c r="I1316" s="7">
        <v>15.0</v>
      </c>
      <c r="J1316" s="7">
        <v>12.0</v>
      </c>
      <c r="K1316" s="7" t="s">
        <v>32</v>
      </c>
      <c r="L1316" s="9" t="str">
        <f>VLOOKUP(K1316, 'Alphabetical by species code'!A:B, 2, FALSE)</f>
        <v>Medicago polymorpha</v>
      </c>
      <c r="M1316" s="9" t="str">
        <f>VLOOKUP(L1316, 'Alphabetical by species code'!B:C, 2, FALSE)</f>
        <v>Non-Native</v>
      </c>
    </row>
    <row r="1317">
      <c r="A1317" s="7">
        <v>15.0</v>
      </c>
      <c r="B1317" s="7">
        <v>2025.0</v>
      </c>
      <c r="C1317" s="8">
        <v>45790.0</v>
      </c>
      <c r="D1317" s="7" t="s">
        <v>83</v>
      </c>
      <c r="E1317" s="7" t="s">
        <v>85</v>
      </c>
      <c r="F1317" s="7">
        <v>3.0</v>
      </c>
      <c r="G1317" s="7" t="s">
        <v>63</v>
      </c>
      <c r="H1317" s="7">
        <v>2.0</v>
      </c>
      <c r="I1317" s="7">
        <v>15.0</v>
      </c>
      <c r="J1317" s="7">
        <v>12.0</v>
      </c>
      <c r="K1317" s="7" t="s">
        <v>86</v>
      </c>
      <c r="L1317" s="9" t="str">
        <f>VLOOKUP(K1317, 'Alphabetical by species code'!A:B, 2, FALSE)</f>
        <v>Artemisia californica</v>
      </c>
      <c r="M1317" s="9" t="str">
        <f>VLOOKUP(L1317, 'Alphabetical by species code'!B:C, 2, FALSE)</f>
        <v>Native</v>
      </c>
    </row>
    <row r="1318">
      <c r="A1318" s="7">
        <v>16.0</v>
      </c>
      <c r="B1318" s="7">
        <v>2025.0</v>
      </c>
      <c r="C1318" s="8">
        <v>45790.0</v>
      </c>
      <c r="D1318" s="7" t="s">
        <v>83</v>
      </c>
      <c r="E1318" s="7" t="s">
        <v>85</v>
      </c>
      <c r="F1318" s="7">
        <v>3.0</v>
      </c>
      <c r="G1318" s="7" t="s">
        <v>66</v>
      </c>
      <c r="H1318" s="7">
        <v>1.0</v>
      </c>
      <c r="I1318" s="7">
        <v>1.0</v>
      </c>
      <c r="J1318" s="7">
        <v>0.0</v>
      </c>
      <c r="K1318" s="7" t="s">
        <v>28</v>
      </c>
      <c r="L1318" s="9" t="str">
        <f>VLOOKUP(K1318, 'Alphabetical by species code'!A:B, 2, FALSE)</f>
        <v>Litter</v>
      </c>
      <c r="M1318" s="9" t="str">
        <f>VLOOKUP(L1318, 'Alphabetical by species code'!B:C, 2, FALSE)</f>
        <v>Ground Cover</v>
      </c>
    </row>
    <row r="1319">
      <c r="A1319" s="7">
        <v>16.0</v>
      </c>
      <c r="B1319" s="7">
        <v>2025.0</v>
      </c>
      <c r="C1319" s="8">
        <v>45790.0</v>
      </c>
      <c r="D1319" s="7" t="s">
        <v>83</v>
      </c>
      <c r="E1319" s="7" t="s">
        <v>85</v>
      </c>
      <c r="F1319" s="7">
        <v>3.0</v>
      </c>
      <c r="G1319" s="7" t="s">
        <v>66</v>
      </c>
      <c r="H1319" s="7">
        <v>1.0</v>
      </c>
      <c r="I1319" s="7">
        <v>1.0</v>
      </c>
      <c r="J1319" s="7">
        <v>0.0</v>
      </c>
      <c r="K1319" s="7" t="s">
        <v>32</v>
      </c>
      <c r="L1319" s="9" t="str">
        <f>VLOOKUP(K1319, 'Alphabetical by species code'!A:B, 2, FALSE)</f>
        <v>Medicago polymorpha</v>
      </c>
      <c r="M1319" s="9" t="str">
        <f>VLOOKUP(L1319, 'Alphabetical by species code'!B:C, 2, FALSE)</f>
        <v>Non-Native</v>
      </c>
    </row>
    <row r="1320">
      <c r="A1320" s="7">
        <v>16.0</v>
      </c>
      <c r="B1320" s="7">
        <v>2025.0</v>
      </c>
      <c r="C1320" s="8">
        <v>45790.0</v>
      </c>
      <c r="D1320" s="7" t="s">
        <v>83</v>
      </c>
      <c r="E1320" s="7" t="s">
        <v>85</v>
      </c>
      <c r="F1320" s="7">
        <v>3.0</v>
      </c>
      <c r="G1320" s="7" t="s">
        <v>66</v>
      </c>
      <c r="H1320" s="7">
        <v>1.0</v>
      </c>
      <c r="I1320" s="7">
        <v>2.0</v>
      </c>
      <c r="J1320" s="7">
        <v>1.0</v>
      </c>
      <c r="K1320" s="7" t="s">
        <v>28</v>
      </c>
      <c r="L1320" s="9" t="str">
        <f>VLOOKUP(K1320, 'Alphabetical by species code'!A:B, 2, FALSE)</f>
        <v>Litter</v>
      </c>
      <c r="M1320" s="9" t="str">
        <f>VLOOKUP(L1320, 'Alphabetical by species code'!B:C, 2, FALSE)</f>
        <v>Ground Cover</v>
      </c>
    </row>
    <row r="1321">
      <c r="A1321" s="7">
        <v>16.0</v>
      </c>
      <c r="B1321" s="7">
        <v>2025.0</v>
      </c>
      <c r="C1321" s="8">
        <v>45790.0</v>
      </c>
      <c r="D1321" s="7" t="s">
        <v>83</v>
      </c>
      <c r="E1321" s="7" t="s">
        <v>85</v>
      </c>
      <c r="F1321" s="7">
        <v>3.0</v>
      </c>
      <c r="G1321" s="7" t="s">
        <v>66</v>
      </c>
      <c r="H1321" s="7">
        <v>1.0</v>
      </c>
      <c r="I1321" s="7">
        <v>2.0</v>
      </c>
      <c r="J1321" s="7">
        <v>1.0</v>
      </c>
      <c r="K1321" s="7" t="s">
        <v>55</v>
      </c>
      <c r="L1321" s="9" t="str">
        <f>VLOOKUP(K1321, 'Alphabetical by species code'!A:B, 2, FALSE)</f>
        <v>Daucus pusillus</v>
      </c>
      <c r="M1321" s="9" t="str">
        <f>VLOOKUP(L1321, 'Alphabetical by species code'!B:C, 2, FALSE)</f>
        <v>Native</v>
      </c>
    </row>
    <row r="1322">
      <c r="A1322" s="7">
        <v>16.0</v>
      </c>
      <c r="B1322" s="7">
        <v>2025.0</v>
      </c>
      <c r="C1322" s="8">
        <v>45790.0</v>
      </c>
      <c r="D1322" s="7" t="s">
        <v>83</v>
      </c>
      <c r="E1322" s="7" t="s">
        <v>85</v>
      </c>
      <c r="F1322" s="7">
        <v>3.0</v>
      </c>
      <c r="G1322" s="7" t="s">
        <v>66</v>
      </c>
      <c r="H1322" s="7">
        <v>1.0</v>
      </c>
      <c r="I1322" s="7">
        <v>2.0</v>
      </c>
      <c r="J1322" s="7">
        <v>1.0</v>
      </c>
      <c r="K1322" s="7" t="s">
        <v>36</v>
      </c>
      <c r="L1322" s="9" t="str">
        <f>VLOOKUP(K1322, 'Alphabetical by species code'!A:B, 2, FALSE)</f>
        <v>Bromus madritensis</v>
      </c>
      <c r="M1322" s="9" t="str">
        <f>VLOOKUP(L1322, 'Alphabetical by species code'!B:C, 2, FALSE)</f>
        <v>Non-Native</v>
      </c>
    </row>
    <row r="1323">
      <c r="A1323" s="7">
        <v>16.0</v>
      </c>
      <c r="B1323" s="7">
        <v>2025.0</v>
      </c>
      <c r="C1323" s="8">
        <v>45790.0</v>
      </c>
      <c r="D1323" s="7" t="s">
        <v>83</v>
      </c>
      <c r="E1323" s="7" t="s">
        <v>85</v>
      </c>
      <c r="F1323" s="7">
        <v>3.0</v>
      </c>
      <c r="G1323" s="7" t="s">
        <v>66</v>
      </c>
      <c r="H1323" s="7">
        <v>1.0</v>
      </c>
      <c r="I1323" s="7">
        <v>3.0</v>
      </c>
      <c r="J1323" s="7">
        <v>1.5</v>
      </c>
      <c r="K1323" s="7" t="s">
        <v>28</v>
      </c>
      <c r="L1323" s="9" t="str">
        <f>VLOOKUP(K1323, 'Alphabetical by species code'!A:B, 2, FALSE)</f>
        <v>Litter</v>
      </c>
      <c r="M1323" s="9" t="str">
        <f>VLOOKUP(L1323, 'Alphabetical by species code'!B:C, 2, FALSE)</f>
        <v>Ground Cover</v>
      </c>
    </row>
    <row r="1324">
      <c r="A1324" s="7">
        <v>16.0</v>
      </c>
      <c r="B1324" s="7">
        <v>2025.0</v>
      </c>
      <c r="C1324" s="8">
        <v>45790.0</v>
      </c>
      <c r="D1324" s="7" t="s">
        <v>83</v>
      </c>
      <c r="E1324" s="7" t="s">
        <v>85</v>
      </c>
      <c r="F1324" s="7">
        <v>3.0</v>
      </c>
      <c r="G1324" s="7" t="s">
        <v>66</v>
      </c>
      <c r="H1324" s="7">
        <v>1.0</v>
      </c>
      <c r="I1324" s="7">
        <v>3.0</v>
      </c>
      <c r="J1324" s="7">
        <v>1.5</v>
      </c>
      <c r="K1324" s="7" t="s">
        <v>32</v>
      </c>
      <c r="L1324" s="9" t="str">
        <f>VLOOKUP(K1324, 'Alphabetical by species code'!A:B, 2, FALSE)</f>
        <v>Medicago polymorpha</v>
      </c>
      <c r="M1324" s="9" t="str">
        <f>VLOOKUP(L1324, 'Alphabetical by species code'!B:C, 2, FALSE)</f>
        <v>Non-Native</v>
      </c>
    </row>
    <row r="1325">
      <c r="A1325" s="7">
        <v>16.0</v>
      </c>
      <c r="B1325" s="7">
        <v>2025.0</v>
      </c>
      <c r="C1325" s="8">
        <v>45790.0</v>
      </c>
      <c r="D1325" s="7" t="s">
        <v>83</v>
      </c>
      <c r="E1325" s="7" t="s">
        <v>85</v>
      </c>
      <c r="F1325" s="7">
        <v>3.0</v>
      </c>
      <c r="G1325" s="7" t="s">
        <v>66</v>
      </c>
      <c r="H1325" s="7">
        <v>1.0</v>
      </c>
      <c r="I1325" s="7">
        <v>4.0</v>
      </c>
      <c r="J1325" s="7">
        <v>2.0</v>
      </c>
      <c r="K1325" s="7" t="s">
        <v>28</v>
      </c>
      <c r="L1325" s="9" t="str">
        <f>VLOOKUP(K1325, 'Alphabetical by species code'!A:B, 2, FALSE)</f>
        <v>Litter</v>
      </c>
      <c r="M1325" s="9" t="str">
        <f>VLOOKUP(L1325, 'Alphabetical by species code'!B:C, 2, FALSE)</f>
        <v>Ground Cover</v>
      </c>
    </row>
    <row r="1326">
      <c r="A1326" s="7">
        <v>16.0</v>
      </c>
      <c r="B1326" s="7">
        <v>2025.0</v>
      </c>
      <c r="C1326" s="8">
        <v>45790.0</v>
      </c>
      <c r="D1326" s="7" t="s">
        <v>83</v>
      </c>
      <c r="E1326" s="7" t="s">
        <v>85</v>
      </c>
      <c r="F1326" s="7">
        <v>3.0</v>
      </c>
      <c r="G1326" s="7" t="s">
        <v>66</v>
      </c>
      <c r="H1326" s="7">
        <v>1.0</v>
      </c>
      <c r="I1326" s="7">
        <v>4.0</v>
      </c>
      <c r="J1326" s="7">
        <v>2.0</v>
      </c>
      <c r="K1326" s="7" t="s">
        <v>42</v>
      </c>
      <c r="L1326" s="9" t="str">
        <f>VLOOKUP(K1326, 'Alphabetical by species code'!A:B, 2, FALSE)</f>
        <v>Centaurea melitensis</v>
      </c>
      <c r="M1326" s="9" t="str">
        <f>VLOOKUP(L1326, 'Alphabetical by species code'!B:C, 2, FALSE)</f>
        <v>Non-Native</v>
      </c>
    </row>
    <row r="1327">
      <c r="A1327" s="7">
        <v>16.0</v>
      </c>
      <c r="B1327" s="7">
        <v>2025.0</v>
      </c>
      <c r="C1327" s="8">
        <v>45790.0</v>
      </c>
      <c r="D1327" s="7" t="s">
        <v>83</v>
      </c>
      <c r="E1327" s="7" t="s">
        <v>85</v>
      </c>
      <c r="F1327" s="7">
        <v>3.0</v>
      </c>
      <c r="G1327" s="7" t="s">
        <v>66</v>
      </c>
      <c r="H1327" s="7">
        <v>1.0</v>
      </c>
      <c r="I1327" s="7">
        <v>5.0</v>
      </c>
      <c r="J1327" s="7">
        <v>3.0</v>
      </c>
      <c r="K1327" s="7" t="s">
        <v>51</v>
      </c>
      <c r="L1327" s="9" t="str">
        <f>VLOOKUP(K1327, 'Alphabetical by species code'!A:B, 2, FALSE)</f>
        <v>Bareground</v>
      </c>
      <c r="M1327" s="9" t="str">
        <f>VLOOKUP(L1327, 'Alphabetical by species code'!B:C, 2, FALSE)</f>
        <v>Ground Cover</v>
      </c>
    </row>
    <row r="1328">
      <c r="A1328" s="7">
        <v>16.0</v>
      </c>
      <c r="B1328" s="7">
        <v>2025.0</v>
      </c>
      <c r="C1328" s="8">
        <v>45790.0</v>
      </c>
      <c r="D1328" s="7" t="s">
        <v>83</v>
      </c>
      <c r="E1328" s="7" t="s">
        <v>85</v>
      </c>
      <c r="F1328" s="7">
        <v>3.0</v>
      </c>
      <c r="G1328" s="7" t="s">
        <v>66</v>
      </c>
      <c r="H1328" s="7">
        <v>1.0</v>
      </c>
      <c r="I1328" s="7">
        <v>5.0</v>
      </c>
      <c r="J1328" s="7">
        <v>3.0</v>
      </c>
      <c r="K1328" s="7" t="s">
        <v>32</v>
      </c>
      <c r="L1328" s="9" t="str">
        <f>VLOOKUP(K1328, 'Alphabetical by species code'!A:B, 2, FALSE)</f>
        <v>Medicago polymorpha</v>
      </c>
      <c r="M1328" s="9" t="str">
        <f>VLOOKUP(L1328, 'Alphabetical by species code'!B:C, 2, FALSE)</f>
        <v>Non-Native</v>
      </c>
    </row>
    <row r="1329">
      <c r="A1329" s="7">
        <v>16.0</v>
      </c>
      <c r="B1329" s="7">
        <v>2025.0</v>
      </c>
      <c r="C1329" s="8">
        <v>45790.0</v>
      </c>
      <c r="D1329" s="7" t="s">
        <v>83</v>
      </c>
      <c r="E1329" s="7" t="s">
        <v>85</v>
      </c>
      <c r="F1329" s="7">
        <v>3.0</v>
      </c>
      <c r="G1329" s="7" t="s">
        <v>66</v>
      </c>
      <c r="H1329" s="7">
        <v>1.0</v>
      </c>
      <c r="I1329" s="7">
        <v>6.0</v>
      </c>
      <c r="J1329" s="7">
        <v>3.5</v>
      </c>
      <c r="K1329" s="7" t="s">
        <v>28</v>
      </c>
      <c r="L1329" s="9" t="str">
        <f>VLOOKUP(K1329, 'Alphabetical by species code'!A:B, 2, FALSE)</f>
        <v>Litter</v>
      </c>
      <c r="M1329" s="9" t="str">
        <f>VLOOKUP(L1329, 'Alphabetical by species code'!B:C, 2, FALSE)</f>
        <v>Ground Cover</v>
      </c>
    </row>
    <row r="1330">
      <c r="A1330" s="7">
        <v>16.0</v>
      </c>
      <c r="B1330" s="7">
        <v>2025.0</v>
      </c>
      <c r="C1330" s="8">
        <v>45790.0</v>
      </c>
      <c r="D1330" s="7" t="s">
        <v>83</v>
      </c>
      <c r="E1330" s="7" t="s">
        <v>85</v>
      </c>
      <c r="F1330" s="7">
        <v>3.0</v>
      </c>
      <c r="G1330" s="7" t="s">
        <v>66</v>
      </c>
      <c r="H1330" s="7">
        <v>1.0</v>
      </c>
      <c r="I1330" s="7">
        <v>6.0</v>
      </c>
      <c r="J1330" s="7">
        <v>3.5</v>
      </c>
      <c r="K1330" s="7" t="s">
        <v>35</v>
      </c>
      <c r="L1330" s="9" t="str">
        <f>VLOOKUP(K1330, 'Alphabetical by species code'!A:B, 2, FALSE)</f>
        <v>Deinandra fasciculata</v>
      </c>
      <c r="M1330" s="9" t="str">
        <f>VLOOKUP(L1330, 'Alphabetical by species code'!B:C, 2, FALSE)</f>
        <v>Native</v>
      </c>
    </row>
    <row r="1331">
      <c r="A1331" s="7">
        <v>16.0</v>
      </c>
      <c r="B1331" s="7">
        <v>2025.0</v>
      </c>
      <c r="C1331" s="8">
        <v>45790.0</v>
      </c>
      <c r="D1331" s="7" t="s">
        <v>83</v>
      </c>
      <c r="E1331" s="7" t="s">
        <v>85</v>
      </c>
      <c r="F1331" s="7">
        <v>3.0</v>
      </c>
      <c r="G1331" s="7" t="s">
        <v>66</v>
      </c>
      <c r="H1331" s="7">
        <v>1.0</v>
      </c>
      <c r="I1331" s="7">
        <v>6.0</v>
      </c>
      <c r="J1331" s="7">
        <v>3.5</v>
      </c>
      <c r="K1331" s="7" t="s">
        <v>32</v>
      </c>
      <c r="L1331" s="9" t="str">
        <f>VLOOKUP(K1331, 'Alphabetical by species code'!A:B, 2, FALSE)</f>
        <v>Medicago polymorpha</v>
      </c>
      <c r="M1331" s="9" t="str">
        <f>VLOOKUP(L1331, 'Alphabetical by species code'!B:C, 2, FALSE)</f>
        <v>Non-Native</v>
      </c>
    </row>
    <row r="1332">
      <c r="A1332" s="7">
        <v>16.0</v>
      </c>
      <c r="B1332" s="7">
        <v>2025.0</v>
      </c>
      <c r="C1332" s="8">
        <v>45790.0</v>
      </c>
      <c r="D1332" s="7" t="s">
        <v>83</v>
      </c>
      <c r="E1332" s="7" t="s">
        <v>85</v>
      </c>
      <c r="F1332" s="7">
        <v>3.0</v>
      </c>
      <c r="G1332" s="7" t="s">
        <v>66</v>
      </c>
      <c r="H1332" s="7">
        <v>1.0</v>
      </c>
      <c r="I1332" s="7">
        <v>7.0</v>
      </c>
      <c r="J1332" s="7">
        <v>4.0</v>
      </c>
      <c r="K1332" s="7" t="s">
        <v>28</v>
      </c>
      <c r="L1332" s="9" t="str">
        <f>VLOOKUP(K1332, 'Alphabetical by species code'!A:B, 2, FALSE)</f>
        <v>Litter</v>
      </c>
      <c r="M1332" s="9" t="str">
        <f>VLOOKUP(L1332, 'Alphabetical by species code'!B:C, 2, FALSE)</f>
        <v>Ground Cover</v>
      </c>
    </row>
    <row r="1333">
      <c r="A1333" s="7">
        <v>16.0</v>
      </c>
      <c r="B1333" s="7">
        <v>2025.0</v>
      </c>
      <c r="C1333" s="8">
        <v>45790.0</v>
      </c>
      <c r="D1333" s="7" t="s">
        <v>83</v>
      </c>
      <c r="E1333" s="7" t="s">
        <v>85</v>
      </c>
      <c r="F1333" s="7">
        <v>3.0</v>
      </c>
      <c r="G1333" s="7" t="s">
        <v>66</v>
      </c>
      <c r="H1333" s="7">
        <v>1.0</v>
      </c>
      <c r="I1333" s="7">
        <v>7.0</v>
      </c>
      <c r="J1333" s="7">
        <v>4.0</v>
      </c>
      <c r="K1333" s="7" t="s">
        <v>36</v>
      </c>
      <c r="L1333" s="9" t="str">
        <f>VLOOKUP(K1333, 'Alphabetical by species code'!A:B, 2, FALSE)</f>
        <v>Bromus madritensis</v>
      </c>
      <c r="M1333" s="9" t="str">
        <f>VLOOKUP(L1333, 'Alphabetical by species code'!B:C, 2, FALSE)</f>
        <v>Non-Native</v>
      </c>
    </row>
    <row r="1334">
      <c r="A1334" s="7">
        <v>16.0</v>
      </c>
      <c r="B1334" s="7">
        <v>2025.0</v>
      </c>
      <c r="C1334" s="8">
        <v>45790.0</v>
      </c>
      <c r="D1334" s="7" t="s">
        <v>83</v>
      </c>
      <c r="E1334" s="7" t="s">
        <v>85</v>
      </c>
      <c r="F1334" s="7">
        <v>3.0</v>
      </c>
      <c r="G1334" s="7" t="s">
        <v>66</v>
      </c>
      <c r="H1334" s="7">
        <v>1.0</v>
      </c>
      <c r="I1334" s="7">
        <v>8.0</v>
      </c>
      <c r="J1334" s="7">
        <v>5.0</v>
      </c>
      <c r="K1334" s="7" t="s">
        <v>28</v>
      </c>
      <c r="L1334" s="9" t="str">
        <f>VLOOKUP(K1334, 'Alphabetical by species code'!A:B, 2, FALSE)</f>
        <v>Litter</v>
      </c>
      <c r="M1334" s="9" t="str">
        <f>VLOOKUP(L1334, 'Alphabetical by species code'!B:C, 2, FALSE)</f>
        <v>Ground Cover</v>
      </c>
    </row>
    <row r="1335">
      <c r="A1335" s="7">
        <v>16.0</v>
      </c>
      <c r="B1335" s="7">
        <v>2025.0</v>
      </c>
      <c r="C1335" s="8">
        <v>45790.0</v>
      </c>
      <c r="D1335" s="7" t="s">
        <v>83</v>
      </c>
      <c r="E1335" s="7" t="s">
        <v>85</v>
      </c>
      <c r="F1335" s="7">
        <v>3.0</v>
      </c>
      <c r="G1335" s="7" t="s">
        <v>66</v>
      </c>
      <c r="H1335" s="7">
        <v>1.0</v>
      </c>
      <c r="I1335" s="7">
        <v>8.0</v>
      </c>
      <c r="J1335" s="7">
        <v>5.0</v>
      </c>
      <c r="K1335" s="7" t="s">
        <v>32</v>
      </c>
      <c r="L1335" s="9" t="str">
        <f>VLOOKUP(K1335, 'Alphabetical by species code'!A:B, 2, FALSE)</f>
        <v>Medicago polymorpha</v>
      </c>
      <c r="M1335" s="9" t="str">
        <f>VLOOKUP(L1335, 'Alphabetical by species code'!B:C, 2, FALSE)</f>
        <v>Non-Native</v>
      </c>
    </row>
    <row r="1336">
      <c r="A1336" s="7">
        <v>16.0</v>
      </c>
      <c r="B1336" s="7">
        <v>2025.0</v>
      </c>
      <c r="C1336" s="8">
        <v>45790.0</v>
      </c>
      <c r="D1336" s="7" t="s">
        <v>83</v>
      </c>
      <c r="E1336" s="7" t="s">
        <v>85</v>
      </c>
      <c r="F1336" s="7">
        <v>3.0</v>
      </c>
      <c r="G1336" s="7" t="s">
        <v>66</v>
      </c>
      <c r="H1336" s="7">
        <v>1.0</v>
      </c>
      <c r="I1336" s="7">
        <v>8.0</v>
      </c>
      <c r="J1336" s="7">
        <v>5.0</v>
      </c>
      <c r="K1336" s="7" t="s">
        <v>36</v>
      </c>
      <c r="L1336" s="9" t="str">
        <f>VLOOKUP(K1336, 'Alphabetical by species code'!A:B, 2, FALSE)</f>
        <v>Bromus madritensis</v>
      </c>
      <c r="M1336" s="9" t="str">
        <f>VLOOKUP(L1336, 'Alphabetical by species code'!B:C, 2, FALSE)</f>
        <v>Non-Native</v>
      </c>
    </row>
    <row r="1337">
      <c r="A1337" s="7">
        <v>16.0</v>
      </c>
      <c r="B1337" s="7">
        <v>2025.0</v>
      </c>
      <c r="C1337" s="8">
        <v>45790.0</v>
      </c>
      <c r="D1337" s="7" t="s">
        <v>83</v>
      </c>
      <c r="E1337" s="7" t="s">
        <v>85</v>
      </c>
      <c r="F1337" s="7">
        <v>3.0</v>
      </c>
      <c r="G1337" s="7" t="s">
        <v>66</v>
      </c>
      <c r="H1337" s="7">
        <v>1.0</v>
      </c>
      <c r="I1337" s="7">
        <v>9.0</v>
      </c>
      <c r="J1337" s="7">
        <v>7.0</v>
      </c>
      <c r="K1337" s="7" t="s">
        <v>51</v>
      </c>
      <c r="L1337" s="9" t="str">
        <f>VLOOKUP(K1337, 'Alphabetical by species code'!A:B, 2, FALSE)</f>
        <v>Bareground</v>
      </c>
      <c r="M1337" s="9" t="str">
        <f>VLOOKUP(L1337, 'Alphabetical by species code'!B:C, 2, FALSE)</f>
        <v>Ground Cover</v>
      </c>
    </row>
    <row r="1338">
      <c r="A1338" s="7">
        <v>16.0</v>
      </c>
      <c r="B1338" s="7">
        <v>2025.0</v>
      </c>
      <c r="C1338" s="8">
        <v>45790.0</v>
      </c>
      <c r="D1338" s="7" t="s">
        <v>83</v>
      </c>
      <c r="E1338" s="7" t="s">
        <v>85</v>
      </c>
      <c r="F1338" s="7">
        <v>3.0</v>
      </c>
      <c r="G1338" s="7" t="s">
        <v>66</v>
      </c>
      <c r="H1338" s="7">
        <v>1.0</v>
      </c>
      <c r="I1338" s="7">
        <v>10.0</v>
      </c>
      <c r="J1338" s="7">
        <v>8.0</v>
      </c>
      <c r="K1338" s="7" t="s">
        <v>51</v>
      </c>
      <c r="L1338" s="9" t="str">
        <f>VLOOKUP(K1338, 'Alphabetical by species code'!A:B, 2, FALSE)</f>
        <v>Bareground</v>
      </c>
      <c r="M1338" s="9" t="str">
        <f>VLOOKUP(L1338, 'Alphabetical by species code'!B:C, 2, FALSE)</f>
        <v>Ground Cover</v>
      </c>
    </row>
    <row r="1339">
      <c r="A1339" s="7">
        <v>16.0</v>
      </c>
      <c r="B1339" s="7">
        <v>2025.0</v>
      </c>
      <c r="C1339" s="8">
        <v>45790.0</v>
      </c>
      <c r="D1339" s="7" t="s">
        <v>83</v>
      </c>
      <c r="E1339" s="7" t="s">
        <v>85</v>
      </c>
      <c r="F1339" s="7">
        <v>3.0</v>
      </c>
      <c r="G1339" s="7" t="s">
        <v>66</v>
      </c>
      <c r="H1339" s="7">
        <v>1.0</v>
      </c>
      <c r="I1339" s="7">
        <v>11.0</v>
      </c>
      <c r="J1339" s="7">
        <v>8.5</v>
      </c>
      <c r="K1339" s="7" t="s">
        <v>28</v>
      </c>
      <c r="L1339" s="9" t="str">
        <f>VLOOKUP(K1339, 'Alphabetical by species code'!A:B, 2, FALSE)</f>
        <v>Litter</v>
      </c>
      <c r="M1339" s="9" t="str">
        <f>VLOOKUP(L1339, 'Alphabetical by species code'!B:C, 2, FALSE)</f>
        <v>Ground Cover</v>
      </c>
    </row>
    <row r="1340">
      <c r="A1340" s="7">
        <v>16.0</v>
      </c>
      <c r="B1340" s="7">
        <v>2025.0</v>
      </c>
      <c r="C1340" s="8">
        <v>45790.0</v>
      </c>
      <c r="D1340" s="7" t="s">
        <v>83</v>
      </c>
      <c r="E1340" s="7" t="s">
        <v>85</v>
      </c>
      <c r="F1340" s="7">
        <v>3.0</v>
      </c>
      <c r="G1340" s="7" t="s">
        <v>66</v>
      </c>
      <c r="H1340" s="7">
        <v>1.0</v>
      </c>
      <c r="I1340" s="7">
        <v>11.0</v>
      </c>
      <c r="J1340" s="7">
        <v>8.5</v>
      </c>
      <c r="K1340" s="7" t="s">
        <v>34</v>
      </c>
      <c r="L1340" s="9" t="str">
        <f>VLOOKUP(K1340, 'Alphabetical by species code'!A:B, 2, FALSE)</f>
        <v>Erodium cicutarium</v>
      </c>
      <c r="M1340" s="9" t="str">
        <f>VLOOKUP(L1340, 'Alphabetical by species code'!B:C, 2, FALSE)</f>
        <v>Non-Native</v>
      </c>
    </row>
    <row r="1341">
      <c r="A1341" s="7">
        <v>16.0</v>
      </c>
      <c r="B1341" s="7">
        <v>2025.0</v>
      </c>
      <c r="C1341" s="8">
        <v>45790.0</v>
      </c>
      <c r="D1341" s="7" t="s">
        <v>83</v>
      </c>
      <c r="E1341" s="7" t="s">
        <v>85</v>
      </c>
      <c r="F1341" s="7">
        <v>3.0</v>
      </c>
      <c r="G1341" s="7" t="s">
        <v>66</v>
      </c>
      <c r="H1341" s="7">
        <v>1.0</v>
      </c>
      <c r="I1341" s="7">
        <v>11.0</v>
      </c>
      <c r="J1341" s="7">
        <v>8.5</v>
      </c>
      <c r="K1341" s="7" t="s">
        <v>87</v>
      </c>
      <c r="L1341" s="9" t="str">
        <f>VLOOKUP(K1341, 'Alphabetical by species code'!A:B, 2, FALSE)</f>
        <v>#N/A</v>
      </c>
      <c r="M1341" s="9" t="str">
        <f>VLOOKUP(L1341, 'Alphabetical by species code'!B:C, 2, FALSE)</f>
        <v>#N/A</v>
      </c>
    </row>
    <row r="1342">
      <c r="A1342" s="7">
        <v>16.0</v>
      </c>
      <c r="B1342" s="7">
        <v>2025.0</v>
      </c>
      <c r="C1342" s="8">
        <v>45790.0</v>
      </c>
      <c r="D1342" s="7" t="s">
        <v>83</v>
      </c>
      <c r="E1342" s="7" t="s">
        <v>85</v>
      </c>
      <c r="F1342" s="7">
        <v>3.0</v>
      </c>
      <c r="G1342" s="7" t="s">
        <v>66</v>
      </c>
      <c r="H1342" s="7">
        <v>1.0</v>
      </c>
      <c r="I1342" s="7">
        <v>12.0</v>
      </c>
      <c r="J1342" s="7">
        <v>9.0</v>
      </c>
      <c r="K1342" s="7" t="s">
        <v>51</v>
      </c>
      <c r="L1342" s="9" t="str">
        <f>VLOOKUP(K1342, 'Alphabetical by species code'!A:B, 2, FALSE)</f>
        <v>Bareground</v>
      </c>
      <c r="M1342" s="9" t="str">
        <f>VLOOKUP(L1342, 'Alphabetical by species code'!B:C, 2, FALSE)</f>
        <v>Ground Cover</v>
      </c>
    </row>
    <row r="1343">
      <c r="A1343" s="7">
        <v>16.0</v>
      </c>
      <c r="B1343" s="7">
        <v>2025.0</v>
      </c>
      <c r="C1343" s="8">
        <v>45790.0</v>
      </c>
      <c r="D1343" s="7" t="s">
        <v>83</v>
      </c>
      <c r="E1343" s="7" t="s">
        <v>85</v>
      </c>
      <c r="F1343" s="7">
        <v>3.0</v>
      </c>
      <c r="G1343" s="7" t="s">
        <v>66</v>
      </c>
      <c r="H1343" s="7">
        <v>1.0</v>
      </c>
      <c r="I1343" s="7">
        <v>12.0</v>
      </c>
      <c r="J1343" s="7">
        <v>9.0</v>
      </c>
      <c r="K1343" s="7" t="s">
        <v>32</v>
      </c>
      <c r="L1343" s="9" t="str">
        <f>VLOOKUP(K1343, 'Alphabetical by species code'!A:B, 2, FALSE)</f>
        <v>Medicago polymorpha</v>
      </c>
      <c r="M1343" s="9" t="str">
        <f>VLOOKUP(L1343, 'Alphabetical by species code'!B:C, 2, FALSE)</f>
        <v>Non-Native</v>
      </c>
    </row>
    <row r="1344">
      <c r="A1344" s="7">
        <v>16.0</v>
      </c>
      <c r="B1344" s="7">
        <v>2025.0</v>
      </c>
      <c r="C1344" s="8">
        <v>45790.0</v>
      </c>
      <c r="D1344" s="7" t="s">
        <v>83</v>
      </c>
      <c r="E1344" s="7" t="s">
        <v>85</v>
      </c>
      <c r="F1344" s="7">
        <v>3.0</v>
      </c>
      <c r="G1344" s="7" t="s">
        <v>66</v>
      </c>
      <c r="H1344" s="7">
        <v>1.0</v>
      </c>
      <c r="I1344" s="7">
        <v>12.0</v>
      </c>
      <c r="J1344" s="7">
        <v>9.0</v>
      </c>
      <c r="K1344" s="7" t="s">
        <v>64</v>
      </c>
      <c r="L1344" s="9" t="str">
        <f>VLOOKUP(K1344, 'Alphabetical by species code'!A:B, 2, FALSE)</f>
        <v>Brassica nigra</v>
      </c>
      <c r="M1344" s="9" t="str">
        <f>VLOOKUP(L1344, 'Alphabetical by species code'!B:C, 2, FALSE)</f>
        <v>Non-Native</v>
      </c>
    </row>
    <row r="1345">
      <c r="A1345" s="7">
        <v>16.0</v>
      </c>
      <c r="B1345" s="7">
        <v>2025.0</v>
      </c>
      <c r="C1345" s="8">
        <v>45790.0</v>
      </c>
      <c r="D1345" s="7" t="s">
        <v>83</v>
      </c>
      <c r="E1345" s="7" t="s">
        <v>85</v>
      </c>
      <c r="F1345" s="7">
        <v>3.0</v>
      </c>
      <c r="G1345" s="7" t="s">
        <v>66</v>
      </c>
      <c r="H1345" s="7">
        <v>1.0</v>
      </c>
      <c r="I1345" s="7">
        <v>13.0</v>
      </c>
      <c r="J1345" s="7">
        <v>10.0</v>
      </c>
      <c r="K1345" s="7" t="s">
        <v>28</v>
      </c>
      <c r="L1345" s="9" t="str">
        <f>VLOOKUP(K1345, 'Alphabetical by species code'!A:B, 2, FALSE)</f>
        <v>Litter</v>
      </c>
      <c r="M1345" s="9" t="str">
        <f>VLOOKUP(L1345, 'Alphabetical by species code'!B:C, 2, FALSE)</f>
        <v>Ground Cover</v>
      </c>
    </row>
    <row r="1346">
      <c r="A1346" s="7">
        <v>16.0</v>
      </c>
      <c r="B1346" s="7">
        <v>2025.0</v>
      </c>
      <c r="C1346" s="8">
        <v>45790.0</v>
      </c>
      <c r="D1346" s="7" t="s">
        <v>83</v>
      </c>
      <c r="E1346" s="7" t="s">
        <v>85</v>
      </c>
      <c r="F1346" s="7">
        <v>3.0</v>
      </c>
      <c r="G1346" s="7" t="s">
        <v>66</v>
      </c>
      <c r="H1346" s="7">
        <v>1.0</v>
      </c>
      <c r="I1346" s="7">
        <v>13.0</v>
      </c>
      <c r="J1346" s="7">
        <v>10.0</v>
      </c>
      <c r="K1346" s="7" t="s">
        <v>32</v>
      </c>
      <c r="L1346" s="9" t="str">
        <f>VLOOKUP(K1346, 'Alphabetical by species code'!A:B, 2, FALSE)</f>
        <v>Medicago polymorpha</v>
      </c>
      <c r="M1346" s="9" t="str">
        <f>VLOOKUP(L1346, 'Alphabetical by species code'!B:C, 2, FALSE)</f>
        <v>Non-Native</v>
      </c>
    </row>
    <row r="1347">
      <c r="A1347" s="7">
        <v>16.0</v>
      </c>
      <c r="B1347" s="7">
        <v>2025.0</v>
      </c>
      <c r="C1347" s="8">
        <v>45790.0</v>
      </c>
      <c r="D1347" s="7" t="s">
        <v>83</v>
      </c>
      <c r="E1347" s="7" t="s">
        <v>85</v>
      </c>
      <c r="F1347" s="7">
        <v>3.0</v>
      </c>
      <c r="G1347" s="7" t="s">
        <v>66</v>
      </c>
      <c r="H1347" s="7">
        <v>1.0</v>
      </c>
      <c r="I1347" s="7">
        <v>13.0</v>
      </c>
      <c r="J1347" s="7">
        <v>10.0</v>
      </c>
      <c r="K1347" s="7" t="s">
        <v>57</v>
      </c>
      <c r="L1347" s="9" t="str">
        <f>VLOOKUP(K1347, 'Alphabetical by species code'!A:B, 2, FALSE)</f>
        <v>Stipa pulchra</v>
      </c>
      <c r="M1347" s="9" t="str">
        <f>VLOOKUP(L1347, 'Alphabetical by species code'!B:C, 2, FALSE)</f>
        <v>Native</v>
      </c>
    </row>
    <row r="1348">
      <c r="A1348" s="7">
        <v>16.0</v>
      </c>
      <c r="B1348" s="7">
        <v>2025.0</v>
      </c>
      <c r="C1348" s="8">
        <v>45790.0</v>
      </c>
      <c r="D1348" s="7" t="s">
        <v>83</v>
      </c>
      <c r="E1348" s="7" t="s">
        <v>85</v>
      </c>
      <c r="F1348" s="7">
        <v>3.0</v>
      </c>
      <c r="G1348" s="7" t="s">
        <v>66</v>
      </c>
      <c r="H1348" s="7">
        <v>1.0</v>
      </c>
      <c r="I1348" s="7">
        <v>14.0</v>
      </c>
      <c r="J1348" s="7">
        <v>11.0</v>
      </c>
      <c r="K1348" s="7" t="s">
        <v>28</v>
      </c>
      <c r="L1348" s="9" t="str">
        <f>VLOOKUP(K1348, 'Alphabetical by species code'!A:B, 2, FALSE)</f>
        <v>Litter</v>
      </c>
      <c r="M1348" s="9" t="str">
        <f>VLOOKUP(L1348, 'Alphabetical by species code'!B:C, 2, FALSE)</f>
        <v>Ground Cover</v>
      </c>
    </row>
    <row r="1349">
      <c r="A1349" s="7">
        <v>16.0</v>
      </c>
      <c r="B1349" s="7">
        <v>2025.0</v>
      </c>
      <c r="C1349" s="8">
        <v>45790.0</v>
      </c>
      <c r="D1349" s="7" t="s">
        <v>83</v>
      </c>
      <c r="E1349" s="7" t="s">
        <v>85</v>
      </c>
      <c r="F1349" s="7">
        <v>3.0</v>
      </c>
      <c r="G1349" s="7" t="s">
        <v>66</v>
      </c>
      <c r="H1349" s="7">
        <v>1.0</v>
      </c>
      <c r="I1349" s="7">
        <v>14.0</v>
      </c>
      <c r="J1349" s="7">
        <v>11.0</v>
      </c>
      <c r="K1349" s="7" t="s">
        <v>32</v>
      </c>
      <c r="L1349" s="9" t="str">
        <f>VLOOKUP(K1349, 'Alphabetical by species code'!A:B, 2, FALSE)</f>
        <v>Medicago polymorpha</v>
      </c>
      <c r="M1349" s="9" t="str">
        <f>VLOOKUP(L1349, 'Alphabetical by species code'!B:C, 2, FALSE)</f>
        <v>Non-Native</v>
      </c>
    </row>
    <row r="1350">
      <c r="A1350" s="7">
        <v>16.0</v>
      </c>
      <c r="B1350" s="7">
        <v>2025.0</v>
      </c>
      <c r="C1350" s="8">
        <v>45790.0</v>
      </c>
      <c r="D1350" s="7" t="s">
        <v>83</v>
      </c>
      <c r="E1350" s="7" t="s">
        <v>85</v>
      </c>
      <c r="F1350" s="7">
        <v>3.0</v>
      </c>
      <c r="G1350" s="7" t="s">
        <v>66</v>
      </c>
      <c r="H1350" s="7">
        <v>1.0</v>
      </c>
      <c r="I1350" s="7">
        <v>15.0</v>
      </c>
      <c r="J1350" s="7">
        <v>12.0</v>
      </c>
      <c r="K1350" s="7" t="s">
        <v>28</v>
      </c>
      <c r="L1350" s="9" t="str">
        <f>VLOOKUP(K1350, 'Alphabetical by species code'!A:B, 2, FALSE)</f>
        <v>Litter</v>
      </c>
      <c r="M1350" s="9" t="str">
        <f>VLOOKUP(L1350, 'Alphabetical by species code'!B:C, 2, FALSE)</f>
        <v>Ground Cover</v>
      </c>
    </row>
    <row r="1351">
      <c r="A1351" s="7">
        <v>16.0</v>
      </c>
      <c r="B1351" s="7">
        <v>2025.0</v>
      </c>
      <c r="C1351" s="8">
        <v>45790.0</v>
      </c>
      <c r="D1351" s="7" t="s">
        <v>83</v>
      </c>
      <c r="E1351" s="7" t="s">
        <v>85</v>
      </c>
      <c r="F1351" s="7">
        <v>3.0</v>
      </c>
      <c r="G1351" s="7" t="s">
        <v>66</v>
      </c>
      <c r="H1351" s="7">
        <v>2.0</v>
      </c>
      <c r="I1351" s="7">
        <v>1.0</v>
      </c>
      <c r="J1351" s="7">
        <v>0.0</v>
      </c>
      <c r="K1351" s="7" t="s">
        <v>51</v>
      </c>
      <c r="L1351" s="9" t="str">
        <f>VLOOKUP(K1351, 'Alphabetical by species code'!A:B, 2, FALSE)</f>
        <v>Bareground</v>
      </c>
      <c r="M1351" s="9" t="str">
        <f>VLOOKUP(L1351, 'Alphabetical by species code'!B:C, 2, FALSE)</f>
        <v>Ground Cover</v>
      </c>
    </row>
    <row r="1352">
      <c r="A1352" s="7">
        <v>16.0</v>
      </c>
      <c r="B1352" s="7">
        <v>2025.0</v>
      </c>
      <c r="C1352" s="8">
        <v>45790.0</v>
      </c>
      <c r="D1352" s="7" t="s">
        <v>83</v>
      </c>
      <c r="E1352" s="7" t="s">
        <v>85</v>
      </c>
      <c r="F1352" s="7">
        <v>3.0</v>
      </c>
      <c r="G1352" s="7" t="s">
        <v>66</v>
      </c>
      <c r="H1352" s="7">
        <v>2.0</v>
      </c>
      <c r="I1352" s="7">
        <v>1.0</v>
      </c>
      <c r="J1352" s="7">
        <v>0.0</v>
      </c>
      <c r="K1352" s="7" t="s">
        <v>34</v>
      </c>
      <c r="L1352" s="9" t="str">
        <f>VLOOKUP(K1352, 'Alphabetical by species code'!A:B, 2, FALSE)</f>
        <v>Erodium cicutarium</v>
      </c>
      <c r="M1352" s="9" t="str">
        <f>VLOOKUP(L1352, 'Alphabetical by species code'!B:C, 2, FALSE)</f>
        <v>Non-Native</v>
      </c>
    </row>
    <row r="1353">
      <c r="A1353" s="7">
        <v>16.0</v>
      </c>
      <c r="B1353" s="7">
        <v>2025.0</v>
      </c>
      <c r="C1353" s="8">
        <v>45790.0</v>
      </c>
      <c r="D1353" s="7" t="s">
        <v>83</v>
      </c>
      <c r="E1353" s="7" t="s">
        <v>85</v>
      </c>
      <c r="F1353" s="7">
        <v>3.0</v>
      </c>
      <c r="G1353" s="7" t="s">
        <v>66</v>
      </c>
      <c r="H1353" s="7">
        <v>2.0</v>
      </c>
      <c r="I1353" s="7">
        <v>2.0</v>
      </c>
      <c r="J1353" s="7">
        <v>1.0</v>
      </c>
      <c r="K1353" s="7" t="s">
        <v>28</v>
      </c>
      <c r="L1353" s="9" t="str">
        <f>VLOOKUP(K1353, 'Alphabetical by species code'!A:B, 2, FALSE)</f>
        <v>Litter</v>
      </c>
      <c r="M1353" s="9" t="str">
        <f>VLOOKUP(L1353, 'Alphabetical by species code'!B:C, 2, FALSE)</f>
        <v>Ground Cover</v>
      </c>
    </row>
    <row r="1354">
      <c r="A1354" s="7">
        <v>16.0</v>
      </c>
      <c r="B1354" s="7">
        <v>2025.0</v>
      </c>
      <c r="C1354" s="8">
        <v>45790.0</v>
      </c>
      <c r="D1354" s="7" t="s">
        <v>83</v>
      </c>
      <c r="E1354" s="7" t="s">
        <v>85</v>
      </c>
      <c r="F1354" s="7">
        <v>3.0</v>
      </c>
      <c r="G1354" s="7" t="s">
        <v>66</v>
      </c>
      <c r="H1354" s="7">
        <v>2.0</v>
      </c>
      <c r="I1354" s="7">
        <v>3.0</v>
      </c>
      <c r="J1354" s="7">
        <v>1.5</v>
      </c>
      <c r="K1354" s="7" t="s">
        <v>51</v>
      </c>
      <c r="L1354" s="9" t="str">
        <f>VLOOKUP(K1354, 'Alphabetical by species code'!A:B, 2, FALSE)</f>
        <v>Bareground</v>
      </c>
      <c r="M1354" s="9" t="str">
        <f>VLOOKUP(L1354, 'Alphabetical by species code'!B:C, 2, FALSE)</f>
        <v>Ground Cover</v>
      </c>
    </row>
    <row r="1355">
      <c r="A1355" s="7">
        <v>16.0</v>
      </c>
      <c r="B1355" s="7">
        <v>2025.0</v>
      </c>
      <c r="C1355" s="8">
        <v>45790.0</v>
      </c>
      <c r="D1355" s="7" t="s">
        <v>83</v>
      </c>
      <c r="E1355" s="7" t="s">
        <v>85</v>
      </c>
      <c r="F1355" s="7">
        <v>3.0</v>
      </c>
      <c r="G1355" s="7" t="s">
        <v>66</v>
      </c>
      <c r="H1355" s="7">
        <v>2.0</v>
      </c>
      <c r="I1355" s="7">
        <v>3.0</v>
      </c>
      <c r="J1355" s="7">
        <v>1.5</v>
      </c>
      <c r="K1355" s="7" t="s">
        <v>32</v>
      </c>
      <c r="L1355" s="9" t="str">
        <f>VLOOKUP(K1355, 'Alphabetical by species code'!A:B, 2, FALSE)</f>
        <v>Medicago polymorpha</v>
      </c>
      <c r="M1355" s="9" t="str">
        <f>VLOOKUP(L1355, 'Alphabetical by species code'!B:C, 2, FALSE)</f>
        <v>Non-Native</v>
      </c>
    </row>
    <row r="1356">
      <c r="A1356" s="7">
        <v>16.0</v>
      </c>
      <c r="B1356" s="7">
        <v>2025.0</v>
      </c>
      <c r="C1356" s="8">
        <v>45790.0</v>
      </c>
      <c r="D1356" s="7" t="s">
        <v>83</v>
      </c>
      <c r="E1356" s="7" t="s">
        <v>85</v>
      </c>
      <c r="F1356" s="7">
        <v>3.0</v>
      </c>
      <c r="G1356" s="7" t="s">
        <v>66</v>
      </c>
      <c r="H1356" s="7">
        <v>2.0</v>
      </c>
      <c r="I1356" s="7">
        <v>4.0</v>
      </c>
      <c r="J1356" s="7">
        <v>2.0</v>
      </c>
      <c r="K1356" s="7" t="s">
        <v>51</v>
      </c>
      <c r="L1356" s="9" t="str">
        <f>VLOOKUP(K1356, 'Alphabetical by species code'!A:B, 2, FALSE)</f>
        <v>Bareground</v>
      </c>
      <c r="M1356" s="9" t="str">
        <f>VLOOKUP(L1356, 'Alphabetical by species code'!B:C, 2, FALSE)</f>
        <v>Ground Cover</v>
      </c>
    </row>
    <row r="1357">
      <c r="A1357" s="7">
        <v>16.0</v>
      </c>
      <c r="B1357" s="7">
        <v>2025.0</v>
      </c>
      <c r="C1357" s="8">
        <v>45790.0</v>
      </c>
      <c r="D1357" s="7" t="s">
        <v>83</v>
      </c>
      <c r="E1357" s="7" t="s">
        <v>85</v>
      </c>
      <c r="F1357" s="7">
        <v>3.0</v>
      </c>
      <c r="G1357" s="7" t="s">
        <v>66</v>
      </c>
      <c r="H1357" s="7">
        <v>2.0</v>
      </c>
      <c r="I1357" s="7">
        <v>5.0</v>
      </c>
      <c r="J1357" s="7">
        <v>3.0</v>
      </c>
      <c r="K1357" s="7" t="s">
        <v>51</v>
      </c>
      <c r="L1357" s="9" t="str">
        <f>VLOOKUP(K1357, 'Alphabetical by species code'!A:B, 2, FALSE)</f>
        <v>Bareground</v>
      </c>
      <c r="M1357" s="9" t="str">
        <f>VLOOKUP(L1357, 'Alphabetical by species code'!B:C, 2, FALSE)</f>
        <v>Ground Cover</v>
      </c>
    </row>
    <row r="1358">
      <c r="A1358" s="7">
        <v>16.0</v>
      </c>
      <c r="B1358" s="7">
        <v>2025.0</v>
      </c>
      <c r="C1358" s="8">
        <v>45790.0</v>
      </c>
      <c r="D1358" s="7" t="s">
        <v>83</v>
      </c>
      <c r="E1358" s="7" t="s">
        <v>85</v>
      </c>
      <c r="F1358" s="7">
        <v>3.0</v>
      </c>
      <c r="G1358" s="7" t="s">
        <v>66</v>
      </c>
      <c r="H1358" s="7">
        <v>2.0</v>
      </c>
      <c r="I1358" s="7">
        <v>5.0</v>
      </c>
      <c r="J1358" s="7">
        <v>3.0</v>
      </c>
      <c r="K1358" s="7" t="s">
        <v>64</v>
      </c>
      <c r="L1358" s="9" t="str">
        <f>VLOOKUP(K1358, 'Alphabetical by species code'!A:B, 2, FALSE)</f>
        <v>Brassica nigra</v>
      </c>
      <c r="M1358" s="9" t="str">
        <f>VLOOKUP(L1358, 'Alphabetical by species code'!B:C, 2, FALSE)</f>
        <v>Non-Native</v>
      </c>
    </row>
    <row r="1359">
      <c r="A1359" s="7">
        <v>16.0</v>
      </c>
      <c r="B1359" s="7">
        <v>2025.0</v>
      </c>
      <c r="C1359" s="8">
        <v>45790.0</v>
      </c>
      <c r="D1359" s="7" t="s">
        <v>83</v>
      </c>
      <c r="E1359" s="7" t="s">
        <v>85</v>
      </c>
      <c r="F1359" s="7">
        <v>3.0</v>
      </c>
      <c r="G1359" s="7" t="s">
        <v>66</v>
      </c>
      <c r="H1359" s="7">
        <v>2.0</v>
      </c>
      <c r="I1359" s="7">
        <v>6.0</v>
      </c>
      <c r="J1359" s="7">
        <v>3.5</v>
      </c>
      <c r="K1359" s="7" t="s">
        <v>28</v>
      </c>
      <c r="L1359" s="9" t="str">
        <f>VLOOKUP(K1359, 'Alphabetical by species code'!A:B, 2, FALSE)</f>
        <v>Litter</v>
      </c>
      <c r="M1359" s="9" t="str">
        <f>VLOOKUP(L1359, 'Alphabetical by species code'!B:C, 2, FALSE)</f>
        <v>Ground Cover</v>
      </c>
    </row>
    <row r="1360">
      <c r="A1360" s="7">
        <v>16.0</v>
      </c>
      <c r="B1360" s="7">
        <v>2025.0</v>
      </c>
      <c r="C1360" s="8">
        <v>45790.0</v>
      </c>
      <c r="D1360" s="7" t="s">
        <v>83</v>
      </c>
      <c r="E1360" s="7" t="s">
        <v>85</v>
      </c>
      <c r="F1360" s="7">
        <v>3.0</v>
      </c>
      <c r="G1360" s="7" t="s">
        <v>66</v>
      </c>
      <c r="H1360" s="7">
        <v>2.0</v>
      </c>
      <c r="I1360" s="7">
        <v>6.0</v>
      </c>
      <c r="J1360" s="7">
        <v>3.5</v>
      </c>
      <c r="K1360" s="7" t="s">
        <v>64</v>
      </c>
      <c r="L1360" s="9" t="str">
        <f>VLOOKUP(K1360, 'Alphabetical by species code'!A:B, 2, FALSE)</f>
        <v>Brassica nigra</v>
      </c>
      <c r="M1360" s="9" t="str">
        <f>VLOOKUP(L1360, 'Alphabetical by species code'!B:C, 2, FALSE)</f>
        <v>Non-Native</v>
      </c>
    </row>
    <row r="1361">
      <c r="A1361" s="7">
        <v>16.0</v>
      </c>
      <c r="B1361" s="7">
        <v>2025.0</v>
      </c>
      <c r="C1361" s="8">
        <v>45790.0</v>
      </c>
      <c r="D1361" s="7" t="s">
        <v>83</v>
      </c>
      <c r="E1361" s="7" t="s">
        <v>85</v>
      </c>
      <c r="F1361" s="7">
        <v>3.0</v>
      </c>
      <c r="G1361" s="7" t="s">
        <v>66</v>
      </c>
      <c r="H1361" s="7">
        <v>2.0</v>
      </c>
      <c r="I1361" s="7">
        <v>7.0</v>
      </c>
      <c r="J1361" s="7">
        <v>4.0</v>
      </c>
      <c r="K1361" s="7" t="s">
        <v>28</v>
      </c>
      <c r="L1361" s="9" t="str">
        <f>VLOOKUP(K1361, 'Alphabetical by species code'!A:B, 2, FALSE)</f>
        <v>Litter</v>
      </c>
      <c r="M1361" s="9" t="str">
        <f>VLOOKUP(L1361, 'Alphabetical by species code'!B:C, 2, FALSE)</f>
        <v>Ground Cover</v>
      </c>
    </row>
    <row r="1362">
      <c r="A1362" s="7">
        <v>16.0</v>
      </c>
      <c r="B1362" s="7">
        <v>2025.0</v>
      </c>
      <c r="C1362" s="8">
        <v>45790.0</v>
      </c>
      <c r="D1362" s="7" t="s">
        <v>83</v>
      </c>
      <c r="E1362" s="7" t="s">
        <v>85</v>
      </c>
      <c r="F1362" s="7">
        <v>3.0</v>
      </c>
      <c r="G1362" s="7" t="s">
        <v>66</v>
      </c>
      <c r="H1362" s="7">
        <v>2.0</v>
      </c>
      <c r="I1362" s="7">
        <v>7.0</v>
      </c>
      <c r="J1362" s="7">
        <v>4.0</v>
      </c>
      <c r="K1362" s="7" t="s">
        <v>57</v>
      </c>
      <c r="L1362" s="9" t="str">
        <f>VLOOKUP(K1362, 'Alphabetical by species code'!A:B, 2, FALSE)</f>
        <v>Stipa pulchra</v>
      </c>
      <c r="M1362" s="9" t="str">
        <f>VLOOKUP(L1362, 'Alphabetical by species code'!B:C, 2, FALSE)</f>
        <v>Native</v>
      </c>
    </row>
    <row r="1363">
      <c r="A1363" s="7">
        <v>16.0</v>
      </c>
      <c r="B1363" s="7">
        <v>2025.0</v>
      </c>
      <c r="C1363" s="8">
        <v>45790.0</v>
      </c>
      <c r="D1363" s="7" t="s">
        <v>83</v>
      </c>
      <c r="E1363" s="7" t="s">
        <v>85</v>
      </c>
      <c r="F1363" s="7">
        <v>3.0</v>
      </c>
      <c r="G1363" s="7" t="s">
        <v>66</v>
      </c>
      <c r="H1363" s="7">
        <v>2.0</v>
      </c>
      <c r="I1363" s="7">
        <v>8.0</v>
      </c>
      <c r="J1363" s="7">
        <v>5.0</v>
      </c>
      <c r="K1363" s="7" t="s">
        <v>28</v>
      </c>
      <c r="L1363" s="9" t="str">
        <f>VLOOKUP(K1363, 'Alphabetical by species code'!A:B, 2, FALSE)</f>
        <v>Litter</v>
      </c>
      <c r="M1363" s="9" t="str">
        <f>VLOOKUP(L1363, 'Alphabetical by species code'!B:C, 2, FALSE)</f>
        <v>Ground Cover</v>
      </c>
    </row>
    <row r="1364">
      <c r="A1364" s="7">
        <v>16.0</v>
      </c>
      <c r="B1364" s="7">
        <v>2025.0</v>
      </c>
      <c r="C1364" s="8">
        <v>45790.0</v>
      </c>
      <c r="D1364" s="7" t="s">
        <v>83</v>
      </c>
      <c r="E1364" s="7" t="s">
        <v>85</v>
      </c>
      <c r="F1364" s="7">
        <v>3.0</v>
      </c>
      <c r="G1364" s="7" t="s">
        <v>66</v>
      </c>
      <c r="H1364" s="7">
        <v>2.0</v>
      </c>
      <c r="I1364" s="7">
        <v>9.0</v>
      </c>
      <c r="J1364" s="7">
        <v>7.0</v>
      </c>
      <c r="K1364" s="7" t="s">
        <v>28</v>
      </c>
      <c r="L1364" s="9" t="str">
        <f>VLOOKUP(K1364, 'Alphabetical by species code'!A:B, 2, FALSE)</f>
        <v>Litter</v>
      </c>
      <c r="M1364" s="9" t="str">
        <f>VLOOKUP(L1364, 'Alphabetical by species code'!B:C, 2, FALSE)</f>
        <v>Ground Cover</v>
      </c>
    </row>
    <row r="1365">
      <c r="A1365" s="7">
        <v>16.0</v>
      </c>
      <c r="B1365" s="7">
        <v>2025.0</v>
      </c>
      <c r="C1365" s="8">
        <v>45790.0</v>
      </c>
      <c r="D1365" s="7" t="s">
        <v>83</v>
      </c>
      <c r="E1365" s="7" t="s">
        <v>85</v>
      </c>
      <c r="F1365" s="7">
        <v>3.0</v>
      </c>
      <c r="G1365" s="7" t="s">
        <v>66</v>
      </c>
      <c r="H1365" s="7">
        <v>2.0</v>
      </c>
      <c r="I1365" s="7">
        <v>10.0</v>
      </c>
      <c r="J1365" s="7">
        <v>8.0</v>
      </c>
      <c r="K1365" s="7" t="s">
        <v>28</v>
      </c>
      <c r="L1365" s="9" t="str">
        <f>VLOOKUP(K1365, 'Alphabetical by species code'!A:B, 2, FALSE)</f>
        <v>Litter</v>
      </c>
      <c r="M1365" s="9" t="str">
        <f>VLOOKUP(L1365, 'Alphabetical by species code'!B:C, 2, FALSE)</f>
        <v>Ground Cover</v>
      </c>
    </row>
    <row r="1366">
      <c r="A1366" s="7">
        <v>16.0</v>
      </c>
      <c r="B1366" s="7">
        <v>2025.0</v>
      </c>
      <c r="C1366" s="8">
        <v>45790.0</v>
      </c>
      <c r="D1366" s="7" t="s">
        <v>83</v>
      </c>
      <c r="E1366" s="7" t="s">
        <v>85</v>
      </c>
      <c r="F1366" s="7">
        <v>3.0</v>
      </c>
      <c r="G1366" s="7" t="s">
        <v>66</v>
      </c>
      <c r="H1366" s="7">
        <v>2.0</v>
      </c>
      <c r="I1366" s="7">
        <v>11.0</v>
      </c>
      <c r="J1366" s="7">
        <v>8.5</v>
      </c>
      <c r="K1366" s="7" t="s">
        <v>28</v>
      </c>
      <c r="L1366" s="9" t="str">
        <f>VLOOKUP(K1366, 'Alphabetical by species code'!A:B, 2, FALSE)</f>
        <v>Litter</v>
      </c>
      <c r="M1366" s="9" t="str">
        <f>VLOOKUP(L1366, 'Alphabetical by species code'!B:C, 2, FALSE)</f>
        <v>Ground Cover</v>
      </c>
    </row>
    <row r="1367">
      <c r="A1367" s="7">
        <v>16.0</v>
      </c>
      <c r="B1367" s="7">
        <v>2025.0</v>
      </c>
      <c r="C1367" s="8">
        <v>45790.0</v>
      </c>
      <c r="D1367" s="7" t="s">
        <v>83</v>
      </c>
      <c r="E1367" s="7" t="s">
        <v>85</v>
      </c>
      <c r="F1367" s="7">
        <v>3.0</v>
      </c>
      <c r="G1367" s="7" t="s">
        <v>66</v>
      </c>
      <c r="H1367" s="7">
        <v>2.0</v>
      </c>
      <c r="I1367" s="7">
        <v>12.0</v>
      </c>
      <c r="J1367" s="7">
        <v>9.0</v>
      </c>
      <c r="K1367" s="7" t="s">
        <v>51</v>
      </c>
      <c r="L1367" s="9" t="str">
        <f>VLOOKUP(K1367, 'Alphabetical by species code'!A:B, 2, FALSE)</f>
        <v>Bareground</v>
      </c>
      <c r="M1367" s="9" t="str">
        <f>VLOOKUP(L1367, 'Alphabetical by species code'!B:C, 2, FALSE)</f>
        <v>Ground Cover</v>
      </c>
    </row>
    <row r="1368">
      <c r="A1368" s="7">
        <v>16.0</v>
      </c>
      <c r="B1368" s="7">
        <v>2025.0</v>
      </c>
      <c r="C1368" s="8">
        <v>45790.0</v>
      </c>
      <c r="D1368" s="7" t="s">
        <v>83</v>
      </c>
      <c r="E1368" s="7" t="s">
        <v>85</v>
      </c>
      <c r="F1368" s="7">
        <v>3.0</v>
      </c>
      <c r="G1368" s="7" t="s">
        <v>66</v>
      </c>
      <c r="H1368" s="7">
        <v>2.0</v>
      </c>
      <c r="I1368" s="7">
        <v>12.0</v>
      </c>
      <c r="J1368" s="7">
        <v>9.0</v>
      </c>
      <c r="K1368" s="7" t="s">
        <v>32</v>
      </c>
      <c r="L1368" s="9" t="str">
        <f>VLOOKUP(K1368, 'Alphabetical by species code'!A:B, 2, FALSE)</f>
        <v>Medicago polymorpha</v>
      </c>
      <c r="M1368" s="9" t="str">
        <f>VLOOKUP(L1368, 'Alphabetical by species code'!B:C, 2, FALSE)</f>
        <v>Non-Native</v>
      </c>
    </row>
    <row r="1369">
      <c r="A1369" s="7">
        <v>16.0</v>
      </c>
      <c r="B1369" s="7">
        <v>2025.0</v>
      </c>
      <c r="C1369" s="8">
        <v>45790.0</v>
      </c>
      <c r="D1369" s="7" t="s">
        <v>83</v>
      </c>
      <c r="E1369" s="7" t="s">
        <v>85</v>
      </c>
      <c r="F1369" s="7">
        <v>3.0</v>
      </c>
      <c r="G1369" s="7" t="s">
        <v>66</v>
      </c>
      <c r="H1369" s="7">
        <v>2.0</v>
      </c>
      <c r="I1369" s="7">
        <v>13.0</v>
      </c>
      <c r="J1369" s="7">
        <v>10.0</v>
      </c>
      <c r="K1369" s="7" t="s">
        <v>28</v>
      </c>
      <c r="L1369" s="9" t="str">
        <f>VLOOKUP(K1369, 'Alphabetical by species code'!A:B, 2, FALSE)</f>
        <v>Litter</v>
      </c>
      <c r="M1369" s="9" t="str">
        <f>VLOOKUP(L1369, 'Alphabetical by species code'!B:C, 2, FALSE)</f>
        <v>Ground Cover</v>
      </c>
    </row>
    <row r="1370">
      <c r="A1370" s="7">
        <v>16.0</v>
      </c>
      <c r="B1370" s="7">
        <v>2025.0</v>
      </c>
      <c r="C1370" s="8">
        <v>45790.0</v>
      </c>
      <c r="D1370" s="7" t="s">
        <v>83</v>
      </c>
      <c r="E1370" s="7" t="s">
        <v>85</v>
      </c>
      <c r="F1370" s="7">
        <v>3.0</v>
      </c>
      <c r="G1370" s="7" t="s">
        <v>66</v>
      </c>
      <c r="H1370" s="7">
        <v>2.0</v>
      </c>
      <c r="I1370" s="7">
        <v>14.0</v>
      </c>
      <c r="J1370" s="7">
        <v>11.0</v>
      </c>
      <c r="K1370" s="7" t="s">
        <v>28</v>
      </c>
      <c r="L1370" s="9" t="str">
        <f>VLOOKUP(K1370, 'Alphabetical by species code'!A:B, 2, FALSE)</f>
        <v>Litter</v>
      </c>
      <c r="M1370" s="9" t="str">
        <f>VLOOKUP(L1370, 'Alphabetical by species code'!B:C, 2, FALSE)</f>
        <v>Ground Cover</v>
      </c>
    </row>
    <row r="1371">
      <c r="A1371" s="7">
        <v>16.0</v>
      </c>
      <c r="B1371" s="7">
        <v>2025.0</v>
      </c>
      <c r="C1371" s="8">
        <v>45790.0</v>
      </c>
      <c r="D1371" s="7" t="s">
        <v>83</v>
      </c>
      <c r="E1371" s="7" t="s">
        <v>85</v>
      </c>
      <c r="F1371" s="7">
        <v>3.0</v>
      </c>
      <c r="G1371" s="7" t="s">
        <v>66</v>
      </c>
      <c r="H1371" s="7">
        <v>2.0</v>
      </c>
      <c r="I1371" s="7">
        <v>14.0</v>
      </c>
      <c r="J1371" s="7">
        <v>11.0</v>
      </c>
      <c r="K1371" s="7" t="s">
        <v>32</v>
      </c>
      <c r="L1371" s="9" t="str">
        <f>VLOOKUP(K1371, 'Alphabetical by species code'!A:B, 2, FALSE)</f>
        <v>Medicago polymorpha</v>
      </c>
      <c r="M1371" s="9" t="str">
        <f>VLOOKUP(L1371, 'Alphabetical by species code'!B:C, 2, FALSE)</f>
        <v>Non-Native</v>
      </c>
    </row>
    <row r="1372">
      <c r="A1372" s="7">
        <v>16.0</v>
      </c>
      <c r="B1372" s="7">
        <v>2025.0</v>
      </c>
      <c r="C1372" s="8">
        <v>45790.0</v>
      </c>
      <c r="D1372" s="7" t="s">
        <v>83</v>
      </c>
      <c r="E1372" s="7" t="s">
        <v>85</v>
      </c>
      <c r="F1372" s="7">
        <v>3.0</v>
      </c>
      <c r="G1372" s="7" t="s">
        <v>66</v>
      </c>
      <c r="H1372" s="7">
        <v>2.0</v>
      </c>
      <c r="I1372" s="7">
        <v>15.0</v>
      </c>
      <c r="J1372" s="7">
        <v>12.0</v>
      </c>
      <c r="K1372" s="7" t="s">
        <v>28</v>
      </c>
      <c r="L1372" s="9" t="str">
        <f>VLOOKUP(K1372, 'Alphabetical by species code'!A:B, 2, FALSE)</f>
        <v>Litter</v>
      </c>
      <c r="M1372" s="9" t="str">
        <f>VLOOKUP(L1372, 'Alphabetical by species code'!B:C, 2, FALSE)</f>
        <v>Ground Cover</v>
      </c>
    </row>
    <row r="1373">
      <c r="A1373" s="7">
        <v>16.0</v>
      </c>
      <c r="B1373" s="7">
        <v>2025.0</v>
      </c>
      <c r="C1373" s="8">
        <v>45790.0</v>
      </c>
      <c r="D1373" s="7" t="s">
        <v>83</v>
      </c>
      <c r="E1373" s="7" t="s">
        <v>85</v>
      </c>
      <c r="F1373" s="7">
        <v>3.0</v>
      </c>
      <c r="G1373" s="7" t="s">
        <v>66</v>
      </c>
      <c r="H1373" s="7">
        <v>2.0</v>
      </c>
      <c r="I1373" s="7">
        <v>15.0</v>
      </c>
      <c r="J1373" s="7">
        <v>12.0</v>
      </c>
      <c r="K1373" s="7" t="s">
        <v>88</v>
      </c>
      <c r="L1373" s="9" t="str">
        <f>VLOOKUP(K1373, 'Alphabetical by species code'!A:B, 2, FALSE)</f>
        <v>Bromus hordeaceus</v>
      </c>
      <c r="M1373" s="9" t="str">
        <f>VLOOKUP(L1373, 'Alphabetical by species code'!B:C, 2, FALSE)</f>
        <v>Non-Native</v>
      </c>
    </row>
    <row r="1374">
      <c r="A1374" s="7">
        <v>16.0</v>
      </c>
      <c r="B1374" s="7">
        <v>2025.0</v>
      </c>
      <c r="C1374" s="8">
        <v>45790.0</v>
      </c>
      <c r="D1374" s="7" t="s">
        <v>83</v>
      </c>
      <c r="E1374" s="7" t="s">
        <v>85</v>
      </c>
      <c r="F1374" s="7">
        <v>3.0</v>
      </c>
      <c r="G1374" s="7" t="s">
        <v>66</v>
      </c>
      <c r="H1374" s="7">
        <v>2.0</v>
      </c>
      <c r="I1374" s="7">
        <v>15.0</v>
      </c>
      <c r="J1374" s="7">
        <v>12.0</v>
      </c>
      <c r="K1374" s="7" t="s">
        <v>87</v>
      </c>
      <c r="L1374" s="9" t="str">
        <f>VLOOKUP(K1374, 'Alphabetical by species code'!A:B, 2, FALSE)</f>
        <v>#N/A</v>
      </c>
      <c r="M1374" s="9" t="str">
        <f>VLOOKUP(L1374, 'Alphabetical by species code'!B:C, 2, FALSE)</f>
        <v>#N/A</v>
      </c>
    </row>
    <row r="1375">
      <c r="H1375" s="7"/>
      <c r="I1375" s="7"/>
      <c r="J1375" s="7"/>
      <c r="K1375" s="7"/>
    </row>
    <row r="1376">
      <c r="H1376" s="7"/>
      <c r="I1376" s="7"/>
      <c r="J1376" s="7"/>
      <c r="K1376" s="7"/>
    </row>
    <row r="1377">
      <c r="H1377" s="7"/>
      <c r="I1377" s="7"/>
      <c r="J1377" s="7"/>
      <c r="K1377" s="7"/>
    </row>
    <row r="1378">
      <c r="H1378" s="7"/>
      <c r="I1378" s="7"/>
      <c r="J1378" s="7"/>
      <c r="K1378" s="7"/>
    </row>
    <row r="1379">
      <c r="H1379" s="7"/>
      <c r="I1379" s="7"/>
      <c r="J1379" s="7"/>
      <c r="K1379" s="7"/>
    </row>
    <row r="1380">
      <c r="H1380" s="7"/>
      <c r="I1380" s="7"/>
      <c r="J1380" s="7"/>
      <c r="K1380" s="7"/>
    </row>
    <row r="1381">
      <c r="H1381" s="7"/>
      <c r="I1381" s="7"/>
      <c r="J1381" s="7"/>
      <c r="K1381" s="7"/>
    </row>
    <row r="1382">
      <c r="H1382" s="7"/>
      <c r="I1382" s="7"/>
      <c r="J1382" s="7"/>
      <c r="K1382" s="7"/>
    </row>
    <row r="1383">
      <c r="H1383" s="7"/>
      <c r="I1383" s="7"/>
      <c r="J1383" s="7"/>
      <c r="K1383" s="7"/>
    </row>
    <row r="1384">
      <c r="H1384" s="7"/>
      <c r="I1384" s="7"/>
      <c r="J1384" s="7"/>
      <c r="K1384" s="7"/>
    </row>
    <row r="1385">
      <c r="H1385" s="7"/>
      <c r="I1385" s="7"/>
      <c r="J1385" s="7"/>
      <c r="K1385" s="7"/>
    </row>
    <row r="1386">
      <c r="H1386" s="7"/>
      <c r="I1386" s="7"/>
      <c r="J1386" s="7"/>
      <c r="K1386" s="7"/>
    </row>
    <row r="1387">
      <c r="H1387" s="7"/>
      <c r="I1387" s="7"/>
      <c r="J1387" s="7"/>
      <c r="K1387" s="7"/>
    </row>
    <row r="1388">
      <c r="H1388" s="7"/>
      <c r="I1388" s="7"/>
      <c r="J1388" s="7"/>
      <c r="K1388" s="7"/>
    </row>
    <row r="1389">
      <c r="H1389" s="7"/>
      <c r="I1389" s="7"/>
      <c r="J1389" s="7"/>
      <c r="K1389" s="7"/>
    </row>
    <row r="1390">
      <c r="H1390" s="7"/>
      <c r="I1390" s="7"/>
      <c r="J1390" s="7"/>
      <c r="K1390" s="7"/>
    </row>
    <row r="1391">
      <c r="H1391" s="7"/>
      <c r="I1391" s="7"/>
      <c r="J1391" s="7"/>
      <c r="K1391" s="7"/>
    </row>
    <row r="1392">
      <c r="H1392" s="7"/>
      <c r="I1392" s="7"/>
      <c r="J1392" s="7"/>
      <c r="K1392" s="7"/>
    </row>
    <row r="1393">
      <c r="H1393" s="7"/>
      <c r="I1393" s="7"/>
      <c r="J1393" s="7"/>
      <c r="K1393" s="7"/>
    </row>
    <row r="1394">
      <c r="H1394" s="7"/>
      <c r="I1394" s="7"/>
      <c r="J1394" s="7"/>
      <c r="K1394" s="7"/>
    </row>
    <row r="1395">
      <c r="H1395" s="7"/>
      <c r="I1395" s="7"/>
      <c r="J1395" s="7"/>
      <c r="K1395" s="7"/>
    </row>
    <row r="1396">
      <c r="H1396" s="7"/>
      <c r="I1396" s="7"/>
      <c r="J1396" s="7"/>
      <c r="K1396" s="7"/>
    </row>
    <row r="1397">
      <c r="H1397" s="7"/>
      <c r="I1397" s="7"/>
      <c r="J1397" s="7"/>
      <c r="K1397" s="7"/>
    </row>
    <row r="1398">
      <c r="H1398" s="7"/>
      <c r="I1398" s="7"/>
      <c r="J1398" s="7"/>
      <c r="K1398" s="7"/>
    </row>
    <row r="1399">
      <c r="H1399" s="7"/>
      <c r="I1399" s="7"/>
      <c r="J1399" s="7"/>
      <c r="K1399" s="7"/>
    </row>
    <row r="1400">
      <c r="H1400" s="7"/>
      <c r="I1400" s="7"/>
      <c r="J1400" s="7"/>
      <c r="K1400" s="7"/>
    </row>
    <row r="1401">
      <c r="H1401" s="7"/>
      <c r="I1401" s="7"/>
      <c r="J1401" s="7"/>
      <c r="K1401" s="7"/>
    </row>
    <row r="1402">
      <c r="H1402" s="7"/>
      <c r="I1402" s="7"/>
      <c r="J1402" s="7"/>
      <c r="K1402" s="7"/>
    </row>
    <row r="1403">
      <c r="H1403" s="7"/>
      <c r="I1403" s="7"/>
      <c r="J1403" s="7"/>
      <c r="K1403" s="7"/>
    </row>
    <row r="1404">
      <c r="H1404" s="7"/>
      <c r="I1404" s="7"/>
      <c r="J1404" s="7"/>
      <c r="K1404" s="7"/>
    </row>
    <row r="1405">
      <c r="H1405" s="7"/>
      <c r="I1405" s="7"/>
      <c r="J1405" s="7"/>
      <c r="K1405" s="7"/>
    </row>
    <row r="1406">
      <c r="H1406" s="7"/>
      <c r="I1406" s="7"/>
      <c r="J1406" s="7"/>
      <c r="K1406" s="7"/>
    </row>
    <row r="1407">
      <c r="H1407" s="7"/>
      <c r="I1407" s="7"/>
      <c r="J1407" s="7"/>
      <c r="K1407" s="7"/>
    </row>
    <row r="1408">
      <c r="H1408" s="7"/>
      <c r="I1408" s="7"/>
      <c r="J1408" s="7"/>
      <c r="K1408" s="7"/>
    </row>
    <row r="1409">
      <c r="H1409" s="7"/>
      <c r="I1409" s="7"/>
      <c r="J1409" s="7"/>
      <c r="K1409" s="7"/>
    </row>
    <row r="1410">
      <c r="H1410" s="7"/>
      <c r="I1410" s="7"/>
      <c r="J1410" s="7"/>
      <c r="K1410" s="7"/>
    </row>
    <row r="1411">
      <c r="H1411" s="7"/>
      <c r="I1411" s="7"/>
      <c r="J1411" s="7"/>
      <c r="K1411" s="7"/>
    </row>
    <row r="1412">
      <c r="H1412" s="7"/>
      <c r="I1412" s="7"/>
      <c r="J1412" s="7"/>
      <c r="K1412" s="7"/>
    </row>
    <row r="1413">
      <c r="H1413" s="7"/>
      <c r="I1413" s="7"/>
      <c r="J1413" s="7"/>
      <c r="K1413" s="7"/>
    </row>
    <row r="1414">
      <c r="H1414" s="7"/>
      <c r="I1414" s="7"/>
      <c r="J1414" s="7"/>
      <c r="K1414" s="7"/>
    </row>
    <row r="1415">
      <c r="H1415" s="7"/>
      <c r="I1415" s="7"/>
      <c r="J1415" s="7"/>
      <c r="K1415" s="7"/>
    </row>
    <row r="1416">
      <c r="H1416" s="7"/>
      <c r="I1416" s="7"/>
      <c r="J1416" s="7"/>
      <c r="K1416" s="7"/>
    </row>
    <row r="1417">
      <c r="H1417" s="7"/>
      <c r="I1417" s="7"/>
      <c r="J1417" s="7"/>
      <c r="K1417" s="7"/>
    </row>
    <row r="1418">
      <c r="H1418" s="7"/>
      <c r="I1418" s="7"/>
      <c r="J1418" s="7"/>
      <c r="K1418" s="7"/>
    </row>
    <row r="1419">
      <c r="H1419" s="7"/>
      <c r="I1419" s="7"/>
      <c r="J1419" s="7"/>
      <c r="K1419" s="7"/>
    </row>
    <row r="1420">
      <c r="H1420" s="7"/>
      <c r="I1420" s="7"/>
      <c r="J1420" s="7"/>
      <c r="K1420" s="7"/>
    </row>
    <row r="1421">
      <c r="H1421" s="7"/>
      <c r="I1421" s="7"/>
      <c r="J1421" s="7"/>
      <c r="K1421" s="7"/>
    </row>
    <row r="1422">
      <c r="H1422" s="7"/>
      <c r="I1422" s="7"/>
      <c r="J1422" s="7"/>
      <c r="K1422" s="7"/>
    </row>
    <row r="1423">
      <c r="H1423" s="7"/>
      <c r="I1423" s="7"/>
      <c r="J1423" s="7"/>
      <c r="K1423" s="7"/>
    </row>
    <row r="1424">
      <c r="H1424" s="7"/>
      <c r="I1424" s="7"/>
      <c r="J1424" s="7"/>
      <c r="K1424" s="7"/>
    </row>
    <row r="1425">
      <c r="H1425" s="7"/>
      <c r="I1425" s="7"/>
      <c r="J1425" s="7"/>
      <c r="K1425" s="7"/>
    </row>
    <row r="1426">
      <c r="H1426" s="7"/>
      <c r="I1426" s="7"/>
      <c r="J1426" s="7"/>
      <c r="K1426" s="7"/>
    </row>
    <row r="1427">
      <c r="H1427" s="7"/>
      <c r="I1427" s="7"/>
      <c r="J1427" s="7"/>
      <c r="K1427" s="7"/>
    </row>
    <row r="1428">
      <c r="H1428" s="7"/>
      <c r="I1428" s="7"/>
      <c r="J1428" s="7"/>
      <c r="K1428" s="7"/>
    </row>
    <row r="1429">
      <c r="H1429" s="7"/>
      <c r="I1429" s="7"/>
      <c r="J1429" s="7"/>
      <c r="K1429" s="7"/>
    </row>
    <row r="1430">
      <c r="H1430" s="7"/>
      <c r="I1430" s="7"/>
      <c r="J1430" s="7"/>
      <c r="K1430" s="7"/>
    </row>
    <row r="1431">
      <c r="H1431" s="7"/>
      <c r="I1431" s="7"/>
      <c r="J1431" s="7"/>
      <c r="K1431" s="7"/>
    </row>
    <row r="1432">
      <c r="H1432" s="7"/>
      <c r="I1432" s="7"/>
      <c r="J1432" s="7"/>
      <c r="K1432" s="7"/>
    </row>
    <row r="1433">
      <c r="H1433" s="7"/>
      <c r="I1433" s="7"/>
      <c r="J1433" s="7"/>
      <c r="K1433" s="7"/>
    </row>
    <row r="1434">
      <c r="H1434" s="7"/>
      <c r="I1434" s="7"/>
      <c r="J1434" s="7"/>
      <c r="K1434" s="7"/>
    </row>
    <row r="1435">
      <c r="H1435" s="7"/>
      <c r="I1435" s="7"/>
      <c r="J1435" s="7"/>
      <c r="K1435" s="7"/>
    </row>
    <row r="1436">
      <c r="H1436" s="7"/>
      <c r="I1436" s="7"/>
      <c r="J1436" s="7"/>
      <c r="K1436" s="7"/>
    </row>
    <row r="1437">
      <c r="H1437" s="7"/>
      <c r="I1437" s="7"/>
      <c r="J1437" s="7"/>
      <c r="K1437" s="7"/>
    </row>
    <row r="1438">
      <c r="H1438" s="7"/>
      <c r="I1438" s="7"/>
      <c r="J1438" s="7"/>
      <c r="K1438" s="7"/>
    </row>
    <row r="1439">
      <c r="H1439" s="7"/>
      <c r="I1439" s="7"/>
      <c r="J1439" s="7"/>
      <c r="K1439" s="7"/>
    </row>
    <row r="1440">
      <c r="H1440" s="7"/>
      <c r="I1440" s="7"/>
      <c r="J1440" s="7"/>
      <c r="K1440" s="7"/>
    </row>
    <row r="1441">
      <c r="H1441" s="7"/>
      <c r="I1441" s="7"/>
      <c r="J1441" s="7"/>
      <c r="K1441" s="7"/>
    </row>
    <row r="1442">
      <c r="H1442" s="7"/>
      <c r="I1442" s="7"/>
      <c r="J1442" s="7"/>
      <c r="K1442" s="7"/>
    </row>
    <row r="1443">
      <c r="H1443" s="7"/>
      <c r="I1443" s="7"/>
      <c r="J1443" s="7"/>
      <c r="K1443" s="7"/>
    </row>
    <row r="1444">
      <c r="H1444" s="7"/>
      <c r="I1444" s="7"/>
      <c r="J1444" s="7"/>
      <c r="K1444" s="7"/>
    </row>
    <row r="1445">
      <c r="H1445" s="7"/>
      <c r="I1445" s="7"/>
      <c r="J1445" s="7"/>
      <c r="K1445" s="7"/>
    </row>
    <row r="1446">
      <c r="H1446" s="7"/>
      <c r="I1446" s="7"/>
      <c r="J1446" s="7"/>
      <c r="K1446" s="7"/>
    </row>
    <row r="1447">
      <c r="H1447" s="7"/>
      <c r="I1447" s="7"/>
      <c r="J1447" s="7"/>
      <c r="K1447" s="7"/>
    </row>
    <row r="1448">
      <c r="H1448" s="7"/>
      <c r="I1448" s="7"/>
      <c r="J1448" s="7"/>
      <c r="K1448" s="7"/>
    </row>
    <row r="1449">
      <c r="H1449" s="7"/>
      <c r="I1449" s="7"/>
      <c r="J1449" s="7"/>
      <c r="K1449" s="7"/>
    </row>
    <row r="1450">
      <c r="H1450" s="7"/>
      <c r="I1450" s="7"/>
      <c r="J1450" s="7"/>
      <c r="K1450" s="7"/>
    </row>
    <row r="1451">
      <c r="H1451" s="7"/>
      <c r="I1451" s="7"/>
      <c r="J1451" s="7"/>
      <c r="K1451" s="7"/>
    </row>
    <row r="1452">
      <c r="H1452" s="7"/>
      <c r="I1452" s="7"/>
      <c r="J1452" s="7"/>
      <c r="K1452" s="7"/>
    </row>
    <row r="1453">
      <c r="H1453" s="7"/>
      <c r="I1453" s="7"/>
      <c r="J1453" s="7"/>
      <c r="K1453" s="7"/>
    </row>
    <row r="1454">
      <c r="H1454" s="7"/>
      <c r="I1454" s="7"/>
      <c r="J1454" s="7"/>
      <c r="K1454" s="7"/>
    </row>
    <row r="1455">
      <c r="H1455" s="7"/>
      <c r="I1455" s="7"/>
      <c r="J1455" s="7"/>
      <c r="K1455" s="7"/>
    </row>
    <row r="1456">
      <c r="H1456" s="7"/>
      <c r="I1456" s="7"/>
      <c r="J1456" s="7"/>
      <c r="K1456" s="7"/>
    </row>
    <row r="1457">
      <c r="H1457" s="7"/>
      <c r="I1457" s="7"/>
      <c r="J1457" s="7"/>
      <c r="K1457" s="7"/>
    </row>
    <row r="1458">
      <c r="H1458" s="7"/>
      <c r="I1458" s="7"/>
      <c r="J1458" s="7"/>
      <c r="K1458" s="7"/>
    </row>
    <row r="1459">
      <c r="H1459" s="7"/>
      <c r="I1459" s="7"/>
      <c r="J1459" s="7"/>
      <c r="K1459" s="7"/>
    </row>
    <row r="1460">
      <c r="H1460" s="7"/>
      <c r="I1460" s="7"/>
      <c r="J1460" s="7"/>
      <c r="K1460" s="7"/>
    </row>
    <row r="1461">
      <c r="H1461" s="7"/>
      <c r="I1461" s="7"/>
      <c r="J1461" s="7"/>
      <c r="K1461" s="7"/>
    </row>
    <row r="1462">
      <c r="H1462" s="7"/>
      <c r="I1462" s="7"/>
      <c r="J1462" s="7"/>
      <c r="K1462" s="7"/>
    </row>
    <row r="1463">
      <c r="H1463" s="7"/>
      <c r="I1463" s="7"/>
      <c r="J1463" s="7"/>
      <c r="K1463" s="7"/>
    </row>
    <row r="1464">
      <c r="H1464" s="7"/>
      <c r="I1464" s="7"/>
      <c r="J1464" s="7"/>
      <c r="K1464" s="7"/>
    </row>
    <row r="1465">
      <c r="H1465" s="7"/>
      <c r="I1465" s="7"/>
      <c r="J1465" s="7"/>
      <c r="K1465" s="7"/>
    </row>
    <row r="1466">
      <c r="H1466" s="7"/>
      <c r="I1466" s="7"/>
      <c r="J1466" s="7"/>
      <c r="K1466" s="7"/>
    </row>
    <row r="1467">
      <c r="H1467" s="7"/>
      <c r="I1467" s="7"/>
      <c r="J1467" s="7"/>
      <c r="K1467" s="7"/>
    </row>
    <row r="1468">
      <c r="H1468" s="7"/>
      <c r="I1468" s="7"/>
      <c r="J1468" s="7"/>
      <c r="K1468" s="7"/>
    </row>
    <row r="1469">
      <c r="H1469" s="7"/>
      <c r="I1469" s="7"/>
      <c r="J1469" s="7"/>
      <c r="K1469" s="7"/>
    </row>
    <row r="1470">
      <c r="H1470" s="7"/>
      <c r="I1470" s="7"/>
      <c r="J1470" s="7"/>
      <c r="K1470" s="7"/>
    </row>
    <row r="1471">
      <c r="H1471" s="7"/>
      <c r="I1471" s="7"/>
      <c r="J1471" s="7"/>
      <c r="K1471" s="7"/>
    </row>
    <row r="1472">
      <c r="H1472" s="7"/>
      <c r="I1472" s="7"/>
      <c r="J1472" s="7"/>
      <c r="K1472" s="7"/>
    </row>
    <row r="1473">
      <c r="H1473" s="7"/>
      <c r="I1473" s="7"/>
      <c r="J1473" s="7"/>
      <c r="K1473" s="7"/>
    </row>
    <row r="1474">
      <c r="H1474" s="7"/>
      <c r="I1474" s="7"/>
      <c r="J1474" s="7"/>
      <c r="K1474" s="7"/>
    </row>
    <row r="1475">
      <c r="H1475" s="7"/>
      <c r="I1475" s="7"/>
      <c r="J1475" s="7"/>
      <c r="K1475" s="7"/>
    </row>
    <row r="1476">
      <c r="H1476" s="7"/>
      <c r="I1476" s="7"/>
      <c r="J1476" s="7"/>
      <c r="K1476" s="7"/>
    </row>
    <row r="1477">
      <c r="H1477" s="7"/>
      <c r="I1477" s="7"/>
      <c r="J1477" s="7"/>
      <c r="K1477" s="7"/>
    </row>
    <row r="1478">
      <c r="H1478" s="7"/>
      <c r="I1478" s="7"/>
      <c r="J1478" s="7"/>
      <c r="K1478" s="7"/>
    </row>
    <row r="1479">
      <c r="H1479" s="7"/>
      <c r="I1479" s="7"/>
      <c r="J1479" s="7"/>
      <c r="K1479" s="7"/>
    </row>
    <row r="1480">
      <c r="H1480" s="7"/>
      <c r="I1480" s="7"/>
      <c r="J1480" s="7"/>
      <c r="K1480" s="7"/>
    </row>
    <row r="1481">
      <c r="H1481" s="7"/>
      <c r="I1481" s="7"/>
      <c r="J1481" s="7"/>
      <c r="K1481" s="7"/>
    </row>
    <row r="1482">
      <c r="H1482" s="7"/>
      <c r="I1482" s="7"/>
      <c r="J1482" s="7"/>
      <c r="K1482" s="7"/>
    </row>
    <row r="1483">
      <c r="H1483" s="7"/>
      <c r="I1483" s="7"/>
      <c r="J1483" s="7"/>
      <c r="K1483" s="7"/>
    </row>
    <row r="1484">
      <c r="H1484" s="7"/>
      <c r="I1484" s="7"/>
      <c r="J1484" s="7"/>
      <c r="K1484" s="7"/>
    </row>
    <row r="1485">
      <c r="H1485" s="7"/>
      <c r="I1485" s="7"/>
      <c r="J1485" s="7"/>
      <c r="K1485" s="7"/>
    </row>
    <row r="1486">
      <c r="H1486" s="7"/>
      <c r="I1486" s="7"/>
      <c r="J1486" s="7"/>
      <c r="K1486" s="7"/>
    </row>
    <row r="1487">
      <c r="H1487" s="7"/>
      <c r="I1487" s="7"/>
      <c r="J1487" s="7"/>
      <c r="K1487" s="7"/>
    </row>
    <row r="1488">
      <c r="H1488" s="7"/>
      <c r="I1488" s="7"/>
      <c r="J1488" s="7"/>
      <c r="K1488" s="7"/>
    </row>
    <row r="1489">
      <c r="H1489" s="7"/>
      <c r="I1489" s="7"/>
      <c r="J1489" s="7"/>
      <c r="K1489" s="7"/>
    </row>
    <row r="1490">
      <c r="H1490" s="7"/>
      <c r="I1490" s="7"/>
      <c r="J1490" s="7"/>
      <c r="K1490" s="7"/>
    </row>
    <row r="1491">
      <c r="H1491" s="7"/>
      <c r="I1491" s="7"/>
      <c r="J1491" s="7"/>
      <c r="K1491" s="7"/>
    </row>
    <row r="1492">
      <c r="H1492" s="7"/>
      <c r="I1492" s="7"/>
      <c r="J1492" s="7"/>
      <c r="K1492" s="7"/>
    </row>
    <row r="1493">
      <c r="H1493" s="7"/>
      <c r="I1493" s="7"/>
      <c r="J1493" s="7"/>
      <c r="K1493" s="7"/>
    </row>
    <row r="1494">
      <c r="H1494" s="7"/>
      <c r="I1494" s="7"/>
      <c r="J1494" s="7"/>
      <c r="K1494" s="7"/>
    </row>
    <row r="1495">
      <c r="H1495" s="7"/>
      <c r="I1495" s="7"/>
      <c r="J1495" s="7"/>
      <c r="K1495" s="7"/>
    </row>
    <row r="1496">
      <c r="H1496" s="7"/>
      <c r="I1496" s="7"/>
      <c r="J1496" s="7"/>
      <c r="K1496" s="7"/>
    </row>
    <row r="1497">
      <c r="H1497" s="7"/>
      <c r="I1497" s="7"/>
      <c r="J1497" s="7"/>
      <c r="K1497" s="7"/>
    </row>
    <row r="1498">
      <c r="H1498" s="7"/>
      <c r="I1498" s="7"/>
      <c r="J1498" s="7"/>
      <c r="K1498" s="7"/>
    </row>
    <row r="1499">
      <c r="H1499" s="7"/>
      <c r="I1499" s="7"/>
      <c r="J1499" s="7"/>
      <c r="K1499" s="7"/>
    </row>
    <row r="1500">
      <c r="H1500" s="7"/>
      <c r="I1500" s="7"/>
      <c r="J1500" s="7"/>
      <c r="K1500" s="7"/>
    </row>
    <row r="1501">
      <c r="H1501" s="7"/>
      <c r="I1501" s="7"/>
      <c r="J1501" s="7"/>
      <c r="K1501" s="7"/>
    </row>
    <row r="1502">
      <c r="H1502" s="7"/>
      <c r="I1502" s="7"/>
      <c r="J1502" s="7"/>
      <c r="K1502" s="7"/>
    </row>
    <row r="1503">
      <c r="H1503" s="7"/>
      <c r="I1503" s="7"/>
      <c r="J1503" s="7"/>
      <c r="K1503" s="7"/>
    </row>
    <row r="1504">
      <c r="H1504" s="7"/>
      <c r="I1504" s="7"/>
      <c r="J1504" s="7"/>
      <c r="K1504" s="7"/>
    </row>
    <row r="1505">
      <c r="H1505" s="7"/>
      <c r="I1505" s="7"/>
      <c r="J1505" s="7"/>
      <c r="K1505" s="7"/>
    </row>
    <row r="1506">
      <c r="H1506" s="7"/>
      <c r="I1506" s="7"/>
      <c r="J1506" s="7"/>
      <c r="K1506" s="7"/>
    </row>
    <row r="1507">
      <c r="H1507" s="7"/>
      <c r="I1507" s="7"/>
      <c r="J1507" s="7"/>
      <c r="K1507" s="7"/>
    </row>
    <row r="1508">
      <c r="H1508" s="7"/>
      <c r="I1508" s="7"/>
      <c r="J1508" s="7"/>
      <c r="K1508" s="7"/>
    </row>
    <row r="1509">
      <c r="H1509" s="7"/>
      <c r="I1509" s="7"/>
      <c r="J1509" s="7"/>
      <c r="K1509" s="7"/>
    </row>
    <row r="1510">
      <c r="H1510" s="7"/>
      <c r="I1510" s="7"/>
      <c r="J1510" s="7"/>
      <c r="K1510" s="7"/>
    </row>
    <row r="1511">
      <c r="H1511" s="7"/>
      <c r="I1511" s="7"/>
      <c r="J1511" s="7"/>
      <c r="K1511" s="7"/>
    </row>
    <row r="1512">
      <c r="H1512" s="7"/>
      <c r="I1512" s="7"/>
      <c r="J1512" s="7"/>
      <c r="K1512" s="7"/>
    </row>
    <row r="1513">
      <c r="H1513" s="7"/>
      <c r="I1513" s="7"/>
      <c r="J1513" s="7"/>
      <c r="K1513" s="7"/>
    </row>
    <row r="1514">
      <c r="H1514" s="7"/>
      <c r="I1514" s="7"/>
      <c r="J1514" s="7"/>
      <c r="K1514" s="7"/>
    </row>
    <row r="1515">
      <c r="H1515" s="7"/>
      <c r="I1515" s="7"/>
      <c r="J1515" s="7"/>
      <c r="K1515" s="7"/>
    </row>
    <row r="1516">
      <c r="H1516" s="7"/>
      <c r="I1516" s="7"/>
      <c r="J1516" s="7"/>
      <c r="K1516" s="7"/>
    </row>
    <row r="1517">
      <c r="H1517" s="7"/>
      <c r="I1517" s="7"/>
      <c r="J1517" s="7"/>
      <c r="K1517" s="7"/>
    </row>
    <row r="1518">
      <c r="H1518" s="7"/>
      <c r="I1518" s="7"/>
      <c r="J1518" s="7"/>
      <c r="K1518" s="7"/>
    </row>
    <row r="1519">
      <c r="H1519" s="7"/>
      <c r="I1519" s="7"/>
      <c r="J1519" s="7"/>
      <c r="K1519" s="7"/>
    </row>
    <row r="1520">
      <c r="H1520" s="7"/>
      <c r="I1520" s="7"/>
      <c r="J1520" s="7"/>
      <c r="K1520" s="7"/>
    </row>
    <row r="1521">
      <c r="H1521" s="7"/>
      <c r="I1521" s="7"/>
      <c r="J1521" s="7"/>
      <c r="K1521" s="7"/>
    </row>
    <row r="1522">
      <c r="H1522" s="7"/>
      <c r="I1522" s="7"/>
      <c r="J1522" s="7"/>
      <c r="K1522" s="7"/>
    </row>
    <row r="1523">
      <c r="H1523" s="7"/>
      <c r="I1523" s="7"/>
      <c r="J1523" s="7"/>
      <c r="K1523" s="7"/>
    </row>
    <row r="1524">
      <c r="H1524" s="7"/>
      <c r="I1524" s="7"/>
      <c r="J1524" s="7"/>
      <c r="K1524" s="7"/>
    </row>
    <row r="1525">
      <c r="H1525" s="7"/>
      <c r="I1525" s="7"/>
      <c r="J1525" s="7"/>
      <c r="K1525" s="7"/>
    </row>
    <row r="1526">
      <c r="H1526" s="7"/>
      <c r="I1526" s="7"/>
      <c r="J1526" s="7"/>
      <c r="K1526" s="7"/>
    </row>
    <row r="1527">
      <c r="H1527" s="7"/>
      <c r="I1527" s="7"/>
      <c r="J1527" s="7"/>
      <c r="K1527" s="7"/>
    </row>
    <row r="1528">
      <c r="H1528" s="7"/>
      <c r="I1528" s="7"/>
      <c r="J1528" s="7"/>
      <c r="K1528" s="7"/>
    </row>
    <row r="1529">
      <c r="H1529" s="7"/>
      <c r="I1529" s="7"/>
      <c r="J1529" s="7"/>
      <c r="K1529" s="7"/>
    </row>
    <row r="1530">
      <c r="H1530" s="7"/>
      <c r="I1530" s="7"/>
      <c r="J1530" s="7"/>
      <c r="K1530" s="7"/>
    </row>
    <row r="1531">
      <c r="H1531" s="7"/>
      <c r="I1531" s="7"/>
      <c r="J1531" s="7"/>
      <c r="K1531" s="7"/>
    </row>
    <row r="1532">
      <c r="H1532" s="7"/>
      <c r="I1532" s="7"/>
      <c r="J1532" s="7"/>
      <c r="K1532" s="7"/>
    </row>
    <row r="1533">
      <c r="H1533" s="7"/>
      <c r="I1533" s="7"/>
      <c r="J1533" s="7"/>
      <c r="K1533" s="7"/>
    </row>
    <row r="1534">
      <c r="H1534" s="7"/>
      <c r="I1534" s="7"/>
      <c r="J1534" s="7"/>
      <c r="K1534" s="7"/>
    </row>
    <row r="1535">
      <c r="H1535" s="7"/>
      <c r="I1535" s="7"/>
      <c r="J1535" s="7"/>
      <c r="K1535" s="7"/>
    </row>
    <row r="1536">
      <c r="H1536" s="7"/>
      <c r="I1536" s="7"/>
      <c r="J1536" s="7"/>
      <c r="K1536" s="7"/>
    </row>
    <row r="1537">
      <c r="H1537" s="7"/>
      <c r="I1537" s="7"/>
      <c r="J1537" s="7"/>
      <c r="K1537" s="7"/>
    </row>
    <row r="1538">
      <c r="H1538" s="7"/>
      <c r="I1538" s="7"/>
      <c r="J1538" s="7"/>
      <c r="K1538" s="7"/>
    </row>
    <row r="1539">
      <c r="H1539" s="7"/>
      <c r="I1539" s="7"/>
      <c r="J1539" s="7"/>
      <c r="K1539" s="7"/>
    </row>
    <row r="1540">
      <c r="H1540" s="7"/>
      <c r="I1540" s="7"/>
      <c r="J1540" s="7"/>
      <c r="K1540" s="7"/>
    </row>
    <row r="1541">
      <c r="H1541" s="7"/>
      <c r="I1541" s="7"/>
      <c r="J1541" s="7"/>
      <c r="K1541" s="7"/>
    </row>
    <row r="1542">
      <c r="H1542" s="7"/>
      <c r="I1542" s="7"/>
      <c r="J1542" s="7"/>
      <c r="K1542" s="7"/>
    </row>
    <row r="1543">
      <c r="H1543" s="7"/>
      <c r="I1543" s="7"/>
      <c r="J1543" s="7"/>
      <c r="K1543" s="7"/>
    </row>
    <row r="1544">
      <c r="H1544" s="7"/>
      <c r="I1544" s="7"/>
      <c r="J1544" s="7"/>
      <c r="K1544" s="7"/>
    </row>
    <row r="1545">
      <c r="H1545" s="7"/>
      <c r="I1545" s="7"/>
      <c r="J1545" s="7"/>
      <c r="K1545" s="7"/>
    </row>
    <row r="1546">
      <c r="H1546" s="7"/>
      <c r="I1546" s="7"/>
      <c r="J1546" s="7"/>
      <c r="K1546" s="7"/>
    </row>
    <row r="1547">
      <c r="H1547" s="7"/>
      <c r="I1547" s="7"/>
      <c r="J1547" s="7"/>
      <c r="K1547" s="7"/>
    </row>
    <row r="1548">
      <c r="H1548" s="7"/>
      <c r="I1548" s="7"/>
      <c r="J1548" s="7"/>
      <c r="K1548" s="7"/>
    </row>
    <row r="1549">
      <c r="H1549" s="7"/>
      <c r="I1549" s="7"/>
      <c r="J1549" s="7"/>
      <c r="K1549" s="7"/>
    </row>
    <row r="1550">
      <c r="H1550" s="7"/>
      <c r="I1550" s="7"/>
      <c r="J1550" s="7"/>
      <c r="K1550" s="7"/>
    </row>
    <row r="1551">
      <c r="H1551" s="7"/>
      <c r="I1551" s="7"/>
      <c r="J1551" s="7"/>
      <c r="K1551" s="7"/>
    </row>
    <row r="1552">
      <c r="H1552" s="7"/>
      <c r="I1552" s="7"/>
      <c r="J1552" s="7"/>
      <c r="K1552" s="7"/>
    </row>
    <row r="1553">
      <c r="H1553" s="7"/>
      <c r="I1553" s="7"/>
      <c r="J1553" s="7"/>
      <c r="K1553" s="7"/>
    </row>
    <row r="1554">
      <c r="H1554" s="7"/>
      <c r="I1554" s="7"/>
      <c r="J1554" s="7"/>
      <c r="K1554" s="7"/>
    </row>
    <row r="1555">
      <c r="H1555" s="7"/>
      <c r="I1555" s="7"/>
      <c r="J1555" s="7"/>
      <c r="K1555" s="7"/>
    </row>
    <row r="1556">
      <c r="H1556" s="7"/>
      <c r="I1556" s="7"/>
      <c r="J1556" s="7"/>
      <c r="K1556" s="7"/>
    </row>
    <row r="1557">
      <c r="H1557" s="7"/>
      <c r="I1557" s="7"/>
      <c r="J1557" s="7"/>
      <c r="K1557" s="7"/>
    </row>
    <row r="1558">
      <c r="H1558" s="7"/>
      <c r="I1558" s="7"/>
      <c r="J1558" s="7"/>
      <c r="K1558" s="7"/>
    </row>
    <row r="1559">
      <c r="H1559" s="7"/>
      <c r="I1559" s="7"/>
      <c r="J1559" s="7"/>
      <c r="K1559" s="7"/>
    </row>
    <row r="1560">
      <c r="H1560" s="7"/>
      <c r="I1560" s="7"/>
      <c r="J1560" s="7"/>
      <c r="K1560" s="7"/>
    </row>
    <row r="1561">
      <c r="H1561" s="7"/>
      <c r="I1561" s="7"/>
      <c r="J1561" s="7"/>
      <c r="K1561" s="7"/>
    </row>
    <row r="1562">
      <c r="H1562" s="7"/>
      <c r="I1562" s="7"/>
      <c r="J1562" s="7"/>
      <c r="K1562" s="7"/>
    </row>
    <row r="1563">
      <c r="H1563" s="7"/>
      <c r="I1563" s="7"/>
      <c r="J1563" s="7"/>
      <c r="K1563" s="7"/>
    </row>
    <row r="1564">
      <c r="H1564" s="7"/>
      <c r="I1564" s="7"/>
      <c r="J1564" s="7"/>
      <c r="K1564" s="7"/>
    </row>
    <row r="1565">
      <c r="H1565" s="7"/>
      <c r="I1565" s="7"/>
      <c r="J1565" s="7"/>
      <c r="K1565" s="7"/>
    </row>
    <row r="1566">
      <c r="H1566" s="7"/>
      <c r="I1566" s="7"/>
      <c r="J1566" s="7"/>
      <c r="K1566" s="7"/>
    </row>
    <row r="1567">
      <c r="H1567" s="7"/>
      <c r="I1567" s="7"/>
      <c r="J1567" s="7"/>
      <c r="K1567" s="7"/>
    </row>
    <row r="1568">
      <c r="H1568" s="7"/>
      <c r="I1568" s="7"/>
      <c r="J1568" s="7"/>
      <c r="K1568" s="7"/>
    </row>
    <row r="1569">
      <c r="H1569" s="7"/>
      <c r="I1569" s="7"/>
      <c r="J1569" s="7"/>
      <c r="K1569" s="7"/>
    </row>
    <row r="1570">
      <c r="H1570" s="7"/>
      <c r="I1570" s="7"/>
      <c r="J1570" s="7"/>
      <c r="K1570" s="7"/>
    </row>
    <row r="1571">
      <c r="H1571" s="7"/>
      <c r="I1571" s="7"/>
      <c r="J1571" s="7"/>
      <c r="K1571" s="7"/>
    </row>
    <row r="1572">
      <c r="H1572" s="7"/>
      <c r="I1572" s="7"/>
      <c r="J1572" s="7"/>
      <c r="K1572" s="7"/>
    </row>
    <row r="1573">
      <c r="H1573" s="7"/>
      <c r="I1573" s="7"/>
      <c r="J1573" s="7"/>
      <c r="K1573" s="7"/>
    </row>
    <row r="1574">
      <c r="H1574" s="7"/>
      <c r="I1574" s="7"/>
      <c r="J1574" s="7"/>
      <c r="K1574" s="7"/>
    </row>
    <row r="1575">
      <c r="H1575" s="7"/>
      <c r="I1575" s="7"/>
      <c r="J1575" s="7"/>
      <c r="K1575" s="7"/>
    </row>
    <row r="1576">
      <c r="H1576" s="7"/>
      <c r="I1576" s="7"/>
      <c r="J1576" s="7"/>
      <c r="K1576" s="7"/>
    </row>
    <row r="1577">
      <c r="H1577" s="7"/>
      <c r="I1577" s="7"/>
      <c r="J1577" s="7"/>
      <c r="K1577" s="7"/>
    </row>
    <row r="1578">
      <c r="H1578" s="7"/>
      <c r="I1578" s="7"/>
      <c r="J1578" s="7"/>
      <c r="K1578" s="7"/>
    </row>
    <row r="1579">
      <c r="H1579" s="7"/>
      <c r="I1579" s="7"/>
      <c r="J1579" s="7"/>
      <c r="K1579" s="7"/>
    </row>
    <row r="1580">
      <c r="H1580" s="7"/>
      <c r="I1580" s="7"/>
      <c r="J1580" s="7"/>
      <c r="K1580" s="7"/>
    </row>
    <row r="1581">
      <c r="H1581" s="7"/>
      <c r="I1581" s="7"/>
      <c r="J1581" s="7"/>
      <c r="K1581" s="7"/>
    </row>
    <row r="1582">
      <c r="H1582" s="7"/>
      <c r="I1582" s="7"/>
      <c r="J1582" s="7"/>
      <c r="K1582" s="7"/>
    </row>
    <row r="1583">
      <c r="H1583" s="7"/>
      <c r="I1583" s="7"/>
      <c r="J1583" s="7"/>
      <c r="K1583" s="7"/>
    </row>
    <row r="1584">
      <c r="H1584" s="7"/>
      <c r="I1584" s="7"/>
      <c r="J1584" s="7"/>
      <c r="K1584" s="7"/>
    </row>
    <row r="1585">
      <c r="H1585" s="7"/>
      <c r="I1585" s="7"/>
      <c r="J1585" s="7"/>
      <c r="K1585" s="7"/>
    </row>
    <row r="1586">
      <c r="H1586" s="7"/>
      <c r="I1586" s="7"/>
      <c r="J1586" s="7"/>
      <c r="K1586" s="7"/>
    </row>
    <row r="1587">
      <c r="H1587" s="7"/>
      <c r="I1587" s="7"/>
      <c r="J1587" s="7"/>
      <c r="K1587" s="7"/>
    </row>
    <row r="1588">
      <c r="H1588" s="7"/>
      <c r="I1588" s="7"/>
      <c r="J1588" s="7"/>
      <c r="K1588" s="7"/>
    </row>
    <row r="1589">
      <c r="H1589" s="7"/>
      <c r="I1589" s="7"/>
      <c r="J1589" s="7"/>
      <c r="K1589" s="7"/>
    </row>
    <row r="1590">
      <c r="H1590" s="7"/>
      <c r="I1590" s="7"/>
      <c r="J1590" s="7"/>
      <c r="K1590" s="7"/>
    </row>
    <row r="1591">
      <c r="H1591" s="7"/>
      <c r="I1591" s="7"/>
      <c r="J1591" s="7"/>
      <c r="K1591" s="7"/>
    </row>
    <row r="1592">
      <c r="H1592" s="7"/>
      <c r="I1592" s="7"/>
      <c r="J1592" s="7"/>
      <c r="K1592" s="7"/>
    </row>
    <row r="1593">
      <c r="H1593" s="7"/>
      <c r="I1593" s="7"/>
      <c r="J1593" s="7"/>
      <c r="K1593" s="7"/>
    </row>
    <row r="1594">
      <c r="H1594" s="7"/>
      <c r="I1594" s="7"/>
      <c r="J1594" s="7"/>
      <c r="K1594" s="7"/>
    </row>
    <row r="1595">
      <c r="H1595" s="7"/>
      <c r="I1595" s="7"/>
      <c r="J1595" s="7"/>
      <c r="K1595" s="7"/>
    </row>
    <row r="1596">
      <c r="H1596" s="7"/>
      <c r="I1596" s="7"/>
      <c r="J1596" s="7"/>
      <c r="K1596" s="7"/>
    </row>
    <row r="1597">
      <c r="H1597" s="7"/>
      <c r="I1597" s="7"/>
      <c r="J1597" s="7"/>
      <c r="K1597" s="7"/>
    </row>
    <row r="1598">
      <c r="H1598" s="7"/>
      <c r="I1598" s="7"/>
      <c r="J1598" s="7"/>
      <c r="K1598" s="7"/>
    </row>
    <row r="1599">
      <c r="H1599" s="7"/>
      <c r="I1599" s="7"/>
      <c r="J1599" s="7"/>
      <c r="K1599" s="7"/>
    </row>
    <row r="1600">
      <c r="H1600" s="7"/>
      <c r="I1600" s="7"/>
      <c r="J1600" s="7"/>
      <c r="K1600" s="7"/>
    </row>
    <row r="1601">
      <c r="H1601" s="7"/>
      <c r="I1601" s="7"/>
      <c r="J1601" s="7"/>
      <c r="K1601" s="7"/>
    </row>
    <row r="1602">
      <c r="H1602" s="7"/>
      <c r="I1602" s="7"/>
      <c r="J1602" s="7"/>
      <c r="K1602" s="7"/>
    </row>
    <row r="1603">
      <c r="H1603" s="7"/>
      <c r="I1603" s="7"/>
      <c r="J1603" s="7"/>
      <c r="K1603" s="7"/>
    </row>
    <row r="1604">
      <c r="H1604" s="7"/>
      <c r="I1604" s="7"/>
      <c r="J1604" s="7"/>
      <c r="K1604" s="7"/>
    </row>
    <row r="1605">
      <c r="H1605" s="7"/>
      <c r="I1605" s="7"/>
      <c r="J1605" s="7"/>
      <c r="K1605" s="7"/>
    </row>
    <row r="1606">
      <c r="H1606" s="7"/>
      <c r="I1606" s="7"/>
      <c r="J1606" s="7"/>
      <c r="K1606" s="7"/>
    </row>
    <row r="1607">
      <c r="H1607" s="7"/>
      <c r="I1607" s="7"/>
      <c r="J1607" s="7"/>
      <c r="K1607" s="7"/>
    </row>
    <row r="1608">
      <c r="H1608" s="7"/>
      <c r="I1608" s="7"/>
      <c r="J1608" s="7"/>
      <c r="K1608" s="7"/>
    </row>
    <row r="1609">
      <c r="H1609" s="7"/>
      <c r="I1609" s="7"/>
      <c r="J1609" s="7"/>
      <c r="K1609" s="7"/>
    </row>
    <row r="1610">
      <c r="H1610" s="7"/>
      <c r="I1610" s="7"/>
      <c r="J1610" s="7"/>
      <c r="K1610" s="7"/>
    </row>
    <row r="1611">
      <c r="H1611" s="7"/>
      <c r="I1611" s="7"/>
      <c r="J1611" s="7"/>
      <c r="K1611" s="7"/>
    </row>
    <row r="1612">
      <c r="H1612" s="7"/>
      <c r="I1612" s="7"/>
      <c r="J1612" s="7"/>
      <c r="K1612" s="7"/>
    </row>
    <row r="1613">
      <c r="H1613" s="7"/>
      <c r="I1613" s="7"/>
      <c r="J1613" s="7"/>
      <c r="K1613" s="7"/>
    </row>
    <row r="1614">
      <c r="H1614" s="7"/>
      <c r="I1614" s="7"/>
      <c r="J1614" s="7"/>
      <c r="K1614" s="7"/>
    </row>
    <row r="1615">
      <c r="H1615" s="7"/>
      <c r="I1615" s="7"/>
      <c r="J1615" s="7"/>
      <c r="K1615" s="7"/>
    </row>
    <row r="1616">
      <c r="H1616" s="7"/>
      <c r="I1616" s="7"/>
      <c r="J1616" s="7"/>
      <c r="K1616" s="7"/>
    </row>
    <row r="1617">
      <c r="H1617" s="7"/>
      <c r="I1617" s="7"/>
      <c r="J1617" s="7"/>
      <c r="K1617" s="7"/>
    </row>
    <row r="1618">
      <c r="H1618" s="7"/>
      <c r="I1618" s="7"/>
      <c r="J1618" s="7"/>
      <c r="K1618" s="7"/>
    </row>
    <row r="1619">
      <c r="H1619" s="7"/>
      <c r="I1619" s="7"/>
      <c r="J1619" s="7"/>
      <c r="K1619" s="7"/>
    </row>
    <row r="1620">
      <c r="H1620" s="7"/>
      <c r="I1620" s="7"/>
      <c r="J1620" s="7"/>
      <c r="K1620" s="7"/>
    </row>
    <row r="1621">
      <c r="H1621" s="7"/>
      <c r="I1621" s="7"/>
      <c r="J1621" s="7"/>
      <c r="K1621" s="7"/>
    </row>
    <row r="1622">
      <c r="H1622" s="7"/>
      <c r="I1622" s="7"/>
      <c r="J1622" s="7"/>
      <c r="K1622" s="7"/>
    </row>
    <row r="1623">
      <c r="H1623" s="7"/>
      <c r="I1623" s="7"/>
      <c r="J1623" s="7"/>
      <c r="K1623" s="7"/>
    </row>
    <row r="1624">
      <c r="H1624" s="7"/>
      <c r="I1624" s="7"/>
      <c r="J1624" s="7"/>
      <c r="K1624" s="7"/>
    </row>
    <row r="1625">
      <c r="H1625" s="7"/>
      <c r="I1625" s="7"/>
      <c r="J1625" s="7"/>
      <c r="K1625" s="7"/>
    </row>
    <row r="1626">
      <c r="H1626" s="7"/>
      <c r="I1626" s="7"/>
      <c r="J1626" s="7"/>
      <c r="K1626" s="7"/>
    </row>
    <row r="1627">
      <c r="H1627" s="7"/>
      <c r="I1627" s="7"/>
      <c r="J1627" s="7"/>
      <c r="K1627" s="7"/>
    </row>
    <row r="1628">
      <c r="H1628" s="7"/>
      <c r="I1628" s="7"/>
      <c r="J1628" s="7"/>
      <c r="K1628" s="7"/>
    </row>
    <row r="1629">
      <c r="H1629" s="7"/>
      <c r="I1629" s="7"/>
      <c r="J1629" s="7"/>
      <c r="K1629" s="7"/>
    </row>
    <row r="1630">
      <c r="H1630" s="7"/>
      <c r="I1630" s="7"/>
      <c r="J1630" s="7"/>
      <c r="K1630" s="7"/>
    </row>
    <row r="1631">
      <c r="H1631" s="7"/>
      <c r="I1631" s="7"/>
      <c r="J1631" s="7"/>
      <c r="K1631" s="7"/>
    </row>
    <row r="1632">
      <c r="H1632" s="7"/>
      <c r="I1632" s="7"/>
      <c r="J1632" s="7"/>
      <c r="K1632" s="7"/>
    </row>
    <row r="1633">
      <c r="H1633" s="7"/>
      <c r="I1633" s="7"/>
      <c r="J1633" s="7"/>
      <c r="K1633" s="7"/>
    </row>
    <row r="1634">
      <c r="H1634" s="7"/>
      <c r="I1634" s="7"/>
      <c r="J1634" s="7"/>
      <c r="K1634" s="7"/>
    </row>
    <row r="1635">
      <c r="H1635" s="7"/>
      <c r="I1635" s="7"/>
      <c r="J1635" s="7"/>
      <c r="K1635" s="7"/>
    </row>
    <row r="1636">
      <c r="H1636" s="7"/>
      <c r="I1636" s="7"/>
      <c r="J1636" s="7"/>
      <c r="K1636" s="7"/>
    </row>
    <row r="1637">
      <c r="H1637" s="7"/>
      <c r="I1637" s="7"/>
      <c r="J1637" s="7"/>
      <c r="K1637" s="7"/>
    </row>
    <row r="1638">
      <c r="H1638" s="7"/>
      <c r="I1638" s="7"/>
      <c r="J1638" s="7"/>
      <c r="K1638" s="7"/>
    </row>
    <row r="1639">
      <c r="H1639" s="7"/>
      <c r="I1639" s="7"/>
      <c r="J1639" s="7"/>
      <c r="K1639" s="7"/>
    </row>
    <row r="1640">
      <c r="H1640" s="7"/>
      <c r="I1640" s="7"/>
      <c r="J1640" s="7"/>
      <c r="K1640" s="7"/>
    </row>
    <row r="1641">
      <c r="H1641" s="7"/>
      <c r="I1641" s="7"/>
      <c r="J1641" s="7"/>
      <c r="K1641" s="7"/>
    </row>
    <row r="1642">
      <c r="H1642" s="7"/>
      <c r="I1642" s="7"/>
      <c r="J1642" s="7"/>
      <c r="K1642" s="7"/>
    </row>
    <row r="1643">
      <c r="H1643" s="7"/>
      <c r="I1643" s="7"/>
      <c r="J1643" s="7"/>
      <c r="K1643" s="7"/>
    </row>
    <row r="1644">
      <c r="H1644" s="7"/>
      <c r="I1644" s="7"/>
      <c r="J1644" s="7"/>
      <c r="K1644" s="7"/>
    </row>
    <row r="1645">
      <c r="H1645" s="7"/>
      <c r="I1645" s="7"/>
      <c r="J1645" s="7"/>
      <c r="K1645" s="7"/>
    </row>
    <row r="1646">
      <c r="H1646" s="7"/>
      <c r="I1646" s="7"/>
      <c r="J1646" s="7"/>
      <c r="K1646" s="7"/>
    </row>
    <row r="1647">
      <c r="H1647" s="7"/>
      <c r="I1647" s="7"/>
      <c r="J1647" s="7"/>
      <c r="K1647" s="7"/>
    </row>
    <row r="1648">
      <c r="H1648" s="7"/>
      <c r="I1648" s="7"/>
      <c r="J1648" s="7"/>
      <c r="K1648" s="7"/>
    </row>
    <row r="1649">
      <c r="H1649" s="7"/>
      <c r="I1649" s="7"/>
      <c r="J1649" s="7"/>
      <c r="K1649" s="7"/>
    </row>
    <row r="1650">
      <c r="H1650" s="7"/>
      <c r="I1650" s="7"/>
      <c r="J1650" s="7"/>
      <c r="K1650" s="7"/>
    </row>
    <row r="1651">
      <c r="H1651" s="7"/>
      <c r="I1651" s="7"/>
      <c r="J1651" s="7"/>
      <c r="K1651" s="7"/>
    </row>
    <row r="1652">
      <c r="H1652" s="7"/>
      <c r="I1652" s="7"/>
      <c r="J1652" s="7"/>
      <c r="K1652" s="7"/>
    </row>
    <row r="1653">
      <c r="H1653" s="7"/>
      <c r="I1653" s="7"/>
      <c r="J1653" s="7"/>
      <c r="K1653" s="7"/>
    </row>
    <row r="1654">
      <c r="H1654" s="7"/>
      <c r="I1654" s="7"/>
      <c r="J1654" s="7"/>
      <c r="K1654" s="7"/>
    </row>
    <row r="1655">
      <c r="H1655" s="7"/>
      <c r="I1655" s="7"/>
      <c r="J1655" s="7"/>
      <c r="K1655" s="7"/>
    </row>
    <row r="1656">
      <c r="H1656" s="7"/>
      <c r="I1656" s="7"/>
      <c r="J1656" s="7"/>
      <c r="K1656" s="7"/>
    </row>
    <row r="1657">
      <c r="H1657" s="7"/>
      <c r="I1657" s="7"/>
      <c r="J1657" s="7"/>
      <c r="K1657" s="7"/>
    </row>
    <row r="1658">
      <c r="H1658" s="7"/>
      <c r="I1658" s="7"/>
      <c r="J1658" s="7"/>
      <c r="K1658" s="7"/>
    </row>
    <row r="1659">
      <c r="H1659" s="7"/>
      <c r="I1659" s="7"/>
      <c r="J1659" s="7"/>
      <c r="K1659" s="7"/>
    </row>
    <row r="1660">
      <c r="H1660" s="7"/>
      <c r="I1660" s="7"/>
      <c r="J1660" s="7"/>
      <c r="K1660" s="7"/>
    </row>
    <row r="1661">
      <c r="H1661" s="7"/>
      <c r="I1661" s="7"/>
      <c r="J1661" s="7"/>
      <c r="K1661" s="7"/>
    </row>
    <row r="1662">
      <c r="H1662" s="7"/>
      <c r="I1662" s="7"/>
      <c r="J1662" s="7"/>
      <c r="K1662" s="7"/>
    </row>
    <row r="1663">
      <c r="H1663" s="7"/>
      <c r="I1663" s="7"/>
      <c r="J1663" s="7"/>
      <c r="K1663" s="7"/>
    </row>
    <row r="1664">
      <c r="H1664" s="7"/>
      <c r="I1664" s="7"/>
      <c r="J1664" s="7"/>
      <c r="K1664" s="7"/>
    </row>
    <row r="1665">
      <c r="H1665" s="7"/>
      <c r="I1665" s="7"/>
      <c r="J1665" s="7"/>
      <c r="K1665" s="7"/>
    </row>
    <row r="1666">
      <c r="H1666" s="7"/>
      <c r="I1666" s="7"/>
      <c r="J1666" s="7"/>
      <c r="K1666" s="7"/>
    </row>
    <row r="1667">
      <c r="H1667" s="7"/>
      <c r="I1667" s="7"/>
      <c r="J1667" s="7"/>
      <c r="K1667" s="7"/>
    </row>
    <row r="1668">
      <c r="H1668" s="7"/>
      <c r="I1668" s="7"/>
      <c r="J1668" s="7"/>
      <c r="K1668" s="7"/>
    </row>
    <row r="1669">
      <c r="H1669" s="7"/>
      <c r="I1669" s="7"/>
      <c r="J1669" s="7"/>
      <c r="K1669" s="7"/>
    </row>
    <row r="1670">
      <c r="H1670" s="7"/>
      <c r="I1670" s="7"/>
      <c r="J1670" s="7"/>
      <c r="K1670" s="7"/>
    </row>
    <row r="1671">
      <c r="H1671" s="7"/>
      <c r="I1671" s="7"/>
      <c r="J1671" s="7"/>
      <c r="K1671" s="7"/>
    </row>
    <row r="1672">
      <c r="H1672" s="7"/>
      <c r="I1672" s="7"/>
      <c r="J1672" s="7"/>
      <c r="K1672" s="7"/>
    </row>
    <row r="1673">
      <c r="H1673" s="7"/>
      <c r="I1673" s="7"/>
      <c r="J1673" s="7"/>
      <c r="K1673" s="7"/>
    </row>
    <row r="1674">
      <c r="H1674" s="7"/>
      <c r="I1674" s="7"/>
      <c r="J1674" s="7"/>
      <c r="K1674" s="7"/>
    </row>
    <row r="1675">
      <c r="H1675" s="7"/>
      <c r="I1675" s="7"/>
      <c r="J1675" s="7"/>
      <c r="K1675" s="7"/>
    </row>
    <row r="1676">
      <c r="H1676" s="7"/>
      <c r="I1676" s="7"/>
      <c r="J1676" s="7"/>
      <c r="K1676" s="7"/>
    </row>
    <row r="1677">
      <c r="H1677" s="7"/>
      <c r="I1677" s="7"/>
      <c r="J1677" s="7"/>
      <c r="K1677" s="7"/>
    </row>
    <row r="1678">
      <c r="H1678" s="7"/>
      <c r="I1678" s="7"/>
      <c r="J1678" s="7"/>
      <c r="K1678" s="7"/>
    </row>
    <row r="1679">
      <c r="H1679" s="7"/>
      <c r="I1679" s="7"/>
      <c r="J1679" s="7"/>
      <c r="K1679" s="7"/>
    </row>
    <row r="1680">
      <c r="H1680" s="7"/>
      <c r="I1680" s="7"/>
      <c r="J1680" s="7"/>
      <c r="K1680" s="7"/>
    </row>
    <row r="1681">
      <c r="H1681" s="7"/>
      <c r="I1681" s="7"/>
      <c r="J1681" s="7"/>
      <c r="K1681" s="7"/>
    </row>
    <row r="1682">
      <c r="H1682" s="7"/>
      <c r="I1682" s="7"/>
      <c r="J1682" s="7"/>
      <c r="K1682" s="7"/>
    </row>
    <row r="1683">
      <c r="H1683" s="7"/>
      <c r="I1683" s="7"/>
      <c r="J1683" s="7"/>
      <c r="K1683" s="7"/>
    </row>
    <row r="1684">
      <c r="H1684" s="7"/>
      <c r="I1684" s="7"/>
      <c r="J1684" s="7"/>
      <c r="K1684" s="7"/>
    </row>
    <row r="1685">
      <c r="H1685" s="7"/>
      <c r="I1685" s="7"/>
      <c r="J1685" s="7"/>
      <c r="K1685" s="7"/>
    </row>
    <row r="1686">
      <c r="H1686" s="7"/>
      <c r="I1686" s="7"/>
      <c r="J1686" s="7"/>
      <c r="K1686" s="7"/>
    </row>
    <row r="1687">
      <c r="H1687" s="7"/>
      <c r="I1687" s="7"/>
      <c r="J1687" s="7"/>
      <c r="K1687" s="7"/>
    </row>
    <row r="1688">
      <c r="H1688" s="7"/>
      <c r="I1688" s="7"/>
      <c r="J1688" s="7"/>
      <c r="K1688" s="7"/>
    </row>
    <row r="1689">
      <c r="H1689" s="7"/>
      <c r="I1689" s="7"/>
      <c r="J1689" s="7"/>
      <c r="K1689" s="7"/>
    </row>
    <row r="1690">
      <c r="H1690" s="7"/>
      <c r="I1690" s="7"/>
      <c r="J1690" s="7"/>
      <c r="K1690" s="7"/>
    </row>
    <row r="1691">
      <c r="H1691" s="7"/>
      <c r="I1691" s="7"/>
      <c r="J1691" s="7"/>
      <c r="K1691" s="7"/>
    </row>
    <row r="1692">
      <c r="H1692" s="7"/>
      <c r="I1692" s="7"/>
      <c r="J1692" s="7"/>
      <c r="K1692" s="7"/>
    </row>
    <row r="1693">
      <c r="H1693" s="7"/>
      <c r="I1693" s="7"/>
      <c r="J1693" s="7"/>
      <c r="K1693" s="7"/>
    </row>
    <row r="1694">
      <c r="H1694" s="7"/>
      <c r="I1694" s="7"/>
      <c r="J1694" s="7"/>
      <c r="K1694" s="7"/>
    </row>
    <row r="1695">
      <c r="H1695" s="7"/>
      <c r="I1695" s="7"/>
      <c r="J1695" s="7"/>
      <c r="K1695" s="7"/>
    </row>
    <row r="1696">
      <c r="H1696" s="7"/>
      <c r="I1696" s="7"/>
      <c r="J1696" s="7"/>
      <c r="K1696" s="7"/>
    </row>
    <row r="1697">
      <c r="H1697" s="7"/>
      <c r="I1697" s="7"/>
      <c r="J1697" s="7"/>
      <c r="K1697" s="7"/>
    </row>
    <row r="1698">
      <c r="H1698" s="7"/>
      <c r="I1698" s="7"/>
      <c r="J1698" s="7"/>
      <c r="K1698" s="7"/>
    </row>
    <row r="1699">
      <c r="H1699" s="7"/>
      <c r="I1699" s="7"/>
      <c r="J1699" s="7"/>
      <c r="K1699" s="7"/>
    </row>
    <row r="1700">
      <c r="H1700" s="7"/>
      <c r="I1700" s="7"/>
      <c r="J1700" s="7"/>
      <c r="K1700" s="7"/>
    </row>
    <row r="1701">
      <c r="H1701" s="7"/>
      <c r="I1701" s="7"/>
      <c r="J1701" s="7"/>
      <c r="K1701" s="7"/>
    </row>
    <row r="1702">
      <c r="H1702" s="7"/>
      <c r="I1702" s="7"/>
      <c r="J1702" s="7"/>
      <c r="K1702" s="7"/>
    </row>
    <row r="1703">
      <c r="H1703" s="7"/>
      <c r="I1703" s="7"/>
      <c r="J1703" s="7"/>
      <c r="K1703" s="7"/>
    </row>
    <row r="1704">
      <c r="H1704" s="7"/>
      <c r="I1704" s="7"/>
      <c r="J1704" s="7"/>
      <c r="K1704" s="7"/>
    </row>
    <row r="1705">
      <c r="H1705" s="7"/>
      <c r="I1705" s="7"/>
      <c r="J1705" s="7"/>
      <c r="K1705" s="7"/>
    </row>
    <row r="1706">
      <c r="H1706" s="7"/>
      <c r="I1706" s="7"/>
      <c r="J1706" s="7"/>
      <c r="K1706" s="7"/>
    </row>
    <row r="1707">
      <c r="H1707" s="7"/>
      <c r="I1707" s="7"/>
      <c r="J1707" s="7"/>
      <c r="K1707" s="7"/>
    </row>
    <row r="1708">
      <c r="H1708" s="7"/>
      <c r="I1708" s="7"/>
      <c r="J1708" s="7"/>
      <c r="K1708" s="7"/>
    </row>
    <row r="1709">
      <c r="H1709" s="7"/>
      <c r="I1709" s="7"/>
      <c r="J1709" s="7"/>
      <c r="K1709" s="7"/>
    </row>
    <row r="1710">
      <c r="H1710" s="7"/>
      <c r="I1710" s="7"/>
      <c r="J1710" s="7"/>
      <c r="K1710" s="7"/>
    </row>
    <row r="1711">
      <c r="H1711" s="7"/>
      <c r="I1711" s="7"/>
      <c r="J1711" s="7"/>
      <c r="K1711" s="7"/>
    </row>
    <row r="1712">
      <c r="H1712" s="7"/>
      <c r="I1712" s="7"/>
      <c r="J1712" s="7"/>
      <c r="K1712" s="7"/>
    </row>
    <row r="1713">
      <c r="H1713" s="7"/>
      <c r="I1713" s="7"/>
      <c r="J1713" s="7"/>
      <c r="K1713" s="7"/>
    </row>
    <row r="1714">
      <c r="H1714" s="7"/>
      <c r="I1714" s="7"/>
      <c r="J1714" s="7"/>
      <c r="K1714" s="7"/>
    </row>
    <row r="1715">
      <c r="H1715" s="7"/>
      <c r="I1715" s="7"/>
      <c r="J1715" s="7"/>
      <c r="K1715" s="7"/>
    </row>
    <row r="1716">
      <c r="H1716" s="7"/>
      <c r="I1716" s="7"/>
      <c r="J1716" s="7"/>
      <c r="K1716" s="7"/>
    </row>
    <row r="1717">
      <c r="H1717" s="7"/>
      <c r="I1717" s="7"/>
      <c r="J1717" s="7"/>
      <c r="K1717" s="7"/>
    </row>
    <row r="1718">
      <c r="H1718" s="7"/>
      <c r="I1718" s="7"/>
      <c r="J1718" s="7"/>
      <c r="K1718" s="7"/>
    </row>
    <row r="1719">
      <c r="H1719" s="7"/>
      <c r="I1719" s="7"/>
      <c r="J1719" s="7"/>
      <c r="K1719" s="7"/>
    </row>
    <row r="1720">
      <c r="H1720" s="7"/>
      <c r="I1720" s="7"/>
      <c r="J1720" s="7"/>
      <c r="K1720" s="7"/>
    </row>
    <row r="1721">
      <c r="H1721" s="7"/>
      <c r="I1721" s="7"/>
      <c r="J1721" s="7"/>
      <c r="K1721" s="7"/>
    </row>
    <row r="1722">
      <c r="H1722" s="7"/>
      <c r="I1722" s="7"/>
      <c r="J1722" s="7"/>
      <c r="K1722" s="7"/>
    </row>
    <row r="1723">
      <c r="H1723" s="7"/>
      <c r="I1723" s="7"/>
      <c r="J1723" s="7"/>
      <c r="K1723" s="7"/>
    </row>
    <row r="1724">
      <c r="H1724" s="7"/>
      <c r="I1724" s="7"/>
      <c r="J1724" s="7"/>
      <c r="K1724" s="7"/>
    </row>
    <row r="1725">
      <c r="H1725" s="7"/>
      <c r="I1725" s="7"/>
      <c r="J1725" s="7"/>
      <c r="K1725" s="7"/>
    </row>
    <row r="1726">
      <c r="H1726" s="7"/>
      <c r="I1726" s="7"/>
      <c r="J1726" s="7"/>
      <c r="K1726" s="7"/>
    </row>
    <row r="1727">
      <c r="H1727" s="7"/>
      <c r="I1727" s="7"/>
      <c r="J1727" s="7"/>
      <c r="K1727" s="7"/>
    </row>
    <row r="1728">
      <c r="H1728" s="7"/>
      <c r="I1728" s="7"/>
      <c r="J1728" s="7"/>
      <c r="K1728" s="7"/>
    </row>
    <row r="1729">
      <c r="H1729" s="7"/>
      <c r="I1729" s="7"/>
      <c r="J1729" s="7"/>
      <c r="K1729" s="7"/>
    </row>
    <row r="1730">
      <c r="H1730" s="7"/>
      <c r="I1730" s="7"/>
      <c r="J1730" s="7"/>
      <c r="K1730" s="7"/>
    </row>
    <row r="1731">
      <c r="H1731" s="7"/>
      <c r="I1731" s="7"/>
      <c r="J1731" s="7"/>
      <c r="K1731" s="7"/>
    </row>
    <row r="1732">
      <c r="H1732" s="7"/>
      <c r="I1732" s="7"/>
      <c r="J1732" s="7"/>
      <c r="K1732" s="7"/>
    </row>
    <row r="1733">
      <c r="H1733" s="7"/>
      <c r="I1733" s="7"/>
      <c r="J1733" s="7"/>
      <c r="K1733" s="7"/>
    </row>
    <row r="1734">
      <c r="H1734" s="7"/>
      <c r="I1734" s="7"/>
      <c r="J1734" s="7"/>
      <c r="K1734" s="7"/>
    </row>
    <row r="1735">
      <c r="H1735" s="7"/>
      <c r="I1735" s="7"/>
      <c r="J1735" s="7"/>
      <c r="K1735" s="7"/>
    </row>
    <row r="1736">
      <c r="H1736" s="7"/>
      <c r="I1736" s="7"/>
      <c r="J1736" s="7"/>
      <c r="K1736" s="7"/>
    </row>
    <row r="1737">
      <c r="H1737" s="7"/>
      <c r="I1737" s="7"/>
      <c r="J1737" s="7"/>
      <c r="K1737" s="7"/>
    </row>
    <row r="1738">
      <c r="H1738" s="7"/>
      <c r="I1738" s="7"/>
      <c r="J1738" s="7"/>
      <c r="K1738" s="7"/>
    </row>
    <row r="1739">
      <c r="H1739" s="7"/>
      <c r="I1739" s="7"/>
      <c r="J1739" s="7"/>
      <c r="K1739" s="7"/>
    </row>
    <row r="1740">
      <c r="H1740" s="7"/>
      <c r="I1740" s="7"/>
      <c r="J1740" s="7"/>
      <c r="K1740" s="7"/>
    </row>
    <row r="1741">
      <c r="H1741" s="7"/>
      <c r="I1741" s="7"/>
      <c r="J1741" s="7"/>
      <c r="K1741" s="7"/>
    </row>
    <row r="1742">
      <c r="H1742" s="7"/>
      <c r="I1742" s="7"/>
      <c r="J1742" s="7"/>
      <c r="K1742" s="7"/>
    </row>
    <row r="1743">
      <c r="H1743" s="7"/>
      <c r="I1743" s="7"/>
      <c r="J1743" s="7"/>
      <c r="K1743" s="7"/>
    </row>
    <row r="1744">
      <c r="H1744" s="7"/>
      <c r="I1744" s="7"/>
      <c r="J1744" s="7"/>
      <c r="K1744" s="7"/>
    </row>
    <row r="1745">
      <c r="H1745" s="7"/>
      <c r="I1745" s="7"/>
      <c r="J1745" s="7"/>
      <c r="K1745" s="7"/>
    </row>
    <row r="1746">
      <c r="H1746" s="7"/>
      <c r="I1746" s="7"/>
      <c r="J1746" s="7"/>
      <c r="K1746" s="7"/>
    </row>
    <row r="1747">
      <c r="H1747" s="7"/>
      <c r="I1747" s="7"/>
      <c r="J1747" s="7"/>
      <c r="K1747" s="7"/>
    </row>
    <row r="1748">
      <c r="H1748" s="7"/>
      <c r="I1748" s="7"/>
      <c r="J1748" s="7"/>
      <c r="K1748" s="7"/>
    </row>
    <row r="1749">
      <c r="H1749" s="7"/>
      <c r="I1749" s="7"/>
      <c r="J1749" s="7"/>
      <c r="K1749" s="7"/>
    </row>
    <row r="1750">
      <c r="H1750" s="7"/>
      <c r="I1750" s="7"/>
      <c r="J1750" s="7"/>
      <c r="K1750" s="7"/>
    </row>
    <row r="1751">
      <c r="H1751" s="7"/>
      <c r="I1751" s="7"/>
      <c r="J1751" s="7"/>
      <c r="K1751" s="7"/>
    </row>
    <row r="1752">
      <c r="H1752" s="7"/>
      <c r="I1752" s="7"/>
      <c r="J1752" s="7"/>
      <c r="K1752" s="7"/>
    </row>
    <row r="1753">
      <c r="H1753" s="7"/>
      <c r="I1753" s="7"/>
      <c r="J1753" s="7"/>
      <c r="K1753" s="7"/>
    </row>
    <row r="1754">
      <c r="H1754" s="7"/>
      <c r="I1754" s="7"/>
      <c r="J1754" s="7"/>
      <c r="K1754" s="7"/>
    </row>
    <row r="1755">
      <c r="H1755" s="7"/>
      <c r="I1755" s="7"/>
      <c r="J1755" s="7"/>
      <c r="K1755" s="7"/>
    </row>
    <row r="1756">
      <c r="H1756" s="7"/>
      <c r="I1756" s="7"/>
      <c r="J1756" s="7"/>
      <c r="K1756" s="7"/>
    </row>
    <row r="1757">
      <c r="H1757" s="7"/>
      <c r="I1757" s="7"/>
      <c r="J1757" s="7"/>
      <c r="K1757" s="7"/>
    </row>
    <row r="1758">
      <c r="H1758" s="7"/>
      <c r="I1758" s="7"/>
      <c r="J1758" s="7"/>
      <c r="K1758" s="7"/>
    </row>
    <row r="1759">
      <c r="H1759" s="7"/>
      <c r="I1759" s="7"/>
      <c r="J1759" s="7"/>
      <c r="K1759" s="7"/>
    </row>
    <row r="1760">
      <c r="H1760" s="7"/>
      <c r="I1760" s="7"/>
      <c r="J1760" s="7"/>
      <c r="K1760" s="7"/>
    </row>
    <row r="1761">
      <c r="H1761" s="7"/>
      <c r="I1761" s="7"/>
      <c r="J1761" s="7"/>
      <c r="K1761" s="7"/>
    </row>
    <row r="1762">
      <c r="H1762" s="7"/>
      <c r="I1762" s="7"/>
      <c r="J1762" s="7"/>
      <c r="K1762" s="7"/>
    </row>
    <row r="1763">
      <c r="H1763" s="7"/>
      <c r="I1763" s="7"/>
      <c r="J1763" s="7"/>
      <c r="K1763" s="7"/>
    </row>
    <row r="1764">
      <c r="H1764" s="7"/>
      <c r="I1764" s="7"/>
      <c r="J1764" s="7"/>
      <c r="K1764" s="7"/>
    </row>
    <row r="1765">
      <c r="H1765" s="7"/>
      <c r="I1765" s="7"/>
      <c r="J1765" s="7"/>
      <c r="K1765" s="7"/>
    </row>
    <row r="1766">
      <c r="H1766" s="7"/>
      <c r="I1766" s="7"/>
      <c r="J1766" s="7"/>
      <c r="K1766" s="7"/>
    </row>
    <row r="1767">
      <c r="H1767" s="7"/>
      <c r="I1767" s="7"/>
      <c r="J1767" s="7"/>
      <c r="K1767" s="7"/>
    </row>
    <row r="1768">
      <c r="H1768" s="7"/>
      <c r="I1768" s="7"/>
      <c r="J1768" s="7"/>
      <c r="K1768" s="7"/>
    </row>
    <row r="1769">
      <c r="H1769" s="7"/>
      <c r="I1769" s="7"/>
      <c r="J1769" s="7"/>
      <c r="K1769" s="7"/>
    </row>
    <row r="1770">
      <c r="H1770" s="7"/>
      <c r="I1770" s="7"/>
      <c r="J1770" s="7"/>
      <c r="K1770" s="7"/>
    </row>
    <row r="1771">
      <c r="H1771" s="7"/>
      <c r="I1771" s="7"/>
      <c r="J1771" s="7"/>
      <c r="K1771" s="7"/>
    </row>
    <row r="1772">
      <c r="H1772" s="7"/>
      <c r="I1772" s="7"/>
      <c r="J1772" s="7"/>
      <c r="K1772" s="7"/>
    </row>
    <row r="1773">
      <c r="H1773" s="7"/>
      <c r="I1773" s="7"/>
      <c r="J1773" s="7"/>
      <c r="K1773" s="7"/>
    </row>
    <row r="1774">
      <c r="H1774" s="7"/>
      <c r="I1774" s="7"/>
      <c r="J1774" s="7"/>
      <c r="K1774" s="7"/>
    </row>
    <row r="1775">
      <c r="H1775" s="7"/>
      <c r="I1775" s="7"/>
      <c r="J1775" s="7"/>
      <c r="K1775" s="7"/>
    </row>
    <row r="1776">
      <c r="H1776" s="7"/>
      <c r="I1776" s="7"/>
      <c r="J1776" s="7"/>
      <c r="K1776" s="7"/>
    </row>
    <row r="1777">
      <c r="H1777" s="7"/>
      <c r="I1777" s="7"/>
      <c r="J1777" s="7"/>
      <c r="K1777" s="7"/>
    </row>
    <row r="1778">
      <c r="H1778" s="7"/>
      <c r="I1778" s="7"/>
      <c r="J1778" s="7"/>
      <c r="K1778" s="7"/>
    </row>
    <row r="1779">
      <c r="H1779" s="7"/>
      <c r="I1779" s="7"/>
      <c r="J1779" s="7"/>
      <c r="K1779" s="7"/>
    </row>
    <row r="1780">
      <c r="H1780" s="7"/>
      <c r="I1780" s="7"/>
      <c r="J1780" s="7"/>
      <c r="K1780" s="7"/>
    </row>
    <row r="1781">
      <c r="H1781" s="7"/>
      <c r="I1781" s="7"/>
      <c r="J1781" s="7"/>
      <c r="K1781" s="7"/>
    </row>
    <row r="1782">
      <c r="H1782" s="7"/>
      <c r="I1782" s="7"/>
      <c r="J1782" s="7"/>
      <c r="K1782" s="7"/>
    </row>
    <row r="1783">
      <c r="H1783" s="7"/>
      <c r="I1783" s="7"/>
      <c r="J1783" s="7"/>
      <c r="K1783" s="7"/>
    </row>
    <row r="1784">
      <c r="H1784" s="7"/>
      <c r="I1784" s="7"/>
      <c r="J1784" s="7"/>
      <c r="K1784" s="7"/>
    </row>
    <row r="1785">
      <c r="H1785" s="7"/>
      <c r="I1785" s="7"/>
      <c r="J1785" s="7"/>
      <c r="K1785" s="7"/>
    </row>
    <row r="1786">
      <c r="H1786" s="7"/>
      <c r="I1786" s="7"/>
      <c r="J1786" s="7"/>
      <c r="K1786" s="7"/>
    </row>
    <row r="1787">
      <c r="H1787" s="7"/>
      <c r="I1787" s="7"/>
      <c r="J1787" s="7"/>
      <c r="K1787" s="7"/>
    </row>
    <row r="1788">
      <c r="H1788" s="7"/>
      <c r="I1788" s="7"/>
      <c r="J1788" s="7"/>
      <c r="K1788" s="7"/>
    </row>
    <row r="1789">
      <c r="H1789" s="7"/>
      <c r="I1789" s="7"/>
      <c r="J1789" s="7"/>
      <c r="K1789" s="7"/>
    </row>
    <row r="1790">
      <c r="H1790" s="7"/>
      <c r="I1790" s="7"/>
      <c r="J1790" s="7"/>
      <c r="K1790" s="7"/>
    </row>
    <row r="1791">
      <c r="H1791" s="7"/>
      <c r="I1791" s="7"/>
      <c r="J1791" s="7"/>
      <c r="K1791" s="7"/>
    </row>
    <row r="1792">
      <c r="H1792" s="7"/>
      <c r="I1792" s="7"/>
      <c r="J1792" s="7"/>
      <c r="K1792" s="7"/>
    </row>
    <row r="1793">
      <c r="H1793" s="7"/>
      <c r="I1793" s="7"/>
      <c r="J1793" s="7"/>
      <c r="K1793" s="7"/>
    </row>
    <row r="1794">
      <c r="H1794" s="7"/>
      <c r="I1794" s="7"/>
      <c r="J1794" s="7"/>
      <c r="K1794" s="7"/>
    </row>
    <row r="1795">
      <c r="H1795" s="7"/>
      <c r="I1795" s="7"/>
      <c r="J1795" s="7"/>
      <c r="K1795" s="7"/>
    </row>
    <row r="1796">
      <c r="H1796" s="7"/>
      <c r="I1796" s="7"/>
      <c r="J1796" s="7"/>
      <c r="K1796" s="7"/>
    </row>
    <row r="1797">
      <c r="H1797" s="7"/>
      <c r="I1797" s="7"/>
      <c r="J1797" s="7"/>
      <c r="K1797" s="7"/>
    </row>
    <row r="1798">
      <c r="H1798" s="7"/>
      <c r="I1798" s="7"/>
      <c r="J1798" s="7"/>
      <c r="K1798" s="7"/>
    </row>
    <row r="1799">
      <c r="H1799" s="7"/>
      <c r="I1799" s="7"/>
      <c r="J1799" s="7"/>
      <c r="K1799" s="7"/>
    </row>
    <row r="1800">
      <c r="H1800" s="7"/>
      <c r="I1800" s="7"/>
      <c r="J1800" s="7"/>
      <c r="K1800" s="7"/>
    </row>
    <row r="1801">
      <c r="H1801" s="7"/>
      <c r="I1801" s="7"/>
      <c r="J1801" s="7"/>
      <c r="K1801" s="7"/>
    </row>
    <row r="1802">
      <c r="H1802" s="7"/>
      <c r="I1802" s="7"/>
      <c r="J1802" s="7"/>
      <c r="K1802" s="7"/>
    </row>
    <row r="1803">
      <c r="H1803" s="7"/>
      <c r="I1803" s="7"/>
      <c r="J1803" s="7"/>
      <c r="K1803" s="7"/>
    </row>
    <row r="1804">
      <c r="H1804" s="7"/>
      <c r="I1804" s="7"/>
      <c r="J1804" s="7"/>
      <c r="K1804" s="7"/>
    </row>
    <row r="1805">
      <c r="H1805" s="7"/>
      <c r="I1805" s="7"/>
      <c r="J1805" s="7"/>
      <c r="K1805" s="7"/>
    </row>
    <row r="1806">
      <c r="H1806" s="7"/>
      <c r="I1806" s="7"/>
      <c r="J1806" s="7"/>
      <c r="K1806" s="7"/>
    </row>
    <row r="1807">
      <c r="H1807" s="7"/>
      <c r="I1807" s="7"/>
      <c r="J1807" s="7"/>
      <c r="K1807" s="7"/>
    </row>
    <row r="1808">
      <c r="H1808" s="7"/>
      <c r="I1808" s="7"/>
      <c r="J1808" s="7"/>
      <c r="K1808" s="7"/>
    </row>
    <row r="1809">
      <c r="H1809" s="7"/>
      <c r="I1809" s="7"/>
      <c r="J1809" s="7"/>
      <c r="K1809" s="7"/>
    </row>
    <row r="1810">
      <c r="H1810" s="7"/>
      <c r="I1810" s="7"/>
      <c r="J1810" s="7"/>
      <c r="K1810" s="7"/>
    </row>
    <row r="1811">
      <c r="H1811" s="7"/>
      <c r="I1811" s="7"/>
      <c r="J1811" s="7"/>
      <c r="K1811" s="7"/>
    </row>
    <row r="1812">
      <c r="H1812" s="7"/>
      <c r="I1812" s="7"/>
      <c r="J1812" s="7"/>
      <c r="K1812" s="7"/>
    </row>
    <row r="1813">
      <c r="H1813" s="7"/>
      <c r="I1813" s="7"/>
      <c r="J1813" s="7"/>
      <c r="K1813" s="7"/>
    </row>
    <row r="1814">
      <c r="H1814" s="7"/>
      <c r="I1814" s="7"/>
      <c r="J1814" s="7"/>
      <c r="K1814" s="7"/>
    </row>
    <row r="1815">
      <c r="H1815" s="7"/>
      <c r="I1815" s="7"/>
      <c r="J1815" s="7"/>
      <c r="K1815" s="7"/>
    </row>
    <row r="1816">
      <c r="H1816" s="7"/>
      <c r="I1816" s="7"/>
      <c r="J1816" s="7"/>
      <c r="K1816" s="7"/>
    </row>
    <row r="1817">
      <c r="H1817" s="7"/>
      <c r="I1817" s="7"/>
      <c r="J1817" s="7"/>
      <c r="K1817" s="7"/>
    </row>
    <row r="1818">
      <c r="H1818" s="7"/>
      <c r="I1818" s="7"/>
      <c r="J1818" s="7"/>
      <c r="K1818" s="7"/>
    </row>
    <row r="1819">
      <c r="H1819" s="7"/>
      <c r="I1819" s="7"/>
      <c r="J1819" s="7"/>
      <c r="K1819" s="7"/>
    </row>
    <row r="1820">
      <c r="H1820" s="7"/>
      <c r="I1820" s="7"/>
      <c r="J1820" s="7"/>
      <c r="K1820" s="7"/>
    </row>
    <row r="1821">
      <c r="H1821" s="7"/>
      <c r="I1821" s="7"/>
      <c r="J1821" s="7"/>
      <c r="K1821" s="7"/>
    </row>
    <row r="1822">
      <c r="H1822" s="7"/>
      <c r="I1822" s="7"/>
      <c r="J1822" s="7"/>
      <c r="K1822" s="7"/>
    </row>
    <row r="1823">
      <c r="H1823" s="7"/>
      <c r="I1823" s="7"/>
      <c r="J1823" s="7"/>
      <c r="K1823" s="7"/>
    </row>
    <row r="1824">
      <c r="H1824" s="7"/>
      <c r="I1824" s="7"/>
      <c r="J1824" s="7"/>
      <c r="K1824" s="7"/>
    </row>
    <row r="1825">
      <c r="H1825" s="7"/>
      <c r="I1825" s="7"/>
      <c r="J1825" s="7"/>
      <c r="K1825" s="7"/>
    </row>
    <row r="1826">
      <c r="H1826" s="7"/>
      <c r="I1826" s="7"/>
      <c r="J1826" s="7"/>
      <c r="K1826" s="7"/>
    </row>
    <row r="1827">
      <c r="H1827" s="7"/>
      <c r="I1827" s="7"/>
      <c r="J1827" s="7"/>
      <c r="K1827" s="7"/>
    </row>
    <row r="1828">
      <c r="H1828" s="7"/>
      <c r="I1828" s="7"/>
      <c r="J1828" s="7"/>
      <c r="K1828" s="7"/>
    </row>
    <row r="1829">
      <c r="H1829" s="7"/>
      <c r="I1829" s="7"/>
      <c r="J1829" s="7"/>
      <c r="K1829" s="7"/>
    </row>
    <row r="1830">
      <c r="H1830" s="7"/>
      <c r="I1830" s="7"/>
      <c r="J1830" s="7"/>
      <c r="K1830" s="7"/>
    </row>
    <row r="1831">
      <c r="H1831" s="7"/>
      <c r="I1831" s="7"/>
      <c r="J1831" s="7"/>
      <c r="K1831" s="7"/>
    </row>
    <row r="1832">
      <c r="H1832" s="7"/>
      <c r="I1832" s="7"/>
      <c r="J1832" s="7"/>
      <c r="K1832" s="7"/>
    </row>
    <row r="1833">
      <c r="H1833" s="7"/>
      <c r="I1833" s="7"/>
      <c r="J1833" s="7"/>
      <c r="K1833" s="7"/>
    </row>
    <row r="1834">
      <c r="H1834" s="7"/>
      <c r="I1834" s="7"/>
      <c r="J1834" s="7"/>
      <c r="K1834" s="7"/>
    </row>
    <row r="1835">
      <c r="H1835" s="7"/>
      <c r="I1835" s="7"/>
      <c r="J1835" s="7"/>
      <c r="K1835" s="7"/>
    </row>
    <row r="1836">
      <c r="H1836" s="7"/>
      <c r="I1836" s="7"/>
      <c r="J1836" s="7"/>
      <c r="K1836" s="7"/>
    </row>
    <row r="1837">
      <c r="H1837" s="7"/>
      <c r="I1837" s="7"/>
      <c r="J1837" s="7"/>
      <c r="K1837" s="7"/>
    </row>
    <row r="1838">
      <c r="H1838" s="7"/>
      <c r="I1838" s="7"/>
      <c r="J1838" s="7"/>
      <c r="K1838" s="7"/>
    </row>
    <row r="1839">
      <c r="H1839" s="7"/>
      <c r="I1839" s="7"/>
      <c r="J1839" s="7"/>
      <c r="K1839" s="7"/>
    </row>
    <row r="1840">
      <c r="H1840" s="7"/>
      <c r="I1840" s="7"/>
      <c r="J1840" s="7"/>
      <c r="K1840" s="7"/>
    </row>
    <row r="1841">
      <c r="H1841" s="7"/>
      <c r="I1841" s="7"/>
      <c r="J1841" s="7"/>
      <c r="K1841" s="7"/>
    </row>
    <row r="1842">
      <c r="H1842" s="7"/>
      <c r="I1842" s="7"/>
      <c r="J1842" s="7"/>
      <c r="K1842" s="7"/>
    </row>
    <row r="1843">
      <c r="H1843" s="7"/>
      <c r="I1843" s="7"/>
      <c r="J1843" s="7"/>
      <c r="K1843" s="7"/>
    </row>
    <row r="1844">
      <c r="H1844" s="7"/>
      <c r="I1844" s="7"/>
      <c r="J1844" s="7"/>
      <c r="K1844" s="7"/>
    </row>
    <row r="1845">
      <c r="H1845" s="7"/>
      <c r="I1845" s="7"/>
      <c r="J1845" s="7"/>
      <c r="K1845" s="7"/>
    </row>
    <row r="1846">
      <c r="H1846" s="7"/>
      <c r="I1846" s="7"/>
      <c r="J1846" s="7"/>
      <c r="K1846" s="7"/>
    </row>
    <row r="1847">
      <c r="H1847" s="7"/>
      <c r="I1847" s="7"/>
      <c r="J1847" s="7"/>
      <c r="K1847" s="7"/>
    </row>
    <row r="1848">
      <c r="H1848" s="7"/>
      <c r="I1848" s="7"/>
      <c r="J1848" s="7"/>
      <c r="K1848" s="7"/>
    </row>
    <row r="1849">
      <c r="H1849" s="7"/>
      <c r="I1849" s="7"/>
      <c r="J1849" s="7"/>
      <c r="K1849" s="7"/>
    </row>
    <row r="1850">
      <c r="H1850" s="7"/>
      <c r="I1850" s="7"/>
      <c r="J1850" s="7"/>
      <c r="K1850" s="7"/>
    </row>
    <row r="1851">
      <c r="H1851" s="7"/>
      <c r="I1851" s="7"/>
      <c r="J1851" s="7"/>
      <c r="K1851" s="7"/>
    </row>
    <row r="1852">
      <c r="H1852" s="7"/>
      <c r="I1852" s="7"/>
      <c r="J1852" s="7"/>
      <c r="K1852" s="7"/>
    </row>
    <row r="1853">
      <c r="H1853" s="7"/>
      <c r="I1853" s="7"/>
      <c r="J1853" s="7"/>
      <c r="K1853" s="7"/>
    </row>
    <row r="1854">
      <c r="H1854" s="7"/>
      <c r="I1854" s="7"/>
      <c r="J1854" s="7"/>
      <c r="K1854" s="7"/>
    </row>
    <row r="1855">
      <c r="H1855" s="7"/>
      <c r="I1855" s="7"/>
      <c r="J1855" s="7"/>
      <c r="K1855" s="7"/>
    </row>
    <row r="1856">
      <c r="H1856" s="7"/>
      <c r="I1856" s="7"/>
      <c r="J1856" s="7"/>
      <c r="K1856" s="7"/>
    </row>
    <row r="1857">
      <c r="H1857" s="7"/>
      <c r="I1857" s="7"/>
      <c r="J1857" s="7"/>
      <c r="K1857" s="7"/>
    </row>
    <row r="1858">
      <c r="H1858" s="7"/>
      <c r="I1858" s="7"/>
      <c r="J1858" s="7"/>
      <c r="K1858" s="7"/>
    </row>
    <row r="1859">
      <c r="H1859" s="7"/>
      <c r="I1859" s="7"/>
      <c r="J1859" s="7"/>
      <c r="K1859" s="7"/>
    </row>
    <row r="1860">
      <c r="H1860" s="7"/>
      <c r="I1860" s="7"/>
      <c r="J1860" s="7"/>
      <c r="K1860" s="7"/>
    </row>
    <row r="1861">
      <c r="H1861" s="7"/>
      <c r="I1861" s="7"/>
      <c r="J1861" s="7"/>
      <c r="K1861" s="7"/>
    </row>
    <row r="1862">
      <c r="H1862" s="7"/>
      <c r="I1862" s="7"/>
      <c r="J1862" s="7"/>
      <c r="K1862" s="7"/>
    </row>
    <row r="1863">
      <c r="H1863" s="7"/>
      <c r="I1863" s="7"/>
      <c r="J1863" s="7"/>
      <c r="K1863" s="7"/>
    </row>
    <row r="1864">
      <c r="H1864" s="7"/>
      <c r="I1864" s="7"/>
      <c r="J1864" s="7"/>
      <c r="K1864" s="7"/>
    </row>
    <row r="1865">
      <c r="H1865" s="7"/>
      <c r="I1865" s="7"/>
      <c r="J1865" s="7"/>
      <c r="K1865" s="7"/>
    </row>
    <row r="1866">
      <c r="H1866" s="7"/>
      <c r="I1866" s="7"/>
      <c r="J1866" s="7"/>
      <c r="K1866" s="7"/>
    </row>
    <row r="1867">
      <c r="H1867" s="7"/>
      <c r="I1867" s="7"/>
      <c r="J1867" s="7"/>
      <c r="K1867" s="7"/>
    </row>
    <row r="1868">
      <c r="H1868" s="7"/>
      <c r="I1868" s="7"/>
      <c r="J1868" s="7"/>
      <c r="K1868" s="7"/>
    </row>
    <row r="1869">
      <c r="H1869" s="7"/>
      <c r="I1869" s="7"/>
      <c r="J1869" s="7"/>
      <c r="K1869" s="7"/>
    </row>
    <row r="1870">
      <c r="H1870" s="7"/>
      <c r="I1870" s="7"/>
      <c r="J1870" s="7"/>
      <c r="K1870" s="7"/>
    </row>
    <row r="1871">
      <c r="H1871" s="7"/>
      <c r="I1871" s="7"/>
      <c r="J1871" s="7"/>
      <c r="K1871" s="7"/>
    </row>
    <row r="1872">
      <c r="H1872" s="7"/>
      <c r="I1872" s="7"/>
      <c r="J1872" s="7"/>
      <c r="K1872" s="7"/>
    </row>
    <row r="1873">
      <c r="H1873" s="7"/>
      <c r="I1873" s="7"/>
      <c r="J1873" s="7"/>
      <c r="K1873" s="7"/>
    </row>
    <row r="1874">
      <c r="H1874" s="7"/>
      <c r="I1874" s="7"/>
      <c r="J1874" s="7"/>
      <c r="K1874" s="7"/>
    </row>
    <row r="1875">
      <c r="H1875" s="7"/>
      <c r="I1875" s="7"/>
      <c r="J1875" s="7"/>
      <c r="K1875" s="7"/>
    </row>
    <row r="1876">
      <c r="H1876" s="7"/>
      <c r="I1876" s="7"/>
      <c r="J1876" s="7"/>
      <c r="K1876" s="7"/>
    </row>
    <row r="1877">
      <c r="H1877" s="7"/>
      <c r="I1877" s="7"/>
      <c r="J1877" s="7"/>
      <c r="K1877" s="7"/>
    </row>
    <row r="1878">
      <c r="H1878" s="7"/>
      <c r="I1878" s="7"/>
      <c r="J1878" s="7"/>
      <c r="K1878" s="7"/>
    </row>
    <row r="1879">
      <c r="H1879" s="7"/>
      <c r="I1879" s="7"/>
      <c r="J1879" s="7"/>
      <c r="K1879" s="7"/>
    </row>
    <row r="1880">
      <c r="H1880" s="7"/>
      <c r="I1880" s="7"/>
      <c r="J1880" s="7"/>
      <c r="K1880" s="7"/>
    </row>
    <row r="1881">
      <c r="H1881" s="7"/>
      <c r="I1881" s="7"/>
      <c r="J1881" s="7"/>
      <c r="K1881" s="7"/>
    </row>
    <row r="1882">
      <c r="H1882" s="7"/>
      <c r="I1882" s="7"/>
      <c r="J1882" s="7"/>
      <c r="K1882" s="7"/>
    </row>
    <row r="1883">
      <c r="H1883" s="7"/>
      <c r="I1883" s="7"/>
      <c r="J1883" s="7"/>
      <c r="K1883" s="7"/>
    </row>
    <row r="1884">
      <c r="H1884" s="7"/>
      <c r="I1884" s="7"/>
      <c r="J1884" s="7"/>
      <c r="K1884" s="7"/>
    </row>
    <row r="1885">
      <c r="H1885" s="7"/>
      <c r="I1885" s="7"/>
      <c r="J1885" s="7"/>
      <c r="K1885" s="7"/>
    </row>
    <row r="1886">
      <c r="H1886" s="7"/>
      <c r="I1886" s="7"/>
      <c r="J1886" s="7"/>
      <c r="K1886" s="7"/>
    </row>
    <row r="1887">
      <c r="H1887" s="7"/>
      <c r="I1887" s="7"/>
      <c r="J1887" s="7"/>
      <c r="K1887" s="7"/>
    </row>
    <row r="1888">
      <c r="H1888" s="7"/>
      <c r="I1888" s="7"/>
      <c r="J1888" s="7"/>
      <c r="K1888" s="7"/>
    </row>
    <row r="1889">
      <c r="H1889" s="7"/>
      <c r="I1889" s="7"/>
      <c r="J1889" s="7"/>
      <c r="K1889" s="7"/>
    </row>
    <row r="1890">
      <c r="H1890" s="7"/>
      <c r="I1890" s="7"/>
      <c r="J1890" s="7"/>
      <c r="K1890" s="7"/>
    </row>
    <row r="1891">
      <c r="H1891" s="7"/>
      <c r="I1891" s="7"/>
      <c r="J1891" s="7"/>
      <c r="K1891" s="7"/>
    </row>
    <row r="1892">
      <c r="H1892" s="7"/>
      <c r="I1892" s="7"/>
      <c r="J1892" s="7"/>
      <c r="K1892" s="7"/>
    </row>
    <row r="1893">
      <c r="H1893" s="7"/>
      <c r="I1893" s="7"/>
      <c r="J1893" s="7"/>
      <c r="K1893" s="7"/>
    </row>
    <row r="1894">
      <c r="H1894" s="7"/>
      <c r="I1894" s="7"/>
      <c r="J1894" s="7"/>
      <c r="K1894" s="7"/>
    </row>
    <row r="1895">
      <c r="H1895" s="7"/>
      <c r="I1895" s="7"/>
      <c r="J1895" s="7"/>
      <c r="K1895" s="7"/>
    </row>
    <row r="1896">
      <c r="H1896" s="7"/>
      <c r="I1896" s="7"/>
      <c r="J1896" s="7"/>
      <c r="K1896" s="7"/>
    </row>
    <row r="1897">
      <c r="H1897" s="7"/>
      <c r="I1897" s="7"/>
      <c r="J1897" s="7"/>
      <c r="K1897" s="7"/>
    </row>
    <row r="1898">
      <c r="H1898" s="7"/>
      <c r="I1898" s="7"/>
      <c r="J1898" s="7"/>
      <c r="K1898" s="7"/>
    </row>
    <row r="1899">
      <c r="H1899" s="7"/>
      <c r="I1899" s="7"/>
      <c r="J1899" s="7"/>
      <c r="K1899" s="7"/>
    </row>
    <row r="1900">
      <c r="H1900" s="7"/>
      <c r="I1900" s="7"/>
      <c r="J1900" s="7"/>
      <c r="K1900" s="7"/>
    </row>
    <row r="1901">
      <c r="H1901" s="7"/>
      <c r="I1901" s="7"/>
      <c r="J1901" s="7"/>
      <c r="K1901" s="7"/>
    </row>
    <row r="1902">
      <c r="H1902" s="7"/>
      <c r="I1902" s="7"/>
      <c r="J1902" s="7"/>
      <c r="K1902" s="7"/>
    </row>
    <row r="1903">
      <c r="H1903" s="7"/>
      <c r="I1903" s="7"/>
      <c r="J1903" s="7"/>
      <c r="K1903" s="7"/>
    </row>
    <row r="1904">
      <c r="H1904" s="7"/>
      <c r="I1904" s="7"/>
      <c r="J1904" s="7"/>
      <c r="K1904" s="7"/>
    </row>
    <row r="1905">
      <c r="H1905" s="7"/>
      <c r="I1905" s="7"/>
      <c r="J1905" s="7"/>
      <c r="K1905" s="7"/>
    </row>
    <row r="1906">
      <c r="H1906" s="7"/>
      <c r="I1906" s="7"/>
      <c r="J1906" s="7"/>
      <c r="K1906" s="7"/>
    </row>
    <row r="1907">
      <c r="H1907" s="7"/>
      <c r="I1907" s="7"/>
      <c r="J1907" s="7"/>
      <c r="K1907" s="7"/>
    </row>
    <row r="1908">
      <c r="H1908" s="7"/>
      <c r="I1908" s="7"/>
      <c r="J1908" s="7"/>
      <c r="K1908" s="7"/>
    </row>
    <row r="1909">
      <c r="H1909" s="7"/>
      <c r="I1909" s="7"/>
      <c r="J1909" s="7"/>
      <c r="K1909" s="7"/>
    </row>
    <row r="1910">
      <c r="H1910" s="7"/>
      <c r="I1910" s="7"/>
      <c r="J1910" s="7"/>
      <c r="K1910" s="7"/>
    </row>
    <row r="1911">
      <c r="H1911" s="7"/>
      <c r="I1911" s="7"/>
      <c r="J1911" s="7"/>
      <c r="K1911" s="7"/>
    </row>
    <row r="1912">
      <c r="H1912" s="7"/>
      <c r="I1912" s="7"/>
      <c r="J1912" s="7"/>
      <c r="K1912" s="7"/>
    </row>
    <row r="1913">
      <c r="H1913" s="7"/>
      <c r="I1913" s="7"/>
      <c r="J1913" s="7"/>
      <c r="K1913" s="7"/>
    </row>
    <row r="1914">
      <c r="H1914" s="7"/>
      <c r="I1914" s="7"/>
      <c r="J1914" s="7"/>
      <c r="K1914" s="7"/>
    </row>
    <row r="1915">
      <c r="H1915" s="7"/>
      <c r="I1915" s="7"/>
      <c r="J1915" s="7"/>
      <c r="K1915" s="7"/>
    </row>
    <row r="1916">
      <c r="H1916" s="7"/>
      <c r="I1916" s="7"/>
      <c r="J1916" s="7"/>
      <c r="K1916" s="7"/>
    </row>
    <row r="1917">
      <c r="H1917" s="7"/>
      <c r="I1917" s="7"/>
      <c r="J1917" s="7"/>
      <c r="K1917" s="7"/>
    </row>
    <row r="1918">
      <c r="H1918" s="7"/>
      <c r="I1918" s="7"/>
      <c r="J1918" s="7"/>
      <c r="K1918" s="7"/>
    </row>
    <row r="1919">
      <c r="H1919" s="7"/>
      <c r="I1919" s="7"/>
      <c r="J1919" s="7"/>
      <c r="K1919" s="7"/>
    </row>
    <row r="1920">
      <c r="H1920" s="7"/>
      <c r="I1920" s="7"/>
      <c r="J1920" s="7"/>
      <c r="K1920" s="7"/>
    </row>
    <row r="1921">
      <c r="H1921" s="7"/>
      <c r="I1921" s="7"/>
      <c r="J1921" s="7"/>
      <c r="K1921" s="7"/>
    </row>
    <row r="1922">
      <c r="H1922" s="7"/>
      <c r="I1922" s="7"/>
      <c r="J1922" s="7"/>
      <c r="K1922" s="7"/>
    </row>
    <row r="1923">
      <c r="H1923" s="7"/>
      <c r="I1923" s="7"/>
      <c r="J1923" s="7"/>
      <c r="K1923" s="7"/>
    </row>
    <row r="1924">
      <c r="H1924" s="7"/>
      <c r="I1924" s="7"/>
      <c r="J1924" s="7"/>
      <c r="K1924" s="7"/>
    </row>
    <row r="1925">
      <c r="H1925" s="7"/>
      <c r="I1925" s="7"/>
      <c r="J1925" s="7"/>
      <c r="K1925" s="7"/>
    </row>
    <row r="1926">
      <c r="H1926" s="7"/>
      <c r="I1926" s="7"/>
      <c r="J1926" s="7"/>
      <c r="K1926" s="7"/>
    </row>
    <row r="1927">
      <c r="H1927" s="7"/>
      <c r="I1927" s="7"/>
      <c r="J1927" s="7"/>
      <c r="K1927" s="7"/>
    </row>
    <row r="1928">
      <c r="H1928" s="7"/>
      <c r="I1928" s="7"/>
      <c r="J1928" s="7"/>
      <c r="K1928" s="7"/>
    </row>
    <row r="1929">
      <c r="H1929" s="7"/>
      <c r="I1929" s="7"/>
      <c r="J1929" s="7"/>
      <c r="K1929" s="7"/>
    </row>
    <row r="1930">
      <c r="H1930" s="7"/>
      <c r="I1930" s="7"/>
      <c r="J1930" s="7"/>
      <c r="K1930" s="7"/>
    </row>
    <row r="1931">
      <c r="H1931" s="7"/>
      <c r="I1931" s="7"/>
      <c r="J1931" s="7"/>
      <c r="K1931" s="7"/>
    </row>
    <row r="1932">
      <c r="H1932" s="7"/>
      <c r="I1932" s="7"/>
      <c r="J1932" s="7"/>
      <c r="K1932" s="7"/>
    </row>
    <row r="1933">
      <c r="H1933" s="7"/>
      <c r="I1933" s="7"/>
      <c r="J1933" s="7"/>
      <c r="K1933" s="7"/>
    </row>
    <row r="1934">
      <c r="H1934" s="7"/>
      <c r="I1934" s="7"/>
      <c r="J1934" s="7"/>
      <c r="K1934" s="7"/>
    </row>
    <row r="1935">
      <c r="H1935" s="7"/>
      <c r="I1935" s="7"/>
      <c r="J1935" s="7"/>
      <c r="K1935" s="7"/>
    </row>
    <row r="1936">
      <c r="H1936" s="7"/>
      <c r="I1936" s="7"/>
      <c r="J1936" s="7"/>
      <c r="K1936" s="7"/>
    </row>
    <row r="1937">
      <c r="H1937" s="7"/>
      <c r="I1937" s="7"/>
      <c r="J1937" s="7"/>
      <c r="K1937" s="7"/>
    </row>
    <row r="1938">
      <c r="H1938" s="7"/>
      <c r="I1938" s="7"/>
      <c r="J1938" s="7"/>
      <c r="K1938" s="7"/>
    </row>
    <row r="1939">
      <c r="H1939" s="7"/>
      <c r="I1939" s="7"/>
      <c r="J1939" s="7"/>
      <c r="K1939" s="7"/>
    </row>
    <row r="1940">
      <c r="H1940" s="7"/>
      <c r="I1940" s="7"/>
      <c r="J1940" s="7"/>
      <c r="K1940" s="7"/>
    </row>
    <row r="1941">
      <c r="H1941" s="7"/>
      <c r="I1941" s="7"/>
      <c r="J1941" s="7"/>
      <c r="K1941" s="7"/>
    </row>
    <row r="1942">
      <c r="H1942" s="7"/>
      <c r="I1942" s="7"/>
      <c r="J1942" s="7"/>
      <c r="K1942" s="7"/>
    </row>
    <row r="1943">
      <c r="H1943" s="7"/>
      <c r="I1943" s="7"/>
      <c r="J1943" s="7"/>
      <c r="K1943" s="7"/>
    </row>
    <row r="1944">
      <c r="H1944" s="7"/>
      <c r="I1944" s="7"/>
      <c r="J1944" s="7"/>
      <c r="K1944" s="7"/>
    </row>
    <row r="1945">
      <c r="H1945" s="7"/>
      <c r="I1945" s="7"/>
      <c r="J1945" s="7"/>
      <c r="K1945" s="7"/>
    </row>
    <row r="1946">
      <c r="H1946" s="7"/>
      <c r="I1946" s="7"/>
      <c r="J1946" s="7"/>
      <c r="K1946" s="7"/>
    </row>
    <row r="1947">
      <c r="H1947" s="7"/>
      <c r="I1947" s="7"/>
      <c r="J1947" s="7"/>
      <c r="K1947" s="7"/>
    </row>
    <row r="1948">
      <c r="H1948" s="7"/>
      <c r="I1948" s="7"/>
      <c r="J1948" s="7"/>
      <c r="K1948" s="7"/>
    </row>
    <row r="1949">
      <c r="H1949" s="7"/>
      <c r="I1949" s="7"/>
      <c r="J1949" s="7"/>
      <c r="K1949" s="7"/>
    </row>
    <row r="1950">
      <c r="H1950" s="7"/>
      <c r="I1950" s="7"/>
      <c r="J1950" s="7"/>
      <c r="K1950" s="7"/>
    </row>
    <row r="1951">
      <c r="H1951" s="7"/>
      <c r="I1951" s="7"/>
      <c r="J1951" s="7"/>
      <c r="K1951" s="7"/>
    </row>
    <row r="1952">
      <c r="H1952" s="7"/>
      <c r="I1952" s="7"/>
      <c r="J1952" s="7"/>
      <c r="K1952" s="7"/>
    </row>
    <row r="1953">
      <c r="H1953" s="7"/>
      <c r="I1953" s="7"/>
      <c r="J1953" s="7"/>
      <c r="K1953" s="7"/>
    </row>
    <row r="1954">
      <c r="H1954" s="7"/>
      <c r="I1954" s="7"/>
      <c r="J1954" s="7"/>
      <c r="K1954" s="7"/>
    </row>
    <row r="1955">
      <c r="H1955" s="7"/>
      <c r="I1955" s="7"/>
      <c r="J1955" s="7"/>
      <c r="K1955" s="7"/>
    </row>
    <row r="1956">
      <c r="H1956" s="7"/>
      <c r="I1956" s="7"/>
      <c r="J1956" s="7"/>
      <c r="K1956" s="7"/>
    </row>
    <row r="1957">
      <c r="H1957" s="7"/>
      <c r="I1957" s="7"/>
      <c r="J1957" s="7"/>
      <c r="K1957" s="7"/>
    </row>
    <row r="1958">
      <c r="H1958" s="7"/>
      <c r="I1958" s="7"/>
      <c r="J1958" s="7"/>
      <c r="K1958" s="7"/>
    </row>
    <row r="1959">
      <c r="H1959" s="7"/>
      <c r="I1959" s="7"/>
      <c r="J1959" s="7"/>
      <c r="K1959" s="7"/>
    </row>
    <row r="1960">
      <c r="H1960" s="7"/>
      <c r="I1960" s="7"/>
      <c r="J1960" s="7"/>
      <c r="K1960" s="7"/>
    </row>
    <row r="1961">
      <c r="H1961" s="7"/>
      <c r="I1961" s="7"/>
      <c r="J1961" s="7"/>
      <c r="K1961" s="7"/>
    </row>
    <row r="1962">
      <c r="H1962" s="7"/>
      <c r="I1962" s="7"/>
      <c r="J1962" s="7"/>
      <c r="K1962" s="7"/>
    </row>
    <row r="1963">
      <c r="H1963" s="7"/>
      <c r="I1963" s="7"/>
      <c r="J1963" s="7"/>
      <c r="K1963" s="7"/>
    </row>
    <row r="1964">
      <c r="H1964" s="7"/>
      <c r="I1964" s="7"/>
      <c r="J1964" s="7"/>
      <c r="K1964" s="7"/>
    </row>
    <row r="1965">
      <c r="H1965" s="7"/>
      <c r="I1965" s="7"/>
      <c r="J1965" s="7"/>
      <c r="K1965" s="7"/>
    </row>
    <row r="1966">
      <c r="H1966" s="7"/>
      <c r="I1966" s="7"/>
      <c r="J1966" s="7"/>
      <c r="K1966" s="7"/>
    </row>
    <row r="1967">
      <c r="H1967" s="7"/>
      <c r="I1967" s="7"/>
      <c r="J1967" s="7"/>
      <c r="K1967" s="7"/>
    </row>
    <row r="1968">
      <c r="H1968" s="7"/>
      <c r="I1968" s="7"/>
      <c r="J1968" s="7"/>
      <c r="K1968" s="7"/>
    </row>
    <row r="1969">
      <c r="H1969" s="7"/>
      <c r="I1969" s="7"/>
      <c r="J1969" s="7"/>
      <c r="K1969" s="7"/>
    </row>
    <row r="1970">
      <c r="H1970" s="7"/>
      <c r="I1970" s="7"/>
      <c r="J1970" s="7"/>
      <c r="K1970" s="7"/>
    </row>
    <row r="1971">
      <c r="H1971" s="7"/>
      <c r="I1971" s="7"/>
      <c r="J1971" s="7"/>
      <c r="K1971" s="7"/>
    </row>
    <row r="1972">
      <c r="H1972" s="7"/>
      <c r="I1972" s="7"/>
      <c r="J1972" s="7"/>
      <c r="K1972" s="7"/>
    </row>
    <row r="1973">
      <c r="H1973" s="7"/>
      <c r="I1973" s="7"/>
      <c r="J1973" s="7"/>
      <c r="K1973" s="7"/>
    </row>
    <row r="1974">
      <c r="H1974" s="7"/>
      <c r="I1974" s="7"/>
      <c r="J1974" s="7"/>
      <c r="K1974" s="7"/>
    </row>
    <row r="1975">
      <c r="H1975" s="7"/>
      <c r="I1975" s="7"/>
      <c r="J1975" s="7"/>
      <c r="K1975" s="7"/>
    </row>
    <row r="1976">
      <c r="H1976" s="7"/>
      <c r="I1976" s="7"/>
      <c r="J1976" s="7"/>
      <c r="K1976" s="7"/>
    </row>
    <row r="1977">
      <c r="H1977" s="7"/>
      <c r="I1977" s="7"/>
      <c r="J1977" s="7"/>
      <c r="K1977" s="7"/>
    </row>
    <row r="1978">
      <c r="H1978" s="7"/>
      <c r="I1978" s="7"/>
      <c r="J1978" s="7"/>
      <c r="K1978" s="7"/>
    </row>
    <row r="1979">
      <c r="H1979" s="7"/>
      <c r="I1979" s="7"/>
      <c r="J1979" s="7"/>
      <c r="K1979" s="7"/>
    </row>
    <row r="1980">
      <c r="H1980" s="7"/>
      <c r="I1980" s="7"/>
      <c r="J1980" s="7"/>
      <c r="K1980" s="7"/>
    </row>
    <row r="1981">
      <c r="H1981" s="7"/>
      <c r="I1981" s="7"/>
      <c r="J1981" s="7"/>
      <c r="K1981" s="7"/>
    </row>
    <row r="1982">
      <c r="H1982" s="7"/>
      <c r="I1982" s="7"/>
      <c r="J1982" s="7"/>
      <c r="K1982" s="7"/>
    </row>
    <row r="1983">
      <c r="H1983" s="7"/>
      <c r="I1983" s="7"/>
      <c r="J1983" s="7"/>
      <c r="K1983" s="7"/>
    </row>
    <row r="1984">
      <c r="H1984" s="7"/>
      <c r="I1984" s="7"/>
      <c r="J1984" s="7"/>
      <c r="K1984" s="7"/>
    </row>
    <row r="1985">
      <c r="H1985" s="7"/>
      <c r="I1985" s="7"/>
      <c r="J1985" s="7"/>
      <c r="K1985" s="7"/>
    </row>
    <row r="1986">
      <c r="H1986" s="7"/>
      <c r="I1986" s="7"/>
      <c r="J1986" s="7"/>
      <c r="K1986" s="7"/>
    </row>
    <row r="1987">
      <c r="H1987" s="7"/>
      <c r="I1987" s="7"/>
      <c r="J1987" s="7"/>
      <c r="K1987" s="7"/>
    </row>
    <row r="1988">
      <c r="H1988" s="7"/>
      <c r="I1988" s="7"/>
      <c r="J1988" s="7"/>
      <c r="K1988" s="7"/>
    </row>
    <row r="1989">
      <c r="H1989" s="7"/>
      <c r="I1989" s="7"/>
      <c r="J1989" s="7"/>
      <c r="K1989" s="7"/>
    </row>
    <row r="1990">
      <c r="H1990" s="7"/>
      <c r="I1990" s="7"/>
      <c r="J1990" s="7"/>
      <c r="K1990" s="7"/>
    </row>
    <row r="1991">
      <c r="H1991" s="7"/>
      <c r="I1991" s="7"/>
      <c r="J1991" s="7"/>
      <c r="K1991" s="7"/>
    </row>
    <row r="1992">
      <c r="H1992" s="7"/>
      <c r="I1992" s="7"/>
      <c r="J1992" s="7"/>
      <c r="K1992" s="7"/>
    </row>
    <row r="1993">
      <c r="H1993" s="7"/>
      <c r="I1993" s="7"/>
      <c r="J1993" s="7"/>
      <c r="K1993" s="7"/>
    </row>
    <row r="1994">
      <c r="H1994" s="7"/>
      <c r="I1994" s="7"/>
      <c r="J1994" s="7"/>
      <c r="K1994" s="7"/>
    </row>
    <row r="1995">
      <c r="H1995" s="7"/>
      <c r="I1995" s="7"/>
      <c r="J1995" s="7"/>
      <c r="K1995" s="7"/>
    </row>
    <row r="1996">
      <c r="H1996" s="7"/>
      <c r="I1996" s="7"/>
      <c r="J1996" s="7"/>
      <c r="K1996" s="7"/>
    </row>
    <row r="1997">
      <c r="H1997" s="7"/>
      <c r="I1997" s="7"/>
      <c r="J1997" s="7"/>
      <c r="K1997" s="7"/>
    </row>
    <row r="1998">
      <c r="H1998" s="7"/>
      <c r="I1998" s="7"/>
      <c r="J1998" s="7"/>
      <c r="K1998" s="7"/>
    </row>
    <row r="1999">
      <c r="H1999" s="7"/>
      <c r="I1999" s="7"/>
      <c r="J1999" s="7"/>
      <c r="K1999" s="7"/>
    </row>
    <row r="2000">
      <c r="H2000" s="7"/>
      <c r="I2000" s="7"/>
      <c r="J2000" s="7"/>
      <c r="K2000" s="7"/>
    </row>
    <row r="2001">
      <c r="H2001" s="7"/>
      <c r="I2001" s="7"/>
      <c r="J2001" s="7"/>
      <c r="K2001" s="7"/>
    </row>
    <row r="2002">
      <c r="H2002" s="7"/>
      <c r="I2002" s="7"/>
      <c r="J2002" s="7"/>
      <c r="K2002" s="7"/>
    </row>
    <row r="2003">
      <c r="H2003" s="7"/>
      <c r="I2003" s="7"/>
      <c r="J2003" s="7"/>
      <c r="K2003" s="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</row>
    <row r="2">
      <c r="A2" s="3" t="s">
        <v>14</v>
      </c>
      <c r="B2" s="3">
        <v>2025.0</v>
      </c>
      <c r="C2" s="3" t="s">
        <v>15</v>
      </c>
      <c r="D2" s="3" t="s">
        <v>16</v>
      </c>
      <c r="E2" s="3" t="s">
        <v>17</v>
      </c>
      <c r="F2" s="4">
        <v>43469.0</v>
      </c>
      <c r="G2" s="3" t="s">
        <v>18</v>
      </c>
      <c r="H2" s="3" t="s">
        <v>19</v>
      </c>
      <c r="I2" s="5" t="s">
        <v>20</v>
      </c>
      <c r="J2" s="3" t="s">
        <v>21</v>
      </c>
      <c r="K2" s="3" t="s">
        <v>22</v>
      </c>
      <c r="L2" s="3" t="s">
        <v>89</v>
      </c>
      <c r="M2" s="3" t="s">
        <v>24</v>
      </c>
    </row>
    <row r="3">
      <c r="A3" s="7">
        <v>1.0</v>
      </c>
      <c r="B3" s="7">
        <v>2025.0</v>
      </c>
      <c r="C3" s="8">
        <v>45764.0</v>
      </c>
      <c r="D3" s="7" t="s">
        <v>25</v>
      </c>
      <c r="E3" s="7" t="s">
        <v>26</v>
      </c>
      <c r="F3" s="7">
        <v>1.0</v>
      </c>
      <c r="G3" s="7" t="s">
        <v>27</v>
      </c>
      <c r="H3" s="7">
        <v>1.0</v>
      </c>
      <c r="I3" s="7">
        <v>1.0</v>
      </c>
      <c r="J3" s="7">
        <v>0.0</v>
      </c>
      <c r="K3" s="7" t="s">
        <v>28</v>
      </c>
      <c r="L3" s="9" t="str">
        <f>VLOOKUP(K3, 'Alphabetical by species code'!A:B, 2, FALSE)</f>
        <v>Litter</v>
      </c>
    </row>
    <row r="4">
      <c r="A4" s="7">
        <v>1.0</v>
      </c>
      <c r="B4" s="7">
        <v>2025.0</v>
      </c>
      <c r="C4" s="8">
        <v>45764.0</v>
      </c>
      <c r="D4" s="7" t="s">
        <v>25</v>
      </c>
      <c r="E4" s="7" t="s">
        <v>26</v>
      </c>
      <c r="F4" s="7">
        <v>1.0</v>
      </c>
      <c r="G4" s="7" t="s">
        <v>27</v>
      </c>
      <c r="H4" s="7">
        <v>1.0</v>
      </c>
      <c r="I4" s="7">
        <v>1.0</v>
      </c>
      <c r="J4" s="7">
        <v>0.0</v>
      </c>
      <c r="K4" s="7" t="s">
        <v>29</v>
      </c>
      <c r="L4" s="9" t="str">
        <f>VLOOKUP(K4, 'Alphabetical by species code'!A:B, 2, FALSE)</f>
        <v>Opuntia littoralis</v>
      </c>
    </row>
    <row r="5">
      <c r="A5" s="7">
        <v>1.0</v>
      </c>
      <c r="B5" s="7">
        <v>2025.0</v>
      </c>
      <c r="C5" s="8">
        <v>45764.0</v>
      </c>
      <c r="D5" s="7" t="s">
        <v>25</v>
      </c>
      <c r="E5" s="7" t="s">
        <v>26</v>
      </c>
      <c r="F5" s="7">
        <v>1.0</v>
      </c>
      <c r="G5" s="7" t="s">
        <v>27</v>
      </c>
      <c r="H5" s="7">
        <v>1.0</v>
      </c>
      <c r="I5" s="7">
        <v>1.0</v>
      </c>
      <c r="J5" s="7">
        <v>0.0</v>
      </c>
      <c r="K5" s="7" t="s">
        <v>30</v>
      </c>
      <c r="L5" s="9" t="str">
        <f>VLOOKUP(K5, 'Alphabetical by species code'!A:B, 2, FALSE)</f>
        <v>Erodium moschatum</v>
      </c>
    </row>
    <row r="6">
      <c r="A6" s="7">
        <v>1.0</v>
      </c>
      <c r="B6" s="7">
        <v>2025.0</v>
      </c>
      <c r="C6" s="8">
        <v>45764.0</v>
      </c>
      <c r="D6" s="7" t="s">
        <v>25</v>
      </c>
      <c r="E6" s="7" t="s">
        <v>26</v>
      </c>
      <c r="F6" s="7">
        <v>1.0</v>
      </c>
      <c r="G6" s="7" t="s">
        <v>27</v>
      </c>
      <c r="H6" s="7">
        <v>1.0</v>
      </c>
      <c r="I6" s="7">
        <v>1.0</v>
      </c>
      <c r="J6" s="7">
        <v>0.0</v>
      </c>
      <c r="K6" s="7" t="s">
        <v>31</v>
      </c>
      <c r="L6" s="9" t="str">
        <f>VLOOKUP(K6, 'Alphabetical by species code'!A:B, 2, FALSE)</f>
        <v>Festuca myuros</v>
      </c>
    </row>
    <row r="7">
      <c r="A7" s="7">
        <v>1.0</v>
      </c>
      <c r="B7" s="7">
        <v>2025.0</v>
      </c>
      <c r="C7" s="8">
        <v>45764.0</v>
      </c>
      <c r="D7" s="7" t="s">
        <v>25</v>
      </c>
      <c r="E7" s="7" t="s">
        <v>26</v>
      </c>
      <c r="F7" s="7">
        <v>1.0</v>
      </c>
      <c r="G7" s="7" t="s">
        <v>27</v>
      </c>
      <c r="H7" s="7">
        <v>1.0</v>
      </c>
      <c r="I7" s="7">
        <v>2.0</v>
      </c>
      <c r="J7" s="7">
        <v>0.5</v>
      </c>
      <c r="K7" s="7" t="s">
        <v>28</v>
      </c>
      <c r="L7" s="9" t="str">
        <f>VLOOKUP(K7, 'Alphabetical by species code'!A:B, 2, FALSE)</f>
        <v>Litter</v>
      </c>
    </row>
    <row r="8">
      <c r="A8" s="7">
        <v>1.0</v>
      </c>
      <c r="B8" s="7">
        <v>2025.0</v>
      </c>
      <c r="C8" s="8">
        <v>45764.0</v>
      </c>
      <c r="D8" s="7" t="s">
        <v>25</v>
      </c>
      <c r="E8" s="7" t="s">
        <v>26</v>
      </c>
      <c r="F8" s="7">
        <v>1.0</v>
      </c>
      <c r="G8" s="7" t="s">
        <v>27</v>
      </c>
      <c r="H8" s="7">
        <v>1.0</v>
      </c>
      <c r="I8" s="7">
        <v>2.0</v>
      </c>
      <c r="J8" s="7">
        <v>0.5</v>
      </c>
      <c r="K8" s="7" t="s">
        <v>32</v>
      </c>
      <c r="L8" s="9" t="str">
        <f>VLOOKUP(K8, 'Alphabetical by species code'!A:B, 2, FALSE)</f>
        <v>Medicago polymorpha</v>
      </c>
    </row>
    <row r="9">
      <c r="A9" s="7">
        <v>1.0</v>
      </c>
      <c r="B9" s="7">
        <v>2025.0</v>
      </c>
      <c r="C9" s="8">
        <v>45764.0</v>
      </c>
      <c r="D9" s="7" t="s">
        <v>25</v>
      </c>
      <c r="E9" s="7" t="s">
        <v>26</v>
      </c>
      <c r="F9" s="7">
        <v>1.0</v>
      </c>
      <c r="G9" s="7" t="s">
        <v>27</v>
      </c>
      <c r="H9" s="7">
        <v>1.0</v>
      </c>
      <c r="I9" s="7">
        <v>2.0</v>
      </c>
      <c r="J9" s="7">
        <v>0.5</v>
      </c>
      <c r="K9" s="7" t="s">
        <v>29</v>
      </c>
      <c r="L9" s="9" t="str">
        <f>VLOOKUP(K9, 'Alphabetical by species code'!A:B, 2, FALSE)</f>
        <v>Opuntia littoralis</v>
      </c>
    </row>
    <row r="10">
      <c r="A10" s="7">
        <v>1.0</v>
      </c>
      <c r="B10" s="7">
        <v>2025.0</v>
      </c>
      <c r="C10" s="8">
        <v>45764.0</v>
      </c>
      <c r="D10" s="7" t="s">
        <v>25</v>
      </c>
      <c r="E10" s="7" t="s">
        <v>26</v>
      </c>
      <c r="F10" s="7">
        <v>1.0</v>
      </c>
      <c r="G10" s="7" t="s">
        <v>27</v>
      </c>
      <c r="H10" s="7">
        <v>1.0</v>
      </c>
      <c r="I10" s="7">
        <v>2.0</v>
      </c>
      <c r="J10" s="7">
        <v>0.5</v>
      </c>
      <c r="K10" s="7" t="s">
        <v>33</v>
      </c>
      <c r="L10" s="9" t="str">
        <f>VLOOKUP(K10, 'Alphabetical by species code'!A:B, 2, FALSE)</f>
        <v>Unknown non-native grass</v>
      </c>
    </row>
    <row r="11">
      <c r="A11" s="7">
        <v>1.0</v>
      </c>
      <c r="B11" s="7">
        <v>2025.0</v>
      </c>
      <c r="C11" s="8">
        <v>45764.0</v>
      </c>
      <c r="D11" s="7" t="s">
        <v>25</v>
      </c>
      <c r="E11" s="7" t="s">
        <v>26</v>
      </c>
      <c r="F11" s="7">
        <v>1.0</v>
      </c>
      <c r="G11" s="7" t="s">
        <v>27</v>
      </c>
      <c r="H11" s="7">
        <v>1.0</v>
      </c>
      <c r="I11" s="7">
        <v>3.0</v>
      </c>
      <c r="J11" s="7">
        <v>1.0</v>
      </c>
      <c r="K11" s="7" t="s">
        <v>28</v>
      </c>
      <c r="L11" s="9" t="str">
        <f>VLOOKUP(K11, 'Alphabetical by species code'!A:B, 2, FALSE)</f>
        <v>Litter</v>
      </c>
    </row>
    <row r="12">
      <c r="A12" s="7">
        <v>1.0</v>
      </c>
      <c r="B12" s="7">
        <v>2025.0</v>
      </c>
      <c r="C12" s="8">
        <v>45764.0</v>
      </c>
      <c r="D12" s="7" t="s">
        <v>25</v>
      </c>
      <c r="E12" s="7" t="s">
        <v>26</v>
      </c>
      <c r="F12" s="7">
        <v>1.0</v>
      </c>
      <c r="G12" s="7" t="s">
        <v>27</v>
      </c>
      <c r="H12" s="7">
        <v>1.0</v>
      </c>
      <c r="I12" s="7">
        <v>3.0</v>
      </c>
      <c r="J12" s="7">
        <v>1.0</v>
      </c>
      <c r="K12" s="7" t="s">
        <v>32</v>
      </c>
      <c r="L12" s="9" t="str">
        <f>VLOOKUP(K12, 'Alphabetical by species code'!A:B, 2, FALSE)</f>
        <v>Medicago polymorpha</v>
      </c>
    </row>
    <row r="13">
      <c r="A13" s="7">
        <v>1.0</v>
      </c>
      <c r="B13" s="7">
        <v>2025.0</v>
      </c>
      <c r="C13" s="8">
        <v>45764.0</v>
      </c>
      <c r="D13" s="7" t="s">
        <v>25</v>
      </c>
      <c r="E13" s="7" t="s">
        <v>26</v>
      </c>
      <c r="F13" s="7">
        <v>1.0</v>
      </c>
      <c r="G13" s="7" t="s">
        <v>27</v>
      </c>
      <c r="H13" s="7">
        <v>1.0</v>
      </c>
      <c r="I13" s="7">
        <v>3.0</v>
      </c>
      <c r="J13" s="7">
        <v>1.0</v>
      </c>
      <c r="K13" s="7" t="s">
        <v>31</v>
      </c>
      <c r="L13" s="9" t="str">
        <f>VLOOKUP(K13, 'Alphabetical by species code'!A:B, 2, FALSE)</f>
        <v>Festuca myuros</v>
      </c>
    </row>
    <row r="14">
      <c r="A14" s="7">
        <v>1.0</v>
      </c>
      <c r="B14" s="7">
        <v>2025.0</v>
      </c>
      <c r="C14" s="8">
        <v>45764.0</v>
      </c>
      <c r="D14" s="7" t="s">
        <v>25</v>
      </c>
      <c r="E14" s="7" t="s">
        <v>26</v>
      </c>
      <c r="F14" s="7">
        <v>1.0</v>
      </c>
      <c r="G14" s="7" t="s">
        <v>27</v>
      </c>
      <c r="H14" s="7">
        <v>1.0</v>
      </c>
      <c r="I14" s="7">
        <v>3.0</v>
      </c>
      <c r="J14" s="7">
        <v>1.0</v>
      </c>
      <c r="K14" s="7" t="s">
        <v>34</v>
      </c>
      <c r="L14" s="9" t="str">
        <f>VLOOKUP(K14, 'Alphabetical by species code'!A:B, 2, FALSE)</f>
        <v>Erodium cicutarium</v>
      </c>
    </row>
    <row r="15">
      <c r="A15" s="7">
        <v>1.0</v>
      </c>
      <c r="B15" s="7">
        <v>2025.0</v>
      </c>
      <c r="C15" s="8">
        <v>45764.0</v>
      </c>
      <c r="D15" s="7" t="s">
        <v>25</v>
      </c>
      <c r="E15" s="7" t="s">
        <v>26</v>
      </c>
      <c r="F15" s="7">
        <v>1.0</v>
      </c>
      <c r="G15" s="7" t="s">
        <v>27</v>
      </c>
      <c r="H15" s="7">
        <v>1.0</v>
      </c>
      <c r="I15" s="7">
        <v>4.0</v>
      </c>
      <c r="J15" s="7">
        <v>1.5</v>
      </c>
      <c r="K15" s="7" t="s">
        <v>28</v>
      </c>
      <c r="L15" s="9" t="str">
        <f>VLOOKUP(K15, 'Alphabetical by species code'!A:B, 2, FALSE)</f>
        <v>Litter</v>
      </c>
    </row>
    <row r="16">
      <c r="A16" s="7">
        <v>1.0</v>
      </c>
      <c r="B16" s="7">
        <v>2025.0</v>
      </c>
      <c r="C16" s="8">
        <v>45764.0</v>
      </c>
      <c r="D16" s="7" t="s">
        <v>25</v>
      </c>
      <c r="E16" s="7" t="s">
        <v>26</v>
      </c>
      <c r="F16" s="7">
        <v>1.0</v>
      </c>
      <c r="G16" s="7" t="s">
        <v>27</v>
      </c>
      <c r="H16" s="7">
        <v>1.0</v>
      </c>
      <c r="I16" s="7">
        <v>4.0</v>
      </c>
      <c r="J16" s="7">
        <v>1.5</v>
      </c>
      <c r="K16" s="7" t="s">
        <v>29</v>
      </c>
      <c r="L16" s="9" t="str">
        <f>VLOOKUP(K16, 'Alphabetical by species code'!A:B, 2, FALSE)</f>
        <v>Opuntia littoralis</v>
      </c>
    </row>
    <row r="17">
      <c r="A17" s="7">
        <v>1.0</v>
      </c>
      <c r="B17" s="7">
        <v>2025.0</v>
      </c>
      <c r="C17" s="8">
        <v>45764.0</v>
      </c>
      <c r="D17" s="7" t="s">
        <v>25</v>
      </c>
      <c r="E17" s="7" t="s">
        <v>26</v>
      </c>
      <c r="F17" s="7">
        <v>1.0</v>
      </c>
      <c r="G17" s="7" t="s">
        <v>27</v>
      </c>
      <c r="H17" s="7">
        <v>1.0</v>
      </c>
      <c r="I17" s="7">
        <v>4.0</v>
      </c>
      <c r="J17" s="7">
        <v>1.5</v>
      </c>
      <c r="K17" s="7" t="s">
        <v>32</v>
      </c>
      <c r="L17" s="9" t="str">
        <f>VLOOKUP(K17, 'Alphabetical by species code'!A:B, 2, FALSE)</f>
        <v>Medicago polymorpha</v>
      </c>
    </row>
    <row r="18">
      <c r="A18" s="7">
        <v>1.0</v>
      </c>
      <c r="B18" s="7">
        <v>2025.0</v>
      </c>
      <c r="C18" s="8">
        <v>45764.0</v>
      </c>
      <c r="D18" s="7" t="s">
        <v>25</v>
      </c>
      <c r="E18" s="7" t="s">
        <v>26</v>
      </c>
      <c r="F18" s="7">
        <v>1.0</v>
      </c>
      <c r="G18" s="7" t="s">
        <v>27</v>
      </c>
      <c r="H18" s="7">
        <v>1.0</v>
      </c>
      <c r="I18" s="7">
        <v>4.0</v>
      </c>
      <c r="J18" s="7">
        <v>1.5</v>
      </c>
      <c r="K18" s="7" t="s">
        <v>35</v>
      </c>
      <c r="L18" s="9" t="str">
        <f>VLOOKUP(K18, 'Alphabetical by species code'!A:B, 2, FALSE)</f>
        <v>Deinandra fasciculata</v>
      </c>
    </row>
    <row r="19">
      <c r="A19" s="7">
        <v>1.0</v>
      </c>
      <c r="B19" s="7">
        <v>2025.0</v>
      </c>
      <c r="C19" s="8">
        <v>45764.0</v>
      </c>
      <c r="D19" s="7" t="s">
        <v>25</v>
      </c>
      <c r="E19" s="7" t="s">
        <v>26</v>
      </c>
      <c r="F19" s="7">
        <v>1.0</v>
      </c>
      <c r="G19" s="7" t="s">
        <v>27</v>
      </c>
      <c r="H19" s="7">
        <v>1.0</v>
      </c>
      <c r="I19" s="7">
        <v>5.0</v>
      </c>
      <c r="J19" s="7">
        <v>2.0</v>
      </c>
      <c r="K19" s="7" t="s">
        <v>28</v>
      </c>
      <c r="L19" s="9" t="str">
        <f>VLOOKUP(K19, 'Alphabetical by species code'!A:B, 2, FALSE)</f>
        <v>Litter</v>
      </c>
    </row>
    <row r="20">
      <c r="A20" s="7">
        <v>1.0</v>
      </c>
      <c r="B20" s="7">
        <v>2025.0</v>
      </c>
      <c r="C20" s="8">
        <v>45764.0</v>
      </c>
      <c r="D20" s="7" t="s">
        <v>25</v>
      </c>
      <c r="E20" s="7" t="s">
        <v>26</v>
      </c>
      <c r="F20" s="7">
        <v>1.0</v>
      </c>
      <c r="G20" s="7" t="s">
        <v>27</v>
      </c>
      <c r="H20" s="7">
        <v>1.0</v>
      </c>
      <c r="I20" s="7">
        <v>5.0</v>
      </c>
      <c r="J20" s="7">
        <v>2.0</v>
      </c>
      <c r="K20" s="7" t="s">
        <v>29</v>
      </c>
      <c r="L20" s="9" t="str">
        <f>VLOOKUP(K20, 'Alphabetical by species code'!A:B, 2, FALSE)</f>
        <v>Opuntia littoralis</v>
      </c>
    </row>
    <row r="21">
      <c r="A21" s="7">
        <v>1.0</v>
      </c>
      <c r="B21" s="7">
        <v>2025.0</v>
      </c>
      <c r="C21" s="8">
        <v>45764.0</v>
      </c>
      <c r="D21" s="7" t="s">
        <v>25</v>
      </c>
      <c r="E21" s="7" t="s">
        <v>26</v>
      </c>
      <c r="F21" s="7">
        <v>1.0</v>
      </c>
      <c r="G21" s="7" t="s">
        <v>27</v>
      </c>
      <c r="H21" s="7">
        <v>1.0</v>
      </c>
      <c r="I21" s="7">
        <v>5.0</v>
      </c>
      <c r="J21" s="7">
        <v>2.0</v>
      </c>
      <c r="K21" s="7" t="s">
        <v>36</v>
      </c>
      <c r="L21" s="9" t="str">
        <f>VLOOKUP(K21, 'Alphabetical by species code'!A:B, 2, FALSE)</f>
        <v>Bromus madritensis</v>
      </c>
    </row>
    <row r="22">
      <c r="A22" s="7">
        <v>1.0</v>
      </c>
      <c r="B22" s="7">
        <v>2025.0</v>
      </c>
      <c r="C22" s="8">
        <v>45764.0</v>
      </c>
      <c r="D22" s="7" t="s">
        <v>25</v>
      </c>
      <c r="E22" s="7" t="s">
        <v>26</v>
      </c>
      <c r="F22" s="7">
        <v>1.0</v>
      </c>
      <c r="G22" s="7" t="s">
        <v>27</v>
      </c>
      <c r="H22" s="7">
        <v>1.0</v>
      </c>
      <c r="I22" s="7">
        <v>5.0</v>
      </c>
      <c r="J22" s="7">
        <v>2.0</v>
      </c>
      <c r="K22" s="7" t="s">
        <v>30</v>
      </c>
      <c r="L22" s="9" t="str">
        <f>VLOOKUP(K22, 'Alphabetical by species code'!A:B, 2, FALSE)</f>
        <v>Erodium moschatum</v>
      </c>
    </row>
    <row r="23">
      <c r="A23" s="7">
        <v>1.0</v>
      </c>
      <c r="B23" s="7">
        <v>2025.0</v>
      </c>
      <c r="C23" s="8">
        <v>45764.0</v>
      </c>
      <c r="D23" s="7" t="s">
        <v>25</v>
      </c>
      <c r="E23" s="7" t="s">
        <v>26</v>
      </c>
      <c r="F23" s="7">
        <v>1.0</v>
      </c>
      <c r="G23" s="7" t="s">
        <v>27</v>
      </c>
      <c r="H23" s="7">
        <v>1.0</v>
      </c>
      <c r="I23" s="7">
        <v>6.0</v>
      </c>
      <c r="J23" s="7">
        <v>2.5</v>
      </c>
      <c r="K23" s="7" t="s">
        <v>28</v>
      </c>
      <c r="L23" s="9" t="str">
        <f>VLOOKUP(K23, 'Alphabetical by species code'!A:B, 2, FALSE)</f>
        <v>Litter</v>
      </c>
    </row>
    <row r="24">
      <c r="A24" s="7">
        <v>1.0</v>
      </c>
      <c r="B24" s="7">
        <v>2025.0</v>
      </c>
      <c r="C24" s="8">
        <v>45764.0</v>
      </c>
      <c r="D24" s="7" t="s">
        <v>25</v>
      </c>
      <c r="E24" s="7" t="s">
        <v>26</v>
      </c>
      <c r="F24" s="7">
        <v>1.0</v>
      </c>
      <c r="G24" s="7" t="s">
        <v>27</v>
      </c>
      <c r="H24" s="7">
        <v>1.0</v>
      </c>
      <c r="I24" s="7">
        <v>6.0</v>
      </c>
      <c r="J24" s="7">
        <v>2.5</v>
      </c>
      <c r="K24" s="7" t="s">
        <v>37</v>
      </c>
      <c r="L24" s="9" t="str">
        <f>VLOOKUP(K24, 'Alphabetical by species code'!A:B, 2, FALSE)</f>
        <v>Sonchus oleraceus</v>
      </c>
    </row>
    <row r="25">
      <c r="A25" s="7">
        <v>1.0</v>
      </c>
      <c r="B25" s="7">
        <v>2025.0</v>
      </c>
      <c r="C25" s="8">
        <v>45764.0</v>
      </c>
      <c r="D25" s="7" t="s">
        <v>25</v>
      </c>
      <c r="E25" s="7" t="s">
        <v>26</v>
      </c>
      <c r="F25" s="7">
        <v>1.0</v>
      </c>
      <c r="G25" s="7" t="s">
        <v>27</v>
      </c>
      <c r="H25" s="7">
        <v>1.0</v>
      </c>
      <c r="I25" s="7">
        <v>6.0</v>
      </c>
      <c r="J25" s="7">
        <v>2.5</v>
      </c>
      <c r="K25" s="7" t="s">
        <v>31</v>
      </c>
      <c r="L25" s="9" t="str">
        <f>VLOOKUP(K25, 'Alphabetical by species code'!A:B, 2, FALSE)</f>
        <v>Festuca myuros</v>
      </c>
    </row>
    <row r="26">
      <c r="A26" s="7">
        <v>1.0</v>
      </c>
      <c r="B26" s="7">
        <v>2025.0</v>
      </c>
      <c r="C26" s="8">
        <v>45764.0</v>
      </c>
      <c r="D26" s="7" t="s">
        <v>25</v>
      </c>
      <c r="E26" s="7" t="s">
        <v>26</v>
      </c>
      <c r="F26" s="7">
        <v>1.0</v>
      </c>
      <c r="G26" s="7" t="s">
        <v>27</v>
      </c>
      <c r="H26" s="7">
        <v>1.0</v>
      </c>
      <c r="I26" s="7">
        <v>7.0</v>
      </c>
      <c r="J26" s="7">
        <v>3.0</v>
      </c>
      <c r="K26" s="7" t="s">
        <v>38</v>
      </c>
      <c r="L26" s="9" t="str">
        <f>VLOOKUP(K26, 'Alphabetical by species code'!A:B, 2, FALSE)</f>
        <v>Thatch</v>
      </c>
    </row>
    <row r="27">
      <c r="A27" s="7">
        <v>1.0</v>
      </c>
      <c r="B27" s="7">
        <v>2025.0</v>
      </c>
      <c r="C27" s="8">
        <v>45764.0</v>
      </c>
      <c r="D27" s="7" t="s">
        <v>25</v>
      </c>
      <c r="E27" s="7" t="s">
        <v>26</v>
      </c>
      <c r="F27" s="7">
        <v>1.0</v>
      </c>
      <c r="G27" s="7" t="s">
        <v>27</v>
      </c>
      <c r="H27" s="7">
        <v>1.0</v>
      </c>
      <c r="I27" s="7">
        <v>7.0</v>
      </c>
      <c r="J27" s="7">
        <v>3.0</v>
      </c>
      <c r="K27" s="7" t="s">
        <v>31</v>
      </c>
      <c r="L27" s="9" t="str">
        <f>VLOOKUP(K27, 'Alphabetical by species code'!A:B, 2, FALSE)</f>
        <v>Festuca myuros</v>
      </c>
    </row>
    <row r="28">
      <c r="A28" s="7">
        <v>1.0</v>
      </c>
      <c r="B28" s="7">
        <v>2025.0</v>
      </c>
      <c r="C28" s="8">
        <v>45764.0</v>
      </c>
      <c r="D28" s="7" t="s">
        <v>25</v>
      </c>
      <c r="E28" s="7" t="s">
        <v>26</v>
      </c>
      <c r="F28" s="7">
        <v>1.0</v>
      </c>
      <c r="G28" s="7" t="s">
        <v>27</v>
      </c>
      <c r="H28" s="7">
        <v>1.0</v>
      </c>
      <c r="I28" s="7">
        <v>8.0</v>
      </c>
      <c r="J28" s="7">
        <v>3.5</v>
      </c>
      <c r="K28" s="7" t="s">
        <v>38</v>
      </c>
      <c r="L28" s="9" t="str">
        <f>VLOOKUP(K28, 'Alphabetical by species code'!A:B, 2, FALSE)</f>
        <v>Thatch</v>
      </c>
    </row>
    <row r="29">
      <c r="A29" s="7">
        <v>1.0</v>
      </c>
      <c r="B29" s="7">
        <v>2025.0</v>
      </c>
      <c r="C29" s="8">
        <v>45764.0</v>
      </c>
      <c r="D29" s="7" t="s">
        <v>25</v>
      </c>
      <c r="E29" s="7" t="s">
        <v>26</v>
      </c>
      <c r="F29" s="7">
        <v>1.0</v>
      </c>
      <c r="G29" s="7" t="s">
        <v>27</v>
      </c>
      <c r="H29" s="7">
        <v>1.0</v>
      </c>
      <c r="I29" s="7">
        <v>8.0</v>
      </c>
      <c r="J29" s="7">
        <v>3.5</v>
      </c>
      <c r="K29" s="7" t="s">
        <v>30</v>
      </c>
      <c r="L29" s="9" t="str">
        <f>VLOOKUP(K29, 'Alphabetical by species code'!A:B, 2, FALSE)</f>
        <v>Erodium moschatum</v>
      </c>
    </row>
    <row r="30">
      <c r="A30" s="7">
        <v>1.0</v>
      </c>
      <c r="B30" s="7">
        <v>2025.0</v>
      </c>
      <c r="C30" s="8">
        <v>45764.0</v>
      </c>
      <c r="D30" s="7" t="s">
        <v>25</v>
      </c>
      <c r="E30" s="7" t="s">
        <v>26</v>
      </c>
      <c r="F30" s="7">
        <v>1.0</v>
      </c>
      <c r="G30" s="7" t="s">
        <v>27</v>
      </c>
      <c r="H30" s="7">
        <v>1.0</v>
      </c>
      <c r="I30" s="7">
        <v>9.0</v>
      </c>
      <c r="J30" s="7">
        <v>4.0</v>
      </c>
      <c r="K30" s="7" t="s">
        <v>38</v>
      </c>
      <c r="L30" s="9" t="str">
        <f>VLOOKUP(K30, 'Alphabetical by species code'!A:B, 2, FALSE)</f>
        <v>Thatch</v>
      </c>
    </row>
    <row r="31">
      <c r="A31" s="7">
        <v>1.0</v>
      </c>
      <c r="B31" s="7">
        <v>2025.0</v>
      </c>
      <c r="C31" s="8">
        <v>45764.0</v>
      </c>
      <c r="D31" s="7" t="s">
        <v>25</v>
      </c>
      <c r="E31" s="7" t="s">
        <v>26</v>
      </c>
      <c r="F31" s="7">
        <v>1.0</v>
      </c>
      <c r="G31" s="7" t="s">
        <v>27</v>
      </c>
      <c r="H31" s="7">
        <v>1.0</v>
      </c>
      <c r="I31" s="7">
        <v>9.0</v>
      </c>
      <c r="J31" s="7">
        <v>4.0</v>
      </c>
      <c r="K31" s="7" t="s">
        <v>30</v>
      </c>
      <c r="L31" s="9" t="str">
        <f>VLOOKUP(K31, 'Alphabetical by species code'!A:B, 2, FALSE)</f>
        <v>Erodium moschatum</v>
      </c>
    </row>
    <row r="32">
      <c r="A32" s="7">
        <v>1.0</v>
      </c>
      <c r="B32" s="7">
        <v>2025.0</v>
      </c>
      <c r="C32" s="8">
        <v>45764.0</v>
      </c>
      <c r="D32" s="7" t="s">
        <v>25</v>
      </c>
      <c r="E32" s="7" t="s">
        <v>26</v>
      </c>
      <c r="F32" s="7">
        <v>1.0</v>
      </c>
      <c r="G32" s="7" t="s">
        <v>27</v>
      </c>
      <c r="H32" s="7">
        <v>1.0</v>
      </c>
      <c r="I32" s="7">
        <v>9.0</v>
      </c>
      <c r="J32" s="7">
        <v>4.0</v>
      </c>
      <c r="K32" s="7" t="s">
        <v>37</v>
      </c>
      <c r="L32" s="9" t="str">
        <f>VLOOKUP(K32, 'Alphabetical by species code'!A:B, 2, FALSE)</f>
        <v>Sonchus oleraceus</v>
      </c>
    </row>
    <row r="33">
      <c r="A33" s="7">
        <v>1.0</v>
      </c>
      <c r="B33" s="7">
        <v>2025.0</v>
      </c>
      <c r="C33" s="8">
        <v>45764.0</v>
      </c>
      <c r="D33" s="7" t="s">
        <v>25</v>
      </c>
      <c r="E33" s="7" t="s">
        <v>26</v>
      </c>
      <c r="F33" s="7">
        <v>1.0</v>
      </c>
      <c r="G33" s="7" t="s">
        <v>27</v>
      </c>
      <c r="H33" s="7">
        <v>1.0</v>
      </c>
      <c r="I33" s="7">
        <v>9.0</v>
      </c>
      <c r="J33" s="7">
        <v>4.0</v>
      </c>
      <c r="K33" s="7" t="s">
        <v>39</v>
      </c>
      <c r="L33" s="9" t="str">
        <f>VLOOKUP(K33, 'Alphabetical by species code'!A:B, 2, FALSE)</f>
        <v>Stephanomeria diegensis</v>
      </c>
    </row>
    <row r="34">
      <c r="A34" s="7">
        <v>1.0</v>
      </c>
      <c r="B34" s="7">
        <v>2025.0</v>
      </c>
      <c r="C34" s="8">
        <v>45764.0</v>
      </c>
      <c r="D34" s="7" t="s">
        <v>25</v>
      </c>
      <c r="E34" s="7" t="s">
        <v>26</v>
      </c>
      <c r="F34" s="7">
        <v>1.0</v>
      </c>
      <c r="G34" s="7" t="s">
        <v>27</v>
      </c>
      <c r="H34" s="7">
        <v>1.0</v>
      </c>
      <c r="I34" s="7">
        <v>10.0</v>
      </c>
      <c r="J34" s="7">
        <v>4.5</v>
      </c>
      <c r="K34" s="7" t="s">
        <v>38</v>
      </c>
      <c r="L34" s="9" t="str">
        <f>VLOOKUP(K34, 'Alphabetical by species code'!A:B, 2, FALSE)</f>
        <v>Thatch</v>
      </c>
    </row>
    <row r="35">
      <c r="A35" s="7">
        <v>1.0</v>
      </c>
      <c r="B35" s="7">
        <v>2025.0</v>
      </c>
      <c r="C35" s="8">
        <v>45764.0</v>
      </c>
      <c r="D35" s="7" t="s">
        <v>25</v>
      </c>
      <c r="E35" s="7" t="s">
        <v>26</v>
      </c>
      <c r="F35" s="7">
        <v>1.0</v>
      </c>
      <c r="G35" s="7" t="s">
        <v>27</v>
      </c>
      <c r="H35" s="7">
        <v>1.0</v>
      </c>
      <c r="I35" s="7">
        <v>10.0</v>
      </c>
      <c r="J35" s="7">
        <v>4.5</v>
      </c>
      <c r="K35" s="7" t="s">
        <v>36</v>
      </c>
      <c r="L35" s="9" t="str">
        <f>VLOOKUP(K35, 'Alphabetical by species code'!A:B, 2, FALSE)</f>
        <v>Bromus madritensis</v>
      </c>
    </row>
    <row r="36">
      <c r="A36" s="7">
        <v>1.0</v>
      </c>
      <c r="B36" s="7">
        <v>2025.0</v>
      </c>
      <c r="C36" s="8">
        <v>45764.0</v>
      </c>
      <c r="D36" s="7" t="s">
        <v>25</v>
      </c>
      <c r="E36" s="7" t="s">
        <v>26</v>
      </c>
      <c r="F36" s="7">
        <v>1.0</v>
      </c>
      <c r="G36" s="7" t="s">
        <v>27</v>
      </c>
      <c r="H36" s="7">
        <v>1.0</v>
      </c>
      <c r="I36" s="7">
        <v>10.0</v>
      </c>
      <c r="J36" s="7">
        <v>4.5</v>
      </c>
      <c r="K36" s="7" t="s">
        <v>30</v>
      </c>
      <c r="L36" s="9" t="str">
        <f>VLOOKUP(K36, 'Alphabetical by species code'!A:B, 2, FALSE)</f>
        <v>Erodium moschatum</v>
      </c>
    </row>
    <row r="37">
      <c r="A37" s="7">
        <v>1.0</v>
      </c>
      <c r="B37" s="7">
        <v>2025.0</v>
      </c>
      <c r="C37" s="8">
        <v>45764.0</v>
      </c>
      <c r="D37" s="7" t="s">
        <v>25</v>
      </c>
      <c r="E37" s="7" t="s">
        <v>26</v>
      </c>
      <c r="F37" s="7">
        <v>1.0</v>
      </c>
      <c r="G37" s="7" t="s">
        <v>27</v>
      </c>
      <c r="H37" s="7">
        <v>1.0</v>
      </c>
      <c r="I37" s="7">
        <v>11.0</v>
      </c>
      <c r="J37" s="7">
        <v>5.0</v>
      </c>
      <c r="K37" s="7" t="s">
        <v>38</v>
      </c>
      <c r="L37" s="9" t="str">
        <f>VLOOKUP(K37, 'Alphabetical by species code'!A:B, 2, FALSE)</f>
        <v>Thatch</v>
      </c>
    </row>
    <row r="38">
      <c r="A38" s="7">
        <v>1.0</v>
      </c>
      <c r="B38" s="7">
        <v>2025.0</v>
      </c>
      <c r="C38" s="8">
        <v>45764.0</v>
      </c>
      <c r="D38" s="7" t="s">
        <v>25</v>
      </c>
      <c r="E38" s="7" t="s">
        <v>26</v>
      </c>
      <c r="F38" s="7">
        <v>1.0</v>
      </c>
      <c r="G38" s="7" t="s">
        <v>27</v>
      </c>
      <c r="H38" s="7">
        <v>1.0</v>
      </c>
      <c r="I38" s="7">
        <v>11.0</v>
      </c>
      <c r="J38" s="7">
        <v>5.0</v>
      </c>
      <c r="K38" s="7" t="s">
        <v>35</v>
      </c>
      <c r="L38" s="9" t="str">
        <f>VLOOKUP(K38, 'Alphabetical by species code'!A:B, 2, FALSE)</f>
        <v>Deinandra fasciculata</v>
      </c>
    </row>
    <row r="39">
      <c r="A39" s="7">
        <v>1.0</v>
      </c>
      <c r="B39" s="7">
        <v>2025.0</v>
      </c>
      <c r="C39" s="8">
        <v>45764.0</v>
      </c>
      <c r="D39" s="7" t="s">
        <v>25</v>
      </c>
      <c r="E39" s="7" t="s">
        <v>26</v>
      </c>
      <c r="F39" s="7">
        <v>1.0</v>
      </c>
      <c r="G39" s="7" t="s">
        <v>27</v>
      </c>
      <c r="H39" s="7">
        <v>1.0</v>
      </c>
      <c r="I39" s="7">
        <v>11.0</v>
      </c>
      <c r="J39" s="7">
        <v>5.0</v>
      </c>
      <c r="K39" s="7" t="s">
        <v>37</v>
      </c>
      <c r="L39" s="9" t="str">
        <f>VLOOKUP(K39, 'Alphabetical by species code'!A:B, 2, FALSE)</f>
        <v>Sonchus oleraceus</v>
      </c>
    </row>
    <row r="40">
      <c r="A40" s="7">
        <v>1.0</v>
      </c>
      <c r="B40" s="7">
        <v>2025.0</v>
      </c>
      <c r="C40" s="8">
        <v>45764.0</v>
      </c>
      <c r="D40" s="7" t="s">
        <v>25</v>
      </c>
      <c r="E40" s="7" t="s">
        <v>26</v>
      </c>
      <c r="F40" s="7">
        <v>1.0</v>
      </c>
      <c r="G40" s="7" t="s">
        <v>27</v>
      </c>
      <c r="H40" s="7">
        <v>1.0</v>
      </c>
      <c r="I40" s="7">
        <v>11.0</v>
      </c>
      <c r="J40" s="7">
        <v>5.0</v>
      </c>
      <c r="K40" s="7" t="s">
        <v>31</v>
      </c>
      <c r="L40" s="9" t="str">
        <f>VLOOKUP(K40, 'Alphabetical by species code'!A:B, 2, FALSE)</f>
        <v>Festuca myuros</v>
      </c>
    </row>
    <row r="41">
      <c r="A41" s="7">
        <v>1.0</v>
      </c>
      <c r="B41" s="7">
        <v>2025.0</v>
      </c>
      <c r="C41" s="8">
        <v>45764.0</v>
      </c>
      <c r="D41" s="7" t="s">
        <v>25</v>
      </c>
      <c r="E41" s="7" t="s">
        <v>26</v>
      </c>
      <c r="F41" s="7">
        <v>1.0</v>
      </c>
      <c r="G41" s="7" t="s">
        <v>27</v>
      </c>
      <c r="H41" s="7">
        <v>1.0</v>
      </c>
      <c r="I41" s="7">
        <v>12.0</v>
      </c>
      <c r="J41" s="7">
        <v>5.5</v>
      </c>
      <c r="K41" s="7" t="s">
        <v>38</v>
      </c>
      <c r="L41" s="9" t="str">
        <f>VLOOKUP(K41, 'Alphabetical by species code'!A:B, 2, FALSE)</f>
        <v>Thatch</v>
      </c>
    </row>
    <row r="42">
      <c r="A42" s="7">
        <v>1.0</v>
      </c>
      <c r="B42" s="7">
        <v>2025.0</v>
      </c>
      <c r="C42" s="8">
        <v>45764.0</v>
      </c>
      <c r="D42" s="7" t="s">
        <v>25</v>
      </c>
      <c r="E42" s="7" t="s">
        <v>26</v>
      </c>
      <c r="F42" s="7">
        <v>1.0</v>
      </c>
      <c r="G42" s="7" t="s">
        <v>27</v>
      </c>
      <c r="H42" s="7">
        <v>1.0</v>
      </c>
      <c r="I42" s="7">
        <v>12.0</v>
      </c>
      <c r="J42" s="7">
        <v>5.5</v>
      </c>
      <c r="K42" s="7" t="s">
        <v>29</v>
      </c>
      <c r="L42" s="9" t="str">
        <f>VLOOKUP(K42, 'Alphabetical by species code'!A:B, 2, FALSE)</f>
        <v>Opuntia littoralis</v>
      </c>
    </row>
    <row r="43">
      <c r="A43" s="7">
        <v>1.0</v>
      </c>
      <c r="B43" s="7">
        <v>2025.0</v>
      </c>
      <c r="C43" s="8">
        <v>45764.0</v>
      </c>
      <c r="D43" s="7" t="s">
        <v>25</v>
      </c>
      <c r="E43" s="7" t="s">
        <v>26</v>
      </c>
      <c r="F43" s="7">
        <v>1.0</v>
      </c>
      <c r="G43" s="7" t="s">
        <v>27</v>
      </c>
      <c r="H43" s="7">
        <v>1.0</v>
      </c>
      <c r="I43" s="7">
        <v>12.0</v>
      </c>
      <c r="J43" s="7">
        <v>5.5</v>
      </c>
      <c r="K43" s="7" t="s">
        <v>30</v>
      </c>
      <c r="L43" s="9" t="str">
        <f>VLOOKUP(K43, 'Alphabetical by species code'!A:B, 2, FALSE)</f>
        <v>Erodium moschatum</v>
      </c>
    </row>
    <row r="44">
      <c r="A44" s="7">
        <v>1.0</v>
      </c>
      <c r="B44" s="7">
        <v>2025.0</v>
      </c>
      <c r="C44" s="8">
        <v>45764.0</v>
      </c>
      <c r="D44" s="7" t="s">
        <v>25</v>
      </c>
      <c r="E44" s="7" t="s">
        <v>26</v>
      </c>
      <c r="F44" s="7">
        <v>1.0</v>
      </c>
      <c r="G44" s="7" t="s">
        <v>27</v>
      </c>
      <c r="H44" s="7">
        <v>1.0</v>
      </c>
      <c r="I44" s="7">
        <v>12.0</v>
      </c>
      <c r="J44" s="7">
        <v>5.5</v>
      </c>
      <c r="K44" s="7" t="s">
        <v>37</v>
      </c>
      <c r="L44" s="9" t="str">
        <f>VLOOKUP(K44, 'Alphabetical by species code'!A:B, 2, FALSE)</f>
        <v>Sonchus oleraceus</v>
      </c>
    </row>
    <row r="45">
      <c r="A45" s="7">
        <v>1.0</v>
      </c>
      <c r="B45" s="7">
        <v>2025.0</v>
      </c>
      <c r="C45" s="8">
        <v>45764.0</v>
      </c>
      <c r="D45" s="7" t="s">
        <v>25</v>
      </c>
      <c r="E45" s="7" t="s">
        <v>26</v>
      </c>
      <c r="F45" s="7">
        <v>1.0</v>
      </c>
      <c r="G45" s="7" t="s">
        <v>27</v>
      </c>
      <c r="H45" s="7">
        <v>1.0</v>
      </c>
      <c r="I45" s="7">
        <v>13.0</v>
      </c>
      <c r="J45" s="7">
        <v>6.5</v>
      </c>
      <c r="K45" s="7" t="s">
        <v>28</v>
      </c>
      <c r="L45" s="9" t="str">
        <f>VLOOKUP(K45, 'Alphabetical by species code'!A:B, 2, FALSE)</f>
        <v>Litter</v>
      </c>
    </row>
    <row r="46">
      <c r="A46" s="7">
        <v>1.0</v>
      </c>
      <c r="B46" s="7">
        <v>2025.0</v>
      </c>
      <c r="C46" s="8">
        <v>45764.0</v>
      </c>
      <c r="D46" s="7" t="s">
        <v>25</v>
      </c>
      <c r="E46" s="7" t="s">
        <v>26</v>
      </c>
      <c r="F46" s="7">
        <v>1.0</v>
      </c>
      <c r="G46" s="7" t="s">
        <v>27</v>
      </c>
      <c r="H46" s="7">
        <v>1.0</v>
      </c>
      <c r="I46" s="7">
        <v>13.0</v>
      </c>
      <c r="J46" s="7">
        <v>6.5</v>
      </c>
      <c r="K46" s="7" t="s">
        <v>40</v>
      </c>
      <c r="L46" s="9" t="str">
        <f>VLOOKUP(K46, 'Alphabetical by species code'!A:B, 2, FALSE)</f>
        <v>Cylindropuntia prolifera</v>
      </c>
    </row>
    <row r="47">
      <c r="A47" s="7">
        <v>1.0</v>
      </c>
      <c r="B47" s="7">
        <v>2025.0</v>
      </c>
      <c r="C47" s="8">
        <v>45764.0</v>
      </c>
      <c r="D47" s="7" t="s">
        <v>25</v>
      </c>
      <c r="E47" s="7" t="s">
        <v>26</v>
      </c>
      <c r="F47" s="7">
        <v>1.0</v>
      </c>
      <c r="G47" s="7" t="s">
        <v>27</v>
      </c>
      <c r="H47" s="7">
        <v>1.0</v>
      </c>
      <c r="I47" s="7">
        <v>13.0</v>
      </c>
      <c r="J47" s="7">
        <v>6.5</v>
      </c>
      <c r="K47" s="7" t="s">
        <v>32</v>
      </c>
      <c r="L47" s="9" t="str">
        <f>VLOOKUP(K47, 'Alphabetical by species code'!A:B, 2, FALSE)</f>
        <v>Medicago polymorpha</v>
      </c>
    </row>
    <row r="48">
      <c r="A48" s="7">
        <v>1.0</v>
      </c>
      <c r="B48" s="7">
        <v>2025.0</v>
      </c>
      <c r="C48" s="8">
        <v>45764.0</v>
      </c>
      <c r="D48" s="7" t="s">
        <v>25</v>
      </c>
      <c r="E48" s="7" t="s">
        <v>26</v>
      </c>
      <c r="F48" s="7">
        <v>1.0</v>
      </c>
      <c r="G48" s="7" t="s">
        <v>27</v>
      </c>
      <c r="H48" s="7">
        <v>1.0</v>
      </c>
      <c r="I48" s="7">
        <v>14.0</v>
      </c>
      <c r="J48" s="7">
        <v>7.0</v>
      </c>
      <c r="K48" s="7" t="s">
        <v>41</v>
      </c>
      <c r="L48" s="9" t="str">
        <f>VLOOKUP(K48, 'Alphabetical by species code'!A:B, 2, FALSE)</f>
        <v>Stem</v>
      </c>
    </row>
    <row r="49">
      <c r="A49" s="7">
        <v>1.0</v>
      </c>
      <c r="B49" s="7">
        <v>2025.0</v>
      </c>
      <c r="C49" s="8">
        <v>45764.0</v>
      </c>
      <c r="D49" s="7" t="s">
        <v>25</v>
      </c>
      <c r="E49" s="7" t="s">
        <v>26</v>
      </c>
      <c r="F49" s="7">
        <v>1.0</v>
      </c>
      <c r="G49" s="7" t="s">
        <v>27</v>
      </c>
      <c r="H49" s="7">
        <v>1.0</v>
      </c>
      <c r="I49" s="7">
        <v>14.0</v>
      </c>
      <c r="J49" s="7">
        <v>7.0</v>
      </c>
      <c r="K49" s="7" t="s">
        <v>29</v>
      </c>
      <c r="L49" s="9" t="str">
        <f>VLOOKUP(K49, 'Alphabetical by species code'!A:B, 2, FALSE)</f>
        <v>Opuntia littoralis</v>
      </c>
    </row>
    <row r="50">
      <c r="A50" s="7">
        <v>1.0</v>
      </c>
      <c r="B50" s="7">
        <v>2025.0</v>
      </c>
      <c r="C50" s="8">
        <v>45764.0</v>
      </c>
      <c r="D50" s="7" t="s">
        <v>25</v>
      </c>
      <c r="E50" s="7" t="s">
        <v>26</v>
      </c>
      <c r="F50" s="7">
        <v>1.0</v>
      </c>
      <c r="G50" s="7" t="s">
        <v>27</v>
      </c>
      <c r="H50" s="7">
        <v>1.0</v>
      </c>
      <c r="I50" s="7">
        <v>15.0</v>
      </c>
      <c r="J50" s="7">
        <v>7.5</v>
      </c>
      <c r="K50" s="7" t="s">
        <v>28</v>
      </c>
      <c r="L50" s="9" t="str">
        <f>VLOOKUP(K50, 'Alphabetical by species code'!A:B, 2, FALSE)</f>
        <v>Litter</v>
      </c>
    </row>
    <row r="51">
      <c r="A51" s="7">
        <v>1.0</v>
      </c>
      <c r="B51" s="7">
        <v>2025.0</v>
      </c>
      <c r="C51" s="8">
        <v>45764.0</v>
      </c>
      <c r="D51" s="7" t="s">
        <v>25</v>
      </c>
      <c r="E51" s="7" t="s">
        <v>26</v>
      </c>
      <c r="F51" s="7">
        <v>1.0</v>
      </c>
      <c r="G51" s="7" t="s">
        <v>27</v>
      </c>
      <c r="H51" s="7">
        <v>1.0</v>
      </c>
      <c r="I51" s="7">
        <v>15.0</v>
      </c>
      <c r="J51" s="7">
        <v>7.5</v>
      </c>
      <c r="K51" s="7" t="s">
        <v>29</v>
      </c>
      <c r="L51" s="9" t="str">
        <f>VLOOKUP(K51, 'Alphabetical by species code'!A:B, 2, FALSE)</f>
        <v>Opuntia littoralis</v>
      </c>
    </row>
    <row r="52">
      <c r="A52" s="7">
        <v>1.0</v>
      </c>
      <c r="B52" s="7">
        <v>2025.0</v>
      </c>
      <c r="C52" s="8">
        <v>45764.0</v>
      </c>
      <c r="D52" s="7" t="s">
        <v>25</v>
      </c>
      <c r="E52" s="7" t="s">
        <v>26</v>
      </c>
      <c r="F52" s="7">
        <v>1.0</v>
      </c>
      <c r="G52" s="7" t="s">
        <v>27</v>
      </c>
      <c r="H52" s="7">
        <v>1.0</v>
      </c>
      <c r="I52" s="7">
        <v>15.0</v>
      </c>
      <c r="J52" s="7">
        <v>7.5</v>
      </c>
      <c r="K52" s="7" t="s">
        <v>32</v>
      </c>
      <c r="L52" s="9" t="str">
        <f>VLOOKUP(K52, 'Alphabetical by species code'!A:B, 2, FALSE)</f>
        <v>Medicago polymorpha</v>
      </c>
    </row>
    <row r="53">
      <c r="A53" s="7">
        <v>1.0</v>
      </c>
      <c r="B53" s="7">
        <v>2025.0</v>
      </c>
      <c r="C53" s="8">
        <v>45764.0</v>
      </c>
      <c r="D53" s="7" t="s">
        <v>25</v>
      </c>
      <c r="E53" s="7" t="s">
        <v>26</v>
      </c>
      <c r="F53" s="7">
        <v>1.0</v>
      </c>
      <c r="G53" s="7" t="s">
        <v>27</v>
      </c>
      <c r="H53" s="7">
        <v>2.0</v>
      </c>
      <c r="I53" s="7">
        <v>1.0</v>
      </c>
      <c r="J53" s="7">
        <v>0.0</v>
      </c>
      <c r="K53" s="7" t="s">
        <v>38</v>
      </c>
      <c r="L53" s="9" t="str">
        <f>VLOOKUP(K53, 'Alphabetical by species code'!A:B, 2, FALSE)</f>
        <v>Thatch</v>
      </c>
    </row>
    <row r="54">
      <c r="A54" s="7">
        <v>1.0</v>
      </c>
      <c r="B54" s="7">
        <v>2025.0</v>
      </c>
      <c r="C54" s="8">
        <v>45764.0</v>
      </c>
      <c r="D54" s="7" t="s">
        <v>25</v>
      </c>
      <c r="E54" s="7" t="s">
        <v>26</v>
      </c>
      <c r="F54" s="7">
        <v>1.0</v>
      </c>
      <c r="G54" s="7" t="s">
        <v>27</v>
      </c>
      <c r="H54" s="7">
        <v>2.0</v>
      </c>
      <c r="I54" s="7">
        <v>1.0</v>
      </c>
      <c r="J54" s="7">
        <v>0.0</v>
      </c>
      <c r="K54" s="7" t="s">
        <v>39</v>
      </c>
      <c r="L54" s="9" t="str">
        <f>VLOOKUP(K54, 'Alphabetical by species code'!A:B, 2, FALSE)</f>
        <v>Stephanomeria diegensis</v>
      </c>
    </row>
    <row r="55">
      <c r="A55" s="7">
        <v>1.0</v>
      </c>
      <c r="B55" s="7">
        <v>2025.0</v>
      </c>
      <c r="C55" s="8">
        <v>45764.0</v>
      </c>
      <c r="D55" s="7" t="s">
        <v>25</v>
      </c>
      <c r="E55" s="7" t="s">
        <v>26</v>
      </c>
      <c r="F55" s="7">
        <v>1.0</v>
      </c>
      <c r="G55" s="7" t="s">
        <v>27</v>
      </c>
      <c r="H55" s="7">
        <v>2.0</v>
      </c>
      <c r="I55" s="7">
        <v>1.0</v>
      </c>
      <c r="J55" s="7">
        <v>0.0</v>
      </c>
      <c r="K55" s="7" t="s">
        <v>32</v>
      </c>
      <c r="L55" s="9" t="str">
        <f>VLOOKUP(K55, 'Alphabetical by species code'!A:B, 2, FALSE)</f>
        <v>Medicago polymorpha</v>
      </c>
    </row>
    <row r="56">
      <c r="A56" s="7">
        <v>1.0</v>
      </c>
      <c r="B56" s="7">
        <v>2025.0</v>
      </c>
      <c r="C56" s="8">
        <v>45764.0</v>
      </c>
      <c r="D56" s="7" t="s">
        <v>25</v>
      </c>
      <c r="E56" s="7" t="s">
        <v>26</v>
      </c>
      <c r="F56" s="7">
        <v>1.0</v>
      </c>
      <c r="G56" s="7" t="s">
        <v>27</v>
      </c>
      <c r="H56" s="7">
        <v>2.0</v>
      </c>
      <c r="I56" s="7">
        <v>1.0</v>
      </c>
      <c r="J56" s="7">
        <v>0.0</v>
      </c>
      <c r="K56" s="7" t="s">
        <v>31</v>
      </c>
      <c r="L56" s="9" t="str">
        <f>VLOOKUP(K56, 'Alphabetical by species code'!A:B, 2, FALSE)</f>
        <v>Festuca myuros</v>
      </c>
    </row>
    <row r="57">
      <c r="A57" s="7">
        <v>1.0</v>
      </c>
      <c r="B57" s="7">
        <v>2025.0</v>
      </c>
      <c r="C57" s="8">
        <v>45764.0</v>
      </c>
      <c r="D57" s="7" t="s">
        <v>25</v>
      </c>
      <c r="E57" s="7" t="s">
        <v>26</v>
      </c>
      <c r="F57" s="7">
        <v>1.0</v>
      </c>
      <c r="G57" s="7" t="s">
        <v>27</v>
      </c>
      <c r="H57" s="7">
        <v>2.0</v>
      </c>
      <c r="I57" s="7">
        <v>2.0</v>
      </c>
      <c r="J57" s="7">
        <v>0.5</v>
      </c>
      <c r="K57" s="7" t="s">
        <v>38</v>
      </c>
      <c r="L57" s="9" t="str">
        <f>VLOOKUP(K57, 'Alphabetical by species code'!A:B, 2, FALSE)</f>
        <v>Thatch</v>
      </c>
    </row>
    <row r="58">
      <c r="A58" s="7">
        <v>1.0</v>
      </c>
      <c r="B58" s="7">
        <v>2025.0</v>
      </c>
      <c r="C58" s="8">
        <v>45764.0</v>
      </c>
      <c r="D58" s="7" t="s">
        <v>25</v>
      </c>
      <c r="E58" s="7" t="s">
        <v>26</v>
      </c>
      <c r="F58" s="7">
        <v>1.0</v>
      </c>
      <c r="G58" s="7" t="s">
        <v>27</v>
      </c>
      <c r="H58" s="7">
        <v>2.0</v>
      </c>
      <c r="I58" s="7">
        <v>2.0</v>
      </c>
      <c r="J58" s="7">
        <v>0.5</v>
      </c>
      <c r="K58" s="7" t="s">
        <v>31</v>
      </c>
      <c r="L58" s="9" t="str">
        <f>VLOOKUP(K58, 'Alphabetical by species code'!A:B, 2, FALSE)</f>
        <v>Festuca myuros</v>
      </c>
    </row>
    <row r="59">
      <c r="A59" s="7">
        <v>1.0</v>
      </c>
      <c r="B59" s="7">
        <v>2025.0</v>
      </c>
      <c r="C59" s="8">
        <v>45764.0</v>
      </c>
      <c r="D59" s="7" t="s">
        <v>25</v>
      </c>
      <c r="E59" s="7" t="s">
        <v>26</v>
      </c>
      <c r="F59" s="7">
        <v>1.0</v>
      </c>
      <c r="G59" s="7" t="s">
        <v>27</v>
      </c>
      <c r="H59" s="7">
        <v>2.0</v>
      </c>
      <c r="I59" s="7">
        <v>2.0</v>
      </c>
      <c r="J59" s="7">
        <v>0.5</v>
      </c>
      <c r="K59" s="7" t="s">
        <v>32</v>
      </c>
      <c r="L59" s="9" t="str">
        <f>VLOOKUP(K59, 'Alphabetical by species code'!A:B, 2, FALSE)</f>
        <v>Medicago polymorpha</v>
      </c>
    </row>
    <row r="60">
      <c r="A60" s="7">
        <v>1.0</v>
      </c>
      <c r="B60" s="7">
        <v>2025.0</v>
      </c>
      <c r="C60" s="8">
        <v>45764.0</v>
      </c>
      <c r="D60" s="7" t="s">
        <v>25</v>
      </c>
      <c r="E60" s="7" t="s">
        <v>26</v>
      </c>
      <c r="F60" s="7">
        <v>1.0</v>
      </c>
      <c r="G60" s="7" t="s">
        <v>27</v>
      </c>
      <c r="H60" s="7">
        <v>2.0</v>
      </c>
      <c r="I60" s="7">
        <v>2.0</v>
      </c>
      <c r="J60" s="7">
        <v>0.5</v>
      </c>
      <c r="K60" s="7" t="s">
        <v>42</v>
      </c>
      <c r="L60" s="9" t="str">
        <f>VLOOKUP(K60, 'Alphabetical by species code'!A:B, 2, FALSE)</f>
        <v>Centaurea melitensis</v>
      </c>
    </row>
    <row r="61">
      <c r="A61" s="7">
        <v>1.0</v>
      </c>
      <c r="B61" s="7">
        <v>2025.0</v>
      </c>
      <c r="C61" s="8">
        <v>45764.0</v>
      </c>
      <c r="D61" s="7" t="s">
        <v>25</v>
      </c>
      <c r="E61" s="7" t="s">
        <v>26</v>
      </c>
      <c r="F61" s="7">
        <v>1.0</v>
      </c>
      <c r="G61" s="7" t="s">
        <v>27</v>
      </c>
      <c r="H61" s="7">
        <v>2.0</v>
      </c>
      <c r="I61" s="7">
        <v>3.0</v>
      </c>
      <c r="J61" s="7">
        <v>1.0</v>
      </c>
      <c r="K61" s="7" t="s">
        <v>28</v>
      </c>
      <c r="L61" s="9" t="str">
        <f>VLOOKUP(K61, 'Alphabetical by species code'!A:B, 2, FALSE)</f>
        <v>Litter</v>
      </c>
    </row>
    <row r="62">
      <c r="A62" s="7">
        <v>1.0</v>
      </c>
      <c r="B62" s="7">
        <v>2025.0</v>
      </c>
      <c r="C62" s="8">
        <v>45764.0</v>
      </c>
      <c r="D62" s="7" t="s">
        <v>25</v>
      </c>
      <c r="E62" s="7" t="s">
        <v>26</v>
      </c>
      <c r="F62" s="7">
        <v>1.0</v>
      </c>
      <c r="G62" s="7" t="s">
        <v>27</v>
      </c>
      <c r="H62" s="7">
        <v>2.0</v>
      </c>
      <c r="I62" s="7">
        <v>3.0</v>
      </c>
      <c r="J62" s="7">
        <v>1.0</v>
      </c>
      <c r="K62" s="7" t="s">
        <v>43</v>
      </c>
      <c r="L62" s="9" t="str">
        <f>VLOOKUP(K62, 'Alphabetical by species code'!A:B, 2, FALSE)</f>
        <v>Uropappus lindleyi</v>
      </c>
    </row>
    <row r="63">
      <c r="A63" s="7">
        <v>1.0</v>
      </c>
      <c r="B63" s="7">
        <v>2025.0</v>
      </c>
      <c r="C63" s="8">
        <v>45764.0</v>
      </c>
      <c r="D63" s="7" t="s">
        <v>25</v>
      </c>
      <c r="E63" s="7" t="s">
        <v>26</v>
      </c>
      <c r="F63" s="7">
        <v>1.0</v>
      </c>
      <c r="G63" s="7" t="s">
        <v>27</v>
      </c>
      <c r="H63" s="7">
        <v>2.0</v>
      </c>
      <c r="I63" s="7">
        <v>3.0</v>
      </c>
      <c r="J63" s="7">
        <v>1.0</v>
      </c>
      <c r="K63" s="7" t="s">
        <v>32</v>
      </c>
      <c r="L63" s="9" t="str">
        <f>VLOOKUP(K63, 'Alphabetical by species code'!A:B, 2, FALSE)</f>
        <v>Medicago polymorpha</v>
      </c>
    </row>
    <row r="64">
      <c r="A64" s="7">
        <v>1.0</v>
      </c>
      <c r="B64" s="7">
        <v>2025.0</v>
      </c>
      <c r="C64" s="8">
        <v>45764.0</v>
      </c>
      <c r="D64" s="7" t="s">
        <v>25</v>
      </c>
      <c r="E64" s="7" t="s">
        <v>26</v>
      </c>
      <c r="F64" s="7">
        <v>1.0</v>
      </c>
      <c r="G64" s="7" t="s">
        <v>27</v>
      </c>
      <c r="H64" s="7">
        <v>2.0</v>
      </c>
      <c r="I64" s="7">
        <v>4.0</v>
      </c>
      <c r="J64" s="7">
        <v>1.5</v>
      </c>
      <c r="K64" s="7" t="s">
        <v>28</v>
      </c>
      <c r="L64" s="9" t="str">
        <f>VLOOKUP(K64, 'Alphabetical by species code'!A:B, 2, FALSE)</f>
        <v>Litter</v>
      </c>
    </row>
    <row r="65">
      <c r="A65" s="7">
        <v>1.0</v>
      </c>
      <c r="B65" s="7">
        <v>2025.0</v>
      </c>
      <c r="C65" s="8">
        <v>45764.0</v>
      </c>
      <c r="D65" s="7" t="s">
        <v>25</v>
      </c>
      <c r="E65" s="7" t="s">
        <v>26</v>
      </c>
      <c r="F65" s="7">
        <v>1.0</v>
      </c>
      <c r="G65" s="7" t="s">
        <v>27</v>
      </c>
      <c r="H65" s="7">
        <v>2.0</v>
      </c>
      <c r="I65" s="7">
        <v>4.0</v>
      </c>
      <c r="J65" s="7">
        <v>1.5</v>
      </c>
      <c r="K65" s="7" t="s">
        <v>32</v>
      </c>
      <c r="L65" s="9" t="str">
        <f>VLOOKUP(K65, 'Alphabetical by species code'!A:B, 2, FALSE)</f>
        <v>Medicago polymorpha</v>
      </c>
    </row>
    <row r="66">
      <c r="A66" s="7">
        <v>1.0</v>
      </c>
      <c r="B66" s="7">
        <v>2025.0</v>
      </c>
      <c r="C66" s="8">
        <v>45764.0</v>
      </c>
      <c r="D66" s="7" t="s">
        <v>25</v>
      </c>
      <c r="E66" s="7" t="s">
        <v>26</v>
      </c>
      <c r="F66" s="7">
        <v>1.0</v>
      </c>
      <c r="G66" s="7" t="s">
        <v>27</v>
      </c>
      <c r="H66" s="7">
        <v>2.0</v>
      </c>
      <c r="I66" s="7">
        <v>4.0</v>
      </c>
      <c r="J66" s="7">
        <v>1.5</v>
      </c>
      <c r="K66" s="7" t="s">
        <v>44</v>
      </c>
      <c r="L66" s="9" t="str">
        <f>VLOOKUP(K66, 'Alphabetical by species code'!A:B, 2, FALSE)</f>
        <v>Amsinckia menziesii</v>
      </c>
    </row>
    <row r="67">
      <c r="A67" s="7">
        <v>1.0</v>
      </c>
      <c r="B67" s="7">
        <v>2025.0</v>
      </c>
      <c r="C67" s="8">
        <v>45764.0</v>
      </c>
      <c r="D67" s="7" t="s">
        <v>25</v>
      </c>
      <c r="E67" s="7" t="s">
        <v>26</v>
      </c>
      <c r="F67" s="7">
        <v>1.0</v>
      </c>
      <c r="G67" s="7" t="s">
        <v>27</v>
      </c>
      <c r="H67" s="7">
        <v>2.0</v>
      </c>
      <c r="I67" s="7">
        <v>4.0</v>
      </c>
      <c r="J67" s="7">
        <v>1.5</v>
      </c>
      <c r="K67" s="7" t="s">
        <v>31</v>
      </c>
      <c r="L67" s="9" t="str">
        <f>VLOOKUP(K67, 'Alphabetical by species code'!A:B, 2, FALSE)</f>
        <v>Festuca myuros</v>
      </c>
    </row>
    <row r="68">
      <c r="A68" s="7">
        <v>1.0</v>
      </c>
      <c r="B68" s="7">
        <v>2025.0</v>
      </c>
      <c r="C68" s="8">
        <v>45764.0</v>
      </c>
      <c r="D68" s="7" t="s">
        <v>25</v>
      </c>
      <c r="E68" s="7" t="s">
        <v>26</v>
      </c>
      <c r="F68" s="7">
        <v>1.0</v>
      </c>
      <c r="G68" s="7" t="s">
        <v>27</v>
      </c>
      <c r="H68" s="7">
        <v>2.0</v>
      </c>
      <c r="I68" s="7">
        <v>5.0</v>
      </c>
      <c r="J68" s="7">
        <v>2.5</v>
      </c>
      <c r="K68" s="7" t="s">
        <v>28</v>
      </c>
      <c r="L68" s="9" t="str">
        <f>VLOOKUP(K68, 'Alphabetical by species code'!A:B, 2, FALSE)</f>
        <v>Litter</v>
      </c>
    </row>
    <row r="69">
      <c r="A69" s="7">
        <v>1.0</v>
      </c>
      <c r="B69" s="7">
        <v>2025.0</v>
      </c>
      <c r="C69" s="8">
        <v>45764.0</v>
      </c>
      <c r="D69" s="7" t="s">
        <v>25</v>
      </c>
      <c r="E69" s="7" t="s">
        <v>26</v>
      </c>
      <c r="F69" s="7">
        <v>1.0</v>
      </c>
      <c r="G69" s="7" t="s">
        <v>27</v>
      </c>
      <c r="H69" s="7">
        <v>2.0</v>
      </c>
      <c r="I69" s="7">
        <v>5.0</v>
      </c>
      <c r="J69" s="7">
        <v>2.5</v>
      </c>
      <c r="K69" s="7" t="s">
        <v>31</v>
      </c>
      <c r="L69" s="9" t="str">
        <f>VLOOKUP(K69, 'Alphabetical by species code'!A:B, 2, FALSE)</f>
        <v>Festuca myuros</v>
      </c>
    </row>
    <row r="70">
      <c r="A70" s="7">
        <v>1.0</v>
      </c>
      <c r="B70" s="7">
        <v>2025.0</v>
      </c>
      <c r="C70" s="8">
        <v>45764.0</v>
      </c>
      <c r="D70" s="7" t="s">
        <v>25</v>
      </c>
      <c r="E70" s="7" t="s">
        <v>26</v>
      </c>
      <c r="F70" s="7">
        <v>1.0</v>
      </c>
      <c r="G70" s="7" t="s">
        <v>27</v>
      </c>
      <c r="H70" s="7">
        <v>2.0</v>
      </c>
      <c r="I70" s="7">
        <v>5.0</v>
      </c>
      <c r="J70" s="7">
        <v>2.5</v>
      </c>
      <c r="K70" s="7" t="s">
        <v>32</v>
      </c>
      <c r="L70" s="9" t="str">
        <f>VLOOKUP(K70, 'Alphabetical by species code'!A:B, 2, FALSE)</f>
        <v>Medicago polymorpha</v>
      </c>
    </row>
    <row r="71">
      <c r="A71" s="7">
        <v>1.0</v>
      </c>
      <c r="B71" s="7">
        <v>2025.0</v>
      </c>
      <c r="C71" s="8">
        <v>45764.0</v>
      </c>
      <c r="D71" s="7" t="s">
        <v>25</v>
      </c>
      <c r="E71" s="7" t="s">
        <v>26</v>
      </c>
      <c r="F71" s="7">
        <v>1.0</v>
      </c>
      <c r="G71" s="7" t="s">
        <v>27</v>
      </c>
      <c r="H71" s="7">
        <v>2.0</v>
      </c>
      <c r="I71" s="7">
        <v>6.0</v>
      </c>
      <c r="J71" s="7">
        <v>3.0</v>
      </c>
      <c r="K71" s="7" t="s">
        <v>28</v>
      </c>
      <c r="L71" s="9" t="str">
        <f>VLOOKUP(K71, 'Alphabetical by species code'!A:B, 2, FALSE)</f>
        <v>Litter</v>
      </c>
    </row>
    <row r="72">
      <c r="A72" s="7">
        <v>1.0</v>
      </c>
      <c r="B72" s="7">
        <v>2025.0</v>
      </c>
      <c r="C72" s="8">
        <v>45764.0</v>
      </c>
      <c r="D72" s="7" t="s">
        <v>25</v>
      </c>
      <c r="E72" s="7" t="s">
        <v>26</v>
      </c>
      <c r="F72" s="7">
        <v>1.0</v>
      </c>
      <c r="G72" s="7" t="s">
        <v>27</v>
      </c>
      <c r="H72" s="7">
        <v>2.0</v>
      </c>
      <c r="I72" s="7">
        <v>6.0</v>
      </c>
      <c r="J72" s="7">
        <v>3.0</v>
      </c>
      <c r="K72" s="7" t="s">
        <v>32</v>
      </c>
      <c r="L72" s="9" t="str">
        <f>VLOOKUP(K72, 'Alphabetical by species code'!A:B, 2, FALSE)</f>
        <v>Medicago polymorpha</v>
      </c>
    </row>
    <row r="73">
      <c r="A73" s="7">
        <v>1.0</v>
      </c>
      <c r="B73" s="7">
        <v>2025.0</v>
      </c>
      <c r="C73" s="8">
        <v>45764.0</v>
      </c>
      <c r="D73" s="7" t="s">
        <v>25</v>
      </c>
      <c r="E73" s="7" t="s">
        <v>26</v>
      </c>
      <c r="F73" s="7">
        <v>1.0</v>
      </c>
      <c r="G73" s="7" t="s">
        <v>27</v>
      </c>
      <c r="H73" s="7">
        <v>2.0</v>
      </c>
      <c r="I73" s="7">
        <v>6.0</v>
      </c>
      <c r="J73" s="7">
        <v>3.0</v>
      </c>
      <c r="K73" s="7" t="s">
        <v>30</v>
      </c>
      <c r="L73" s="9" t="str">
        <f>VLOOKUP(K73, 'Alphabetical by species code'!A:B, 2, FALSE)</f>
        <v>Erodium moschatum</v>
      </c>
    </row>
    <row r="74">
      <c r="A74" s="7">
        <v>1.0</v>
      </c>
      <c r="B74" s="7">
        <v>2025.0</v>
      </c>
      <c r="C74" s="8">
        <v>45764.0</v>
      </c>
      <c r="D74" s="7" t="s">
        <v>25</v>
      </c>
      <c r="E74" s="7" t="s">
        <v>26</v>
      </c>
      <c r="F74" s="7">
        <v>1.0</v>
      </c>
      <c r="G74" s="7" t="s">
        <v>27</v>
      </c>
      <c r="H74" s="7">
        <v>2.0</v>
      </c>
      <c r="I74" s="7">
        <v>7.0</v>
      </c>
      <c r="J74" s="7">
        <v>3.5</v>
      </c>
      <c r="K74" s="7" t="s">
        <v>28</v>
      </c>
      <c r="L74" s="9" t="str">
        <f>VLOOKUP(K74, 'Alphabetical by species code'!A:B, 2, FALSE)</f>
        <v>Litter</v>
      </c>
    </row>
    <row r="75">
      <c r="A75" s="7">
        <v>1.0</v>
      </c>
      <c r="B75" s="7">
        <v>2025.0</v>
      </c>
      <c r="C75" s="8">
        <v>45764.0</v>
      </c>
      <c r="D75" s="7" t="s">
        <v>25</v>
      </c>
      <c r="E75" s="7" t="s">
        <v>26</v>
      </c>
      <c r="F75" s="7">
        <v>1.0</v>
      </c>
      <c r="G75" s="7" t="s">
        <v>27</v>
      </c>
      <c r="H75" s="7">
        <v>2.0</v>
      </c>
      <c r="I75" s="7">
        <v>7.0</v>
      </c>
      <c r="J75" s="7">
        <v>3.5</v>
      </c>
      <c r="K75" s="7" t="s">
        <v>32</v>
      </c>
      <c r="L75" s="9" t="str">
        <f>VLOOKUP(K75, 'Alphabetical by species code'!A:B, 2, FALSE)</f>
        <v>Medicago polymorpha</v>
      </c>
    </row>
    <row r="76">
      <c r="A76" s="7">
        <v>1.0</v>
      </c>
      <c r="B76" s="7">
        <v>2025.0</v>
      </c>
      <c r="C76" s="8">
        <v>45764.0</v>
      </c>
      <c r="D76" s="7" t="s">
        <v>25</v>
      </c>
      <c r="E76" s="7" t="s">
        <v>26</v>
      </c>
      <c r="F76" s="7">
        <v>1.0</v>
      </c>
      <c r="G76" s="7" t="s">
        <v>27</v>
      </c>
      <c r="H76" s="7">
        <v>2.0</v>
      </c>
      <c r="I76" s="7">
        <v>7.0</v>
      </c>
      <c r="J76" s="7">
        <v>3.5</v>
      </c>
      <c r="K76" s="7" t="s">
        <v>30</v>
      </c>
      <c r="L76" s="9" t="str">
        <f>VLOOKUP(K76, 'Alphabetical by species code'!A:B, 2, FALSE)</f>
        <v>Erodium moschatum</v>
      </c>
    </row>
    <row r="77">
      <c r="A77" s="7">
        <v>1.0</v>
      </c>
      <c r="B77" s="7">
        <v>2025.0</v>
      </c>
      <c r="C77" s="8">
        <v>45764.0</v>
      </c>
      <c r="D77" s="7" t="s">
        <v>25</v>
      </c>
      <c r="E77" s="7" t="s">
        <v>26</v>
      </c>
      <c r="F77" s="7">
        <v>1.0</v>
      </c>
      <c r="G77" s="7" t="s">
        <v>27</v>
      </c>
      <c r="H77" s="7">
        <v>2.0</v>
      </c>
      <c r="I77" s="7">
        <v>7.0</v>
      </c>
      <c r="J77" s="7">
        <v>3.5</v>
      </c>
      <c r="K77" s="7" t="s">
        <v>35</v>
      </c>
      <c r="L77" s="9" t="str">
        <f>VLOOKUP(K77, 'Alphabetical by species code'!A:B, 2, FALSE)</f>
        <v>Deinandra fasciculata</v>
      </c>
    </row>
    <row r="78">
      <c r="A78" s="7">
        <v>1.0</v>
      </c>
      <c r="B78" s="7">
        <v>2025.0</v>
      </c>
      <c r="C78" s="8">
        <v>45764.0</v>
      </c>
      <c r="D78" s="7" t="s">
        <v>25</v>
      </c>
      <c r="E78" s="7" t="s">
        <v>26</v>
      </c>
      <c r="F78" s="7">
        <v>1.0</v>
      </c>
      <c r="G78" s="7" t="s">
        <v>27</v>
      </c>
      <c r="H78" s="7">
        <v>2.0</v>
      </c>
      <c r="I78" s="7">
        <v>8.0</v>
      </c>
      <c r="J78" s="7">
        <v>4.0</v>
      </c>
      <c r="K78" s="7" t="s">
        <v>28</v>
      </c>
      <c r="L78" s="9" t="str">
        <f>VLOOKUP(K78, 'Alphabetical by species code'!A:B, 2, FALSE)</f>
        <v>Litter</v>
      </c>
    </row>
    <row r="79">
      <c r="A79" s="7">
        <v>1.0</v>
      </c>
      <c r="B79" s="7">
        <v>2025.0</v>
      </c>
      <c r="C79" s="8">
        <v>45764.0</v>
      </c>
      <c r="D79" s="7" t="s">
        <v>25</v>
      </c>
      <c r="E79" s="7" t="s">
        <v>26</v>
      </c>
      <c r="F79" s="7">
        <v>1.0</v>
      </c>
      <c r="G79" s="7" t="s">
        <v>27</v>
      </c>
      <c r="H79" s="7">
        <v>2.0</v>
      </c>
      <c r="I79" s="7">
        <v>8.0</v>
      </c>
      <c r="J79" s="7">
        <v>4.0</v>
      </c>
      <c r="K79" s="7" t="s">
        <v>30</v>
      </c>
      <c r="L79" s="9" t="str">
        <f>VLOOKUP(K79, 'Alphabetical by species code'!A:B, 2, FALSE)</f>
        <v>Erodium moschatum</v>
      </c>
    </row>
    <row r="80">
      <c r="A80" s="7">
        <v>1.0</v>
      </c>
      <c r="B80" s="7">
        <v>2025.0</v>
      </c>
      <c r="C80" s="8">
        <v>45764.0</v>
      </c>
      <c r="D80" s="7" t="s">
        <v>25</v>
      </c>
      <c r="E80" s="7" t="s">
        <v>26</v>
      </c>
      <c r="F80" s="7">
        <v>1.0</v>
      </c>
      <c r="G80" s="7" t="s">
        <v>27</v>
      </c>
      <c r="H80" s="7">
        <v>2.0</v>
      </c>
      <c r="I80" s="7">
        <v>9.0</v>
      </c>
      <c r="J80" s="7">
        <v>4.5</v>
      </c>
      <c r="K80" s="7" t="s">
        <v>28</v>
      </c>
      <c r="L80" s="9" t="str">
        <f>VLOOKUP(K80, 'Alphabetical by species code'!A:B, 2, FALSE)</f>
        <v>Litter</v>
      </c>
    </row>
    <row r="81">
      <c r="A81" s="7">
        <v>1.0</v>
      </c>
      <c r="B81" s="7">
        <v>2025.0</v>
      </c>
      <c r="C81" s="8">
        <v>45764.0</v>
      </c>
      <c r="D81" s="7" t="s">
        <v>25</v>
      </c>
      <c r="E81" s="7" t="s">
        <v>26</v>
      </c>
      <c r="F81" s="7">
        <v>1.0</v>
      </c>
      <c r="G81" s="7" t="s">
        <v>27</v>
      </c>
      <c r="H81" s="7">
        <v>2.0</v>
      </c>
      <c r="I81" s="7">
        <v>9.0</v>
      </c>
      <c r="J81" s="7">
        <v>4.5</v>
      </c>
      <c r="K81" s="7" t="s">
        <v>36</v>
      </c>
      <c r="L81" s="9" t="str">
        <f>VLOOKUP(K81, 'Alphabetical by species code'!A:B, 2, FALSE)</f>
        <v>Bromus madritensis</v>
      </c>
    </row>
    <row r="82">
      <c r="A82" s="7">
        <v>1.0</v>
      </c>
      <c r="B82" s="7">
        <v>2025.0</v>
      </c>
      <c r="C82" s="8">
        <v>45764.0</v>
      </c>
      <c r="D82" s="7" t="s">
        <v>25</v>
      </c>
      <c r="E82" s="7" t="s">
        <v>26</v>
      </c>
      <c r="F82" s="7">
        <v>1.0</v>
      </c>
      <c r="G82" s="7" t="s">
        <v>27</v>
      </c>
      <c r="H82" s="7">
        <v>2.0</v>
      </c>
      <c r="I82" s="7">
        <v>9.0</v>
      </c>
      <c r="J82" s="7">
        <v>4.5</v>
      </c>
      <c r="K82" s="7" t="s">
        <v>30</v>
      </c>
      <c r="L82" s="9" t="str">
        <f>VLOOKUP(K82, 'Alphabetical by species code'!A:B, 2, FALSE)</f>
        <v>Erodium moschatum</v>
      </c>
    </row>
    <row r="83">
      <c r="A83" s="7">
        <v>1.0</v>
      </c>
      <c r="B83" s="7">
        <v>2025.0</v>
      </c>
      <c r="C83" s="8">
        <v>45764.0</v>
      </c>
      <c r="D83" s="7" t="s">
        <v>25</v>
      </c>
      <c r="E83" s="7" t="s">
        <v>26</v>
      </c>
      <c r="F83" s="7">
        <v>1.0</v>
      </c>
      <c r="G83" s="7" t="s">
        <v>27</v>
      </c>
      <c r="H83" s="7">
        <v>2.0</v>
      </c>
      <c r="I83" s="7">
        <v>10.0</v>
      </c>
      <c r="J83" s="7">
        <v>5.0</v>
      </c>
      <c r="K83" s="7" t="s">
        <v>28</v>
      </c>
      <c r="L83" s="9" t="str">
        <f>VLOOKUP(K83, 'Alphabetical by species code'!A:B, 2, FALSE)</f>
        <v>Litter</v>
      </c>
    </row>
    <row r="84">
      <c r="A84" s="7">
        <v>1.0</v>
      </c>
      <c r="B84" s="7">
        <v>2025.0</v>
      </c>
      <c r="C84" s="8">
        <v>45764.0</v>
      </c>
      <c r="D84" s="7" t="s">
        <v>25</v>
      </c>
      <c r="E84" s="7" t="s">
        <v>26</v>
      </c>
      <c r="F84" s="7">
        <v>1.0</v>
      </c>
      <c r="G84" s="7" t="s">
        <v>27</v>
      </c>
      <c r="H84" s="7">
        <v>2.0</v>
      </c>
      <c r="I84" s="7">
        <v>10.0</v>
      </c>
      <c r="J84" s="7">
        <v>5.0</v>
      </c>
      <c r="K84" s="7" t="s">
        <v>37</v>
      </c>
      <c r="L84" s="9" t="str">
        <f>VLOOKUP(K84, 'Alphabetical by species code'!A:B, 2, FALSE)</f>
        <v>Sonchus oleraceus</v>
      </c>
    </row>
    <row r="85">
      <c r="A85" s="7">
        <v>1.0</v>
      </c>
      <c r="B85" s="7">
        <v>2025.0</v>
      </c>
      <c r="C85" s="8">
        <v>45764.0</v>
      </c>
      <c r="D85" s="7" t="s">
        <v>25</v>
      </c>
      <c r="E85" s="7" t="s">
        <v>26</v>
      </c>
      <c r="F85" s="7">
        <v>1.0</v>
      </c>
      <c r="G85" s="7" t="s">
        <v>27</v>
      </c>
      <c r="H85" s="7">
        <v>2.0</v>
      </c>
      <c r="I85" s="7">
        <v>10.0</v>
      </c>
      <c r="J85" s="7">
        <v>5.0</v>
      </c>
      <c r="K85" s="7" t="s">
        <v>30</v>
      </c>
      <c r="L85" s="9" t="str">
        <f>VLOOKUP(K85, 'Alphabetical by species code'!A:B, 2, FALSE)</f>
        <v>Erodium moschatum</v>
      </c>
    </row>
    <row r="86">
      <c r="A86" s="7">
        <v>1.0</v>
      </c>
      <c r="B86" s="7">
        <v>2025.0</v>
      </c>
      <c r="C86" s="8">
        <v>45764.0</v>
      </c>
      <c r="D86" s="7" t="s">
        <v>25</v>
      </c>
      <c r="E86" s="7" t="s">
        <v>26</v>
      </c>
      <c r="F86" s="7">
        <v>1.0</v>
      </c>
      <c r="G86" s="7" t="s">
        <v>27</v>
      </c>
      <c r="H86" s="7">
        <v>2.0</v>
      </c>
      <c r="I86" s="7">
        <v>10.0</v>
      </c>
      <c r="J86" s="7">
        <v>5.0</v>
      </c>
      <c r="K86" s="7" t="s">
        <v>36</v>
      </c>
      <c r="L86" s="9" t="str">
        <f>VLOOKUP(K86, 'Alphabetical by species code'!A:B, 2, FALSE)</f>
        <v>Bromus madritensis</v>
      </c>
    </row>
    <row r="87">
      <c r="A87" s="7">
        <v>1.0</v>
      </c>
      <c r="B87" s="7">
        <v>2025.0</v>
      </c>
      <c r="C87" s="8">
        <v>45764.0</v>
      </c>
      <c r="D87" s="7" t="s">
        <v>25</v>
      </c>
      <c r="E87" s="7" t="s">
        <v>26</v>
      </c>
      <c r="F87" s="7">
        <v>1.0</v>
      </c>
      <c r="G87" s="7" t="s">
        <v>27</v>
      </c>
      <c r="H87" s="7">
        <v>2.0</v>
      </c>
      <c r="I87" s="7">
        <v>11.0</v>
      </c>
      <c r="J87" s="7">
        <v>5.5</v>
      </c>
      <c r="K87" s="7" t="s">
        <v>28</v>
      </c>
      <c r="L87" s="9" t="str">
        <f>VLOOKUP(K87, 'Alphabetical by species code'!A:B, 2, FALSE)</f>
        <v>Litter</v>
      </c>
    </row>
    <row r="88">
      <c r="A88" s="7">
        <v>1.0</v>
      </c>
      <c r="B88" s="7">
        <v>2025.0</v>
      </c>
      <c r="C88" s="8">
        <v>45764.0</v>
      </c>
      <c r="D88" s="7" t="s">
        <v>25</v>
      </c>
      <c r="E88" s="7" t="s">
        <v>26</v>
      </c>
      <c r="F88" s="7">
        <v>1.0</v>
      </c>
      <c r="G88" s="7" t="s">
        <v>27</v>
      </c>
      <c r="H88" s="7">
        <v>2.0</v>
      </c>
      <c r="I88" s="7">
        <v>11.0</v>
      </c>
      <c r="J88" s="7">
        <v>5.5</v>
      </c>
      <c r="K88" s="7" t="s">
        <v>29</v>
      </c>
      <c r="L88" s="9" t="str">
        <f>VLOOKUP(K88, 'Alphabetical by species code'!A:B, 2, FALSE)</f>
        <v>Opuntia littoralis</v>
      </c>
    </row>
    <row r="89">
      <c r="A89" s="7">
        <v>1.0</v>
      </c>
      <c r="B89" s="7">
        <v>2025.0</v>
      </c>
      <c r="C89" s="8">
        <v>45764.0</v>
      </c>
      <c r="D89" s="7" t="s">
        <v>25</v>
      </c>
      <c r="E89" s="7" t="s">
        <v>26</v>
      </c>
      <c r="F89" s="7">
        <v>1.0</v>
      </c>
      <c r="G89" s="7" t="s">
        <v>27</v>
      </c>
      <c r="H89" s="7">
        <v>2.0</v>
      </c>
      <c r="I89" s="7">
        <v>11.0</v>
      </c>
      <c r="J89" s="7">
        <v>5.5</v>
      </c>
      <c r="K89" s="7" t="s">
        <v>37</v>
      </c>
      <c r="L89" s="9" t="str">
        <f>VLOOKUP(K89, 'Alphabetical by species code'!A:B, 2, FALSE)</f>
        <v>Sonchus oleraceus</v>
      </c>
    </row>
    <row r="90">
      <c r="A90" s="7">
        <v>1.0</v>
      </c>
      <c r="B90" s="7">
        <v>2025.0</v>
      </c>
      <c r="C90" s="8">
        <v>45764.0</v>
      </c>
      <c r="D90" s="7" t="s">
        <v>25</v>
      </c>
      <c r="E90" s="7" t="s">
        <v>26</v>
      </c>
      <c r="F90" s="7">
        <v>1.0</v>
      </c>
      <c r="G90" s="7" t="s">
        <v>27</v>
      </c>
      <c r="H90" s="7">
        <v>2.0</v>
      </c>
      <c r="I90" s="7">
        <v>12.0</v>
      </c>
      <c r="J90" s="7">
        <v>6.0</v>
      </c>
      <c r="K90" s="7" t="s">
        <v>28</v>
      </c>
      <c r="L90" s="9" t="str">
        <f>VLOOKUP(K90, 'Alphabetical by species code'!A:B, 2, FALSE)</f>
        <v>Litter</v>
      </c>
    </row>
    <row r="91">
      <c r="A91" s="7">
        <v>1.0</v>
      </c>
      <c r="B91" s="7">
        <v>2025.0</v>
      </c>
      <c r="C91" s="8">
        <v>45764.0</v>
      </c>
      <c r="D91" s="7" t="s">
        <v>25</v>
      </c>
      <c r="E91" s="7" t="s">
        <v>26</v>
      </c>
      <c r="F91" s="7">
        <v>1.0</v>
      </c>
      <c r="G91" s="7" t="s">
        <v>27</v>
      </c>
      <c r="H91" s="7">
        <v>2.0</v>
      </c>
      <c r="I91" s="7">
        <v>12.0</v>
      </c>
      <c r="J91" s="7">
        <v>6.0</v>
      </c>
      <c r="K91" s="7" t="s">
        <v>36</v>
      </c>
      <c r="L91" s="9" t="str">
        <f>VLOOKUP(K91, 'Alphabetical by species code'!A:B, 2, FALSE)</f>
        <v>Bromus madritensis</v>
      </c>
    </row>
    <row r="92">
      <c r="A92" s="7">
        <v>1.0</v>
      </c>
      <c r="B92" s="7">
        <v>2025.0</v>
      </c>
      <c r="C92" s="8">
        <v>45764.0</v>
      </c>
      <c r="D92" s="7" t="s">
        <v>25</v>
      </c>
      <c r="E92" s="7" t="s">
        <v>26</v>
      </c>
      <c r="F92" s="7">
        <v>1.0</v>
      </c>
      <c r="G92" s="7" t="s">
        <v>27</v>
      </c>
      <c r="H92" s="7">
        <v>2.0</v>
      </c>
      <c r="I92" s="7">
        <v>12.0</v>
      </c>
      <c r="J92" s="7">
        <v>6.0</v>
      </c>
      <c r="K92" s="7" t="s">
        <v>37</v>
      </c>
      <c r="L92" s="9" t="str">
        <f>VLOOKUP(K92, 'Alphabetical by species code'!A:B, 2, FALSE)</f>
        <v>Sonchus oleraceus</v>
      </c>
    </row>
    <row r="93">
      <c r="A93" s="7">
        <v>1.0</v>
      </c>
      <c r="B93" s="7">
        <v>2025.0</v>
      </c>
      <c r="C93" s="8">
        <v>45764.0</v>
      </c>
      <c r="D93" s="7" t="s">
        <v>25</v>
      </c>
      <c r="E93" s="7" t="s">
        <v>26</v>
      </c>
      <c r="F93" s="7">
        <v>1.0</v>
      </c>
      <c r="G93" s="7" t="s">
        <v>27</v>
      </c>
      <c r="H93" s="7">
        <v>2.0</v>
      </c>
      <c r="I93" s="7">
        <v>12.0</v>
      </c>
      <c r="J93" s="7">
        <v>6.0</v>
      </c>
      <c r="K93" s="7" t="s">
        <v>32</v>
      </c>
      <c r="L93" s="9" t="str">
        <f>VLOOKUP(K93, 'Alphabetical by species code'!A:B, 2, FALSE)</f>
        <v>Medicago polymorpha</v>
      </c>
    </row>
    <row r="94">
      <c r="A94" s="7">
        <v>1.0</v>
      </c>
      <c r="B94" s="7">
        <v>2025.0</v>
      </c>
      <c r="C94" s="8">
        <v>45764.0</v>
      </c>
      <c r="D94" s="7" t="s">
        <v>25</v>
      </c>
      <c r="E94" s="7" t="s">
        <v>26</v>
      </c>
      <c r="F94" s="7">
        <v>1.0</v>
      </c>
      <c r="G94" s="7" t="s">
        <v>27</v>
      </c>
      <c r="H94" s="7">
        <v>2.0</v>
      </c>
      <c r="I94" s="7">
        <v>13.0</v>
      </c>
      <c r="J94" s="7">
        <v>6.5</v>
      </c>
      <c r="K94" s="7" t="s">
        <v>28</v>
      </c>
      <c r="L94" s="9" t="str">
        <f>VLOOKUP(K94, 'Alphabetical by species code'!A:B, 2, FALSE)</f>
        <v>Litter</v>
      </c>
    </row>
    <row r="95">
      <c r="A95" s="7">
        <v>1.0</v>
      </c>
      <c r="B95" s="7">
        <v>2025.0</v>
      </c>
      <c r="C95" s="8">
        <v>45764.0</v>
      </c>
      <c r="D95" s="7" t="s">
        <v>25</v>
      </c>
      <c r="E95" s="7" t="s">
        <v>26</v>
      </c>
      <c r="F95" s="7">
        <v>1.0</v>
      </c>
      <c r="G95" s="7" t="s">
        <v>27</v>
      </c>
      <c r="H95" s="7">
        <v>2.0</v>
      </c>
      <c r="I95" s="7">
        <v>13.0</v>
      </c>
      <c r="J95" s="7">
        <v>6.5</v>
      </c>
      <c r="K95" s="7" t="s">
        <v>36</v>
      </c>
      <c r="L95" s="9" t="str">
        <f>VLOOKUP(K95, 'Alphabetical by species code'!A:B, 2, FALSE)</f>
        <v>Bromus madritensis</v>
      </c>
    </row>
    <row r="96">
      <c r="A96" s="7">
        <v>1.0</v>
      </c>
      <c r="B96" s="7">
        <v>2025.0</v>
      </c>
      <c r="C96" s="8">
        <v>45764.0</v>
      </c>
      <c r="D96" s="7" t="s">
        <v>25</v>
      </c>
      <c r="E96" s="7" t="s">
        <v>26</v>
      </c>
      <c r="F96" s="7">
        <v>1.0</v>
      </c>
      <c r="G96" s="7" t="s">
        <v>27</v>
      </c>
      <c r="H96" s="7">
        <v>2.0</v>
      </c>
      <c r="I96" s="7">
        <v>13.0</v>
      </c>
      <c r="J96" s="7">
        <v>6.5</v>
      </c>
      <c r="K96" s="7" t="s">
        <v>35</v>
      </c>
      <c r="L96" s="9" t="str">
        <f>VLOOKUP(K96, 'Alphabetical by species code'!A:B, 2, FALSE)</f>
        <v>Deinandra fasciculata</v>
      </c>
    </row>
    <row r="97">
      <c r="A97" s="7">
        <v>1.0</v>
      </c>
      <c r="B97" s="7">
        <v>2025.0</v>
      </c>
      <c r="C97" s="8">
        <v>45764.0</v>
      </c>
      <c r="D97" s="7" t="s">
        <v>25</v>
      </c>
      <c r="E97" s="7" t="s">
        <v>26</v>
      </c>
      <c r="F97" s="7">
        <v>1.0</v>
      </c>
      <c r="G97" s="7" t="s">
        <v>27</v>
      </c>
      <c r="H97" s="7">
        <v>2.0</v>
      </c>
      <c r="I97" s="7">
        <v>14.0</v>
      </c>
      <c r="J97" s="7">
        <v>7.0</v>
      </c>
      <c r="K97" s="7" t="s">
        <v>28</v>
      </c>
      <c r="L97" s="9" t="str">
        <f>VLOOKUP(K97, 'Alphabetical by species code'!A:B, 2, FALSE)</f>
        <v>Litter</v>
      </c>
    </row>
    <row r="98">
      <c r="A98" s="7">
        <v>1.0</v>
      </c>
      <c r="B98" s="7">
        <v>2025.0</v>
      </c>
      <c r="C98" s="8">
        <v>45764.0</v>
      </c>
      <c r="D98" s="7" t="s">
        <v>25</v>
      </c>
      <c r="E98" s="7" t="s">
        <v>26</v>
      </c>
      <c r="F98" s="7">
        <v>1.0</v>
      </c>
      <c r="G98" s="7" t="s">
        <v>27</v>
      </c>
      <c r="H98" s="7">
        <v>2.0</v>
      </c>
      <c r="I98" s="7">
        <v>14.0</v>
      </c>
      <c r="J98" s="7">
        <v>7.0</v>
      </c>
      <c r="K98" s="7" t="s">
        <v>36</v>
      </c>
      <c r="L98" s="9" t="str">
        <f>VLOOKUP(K98, 'Alphabetical by species code'!A:B, 2, FALSE)</f>
        <v>Bromus madritensis</v>
      </c>
    </row>
    <row r="99">
      <c r="A99" s="7">
        <v>1.0</v>
      </c>
      <c r="B99" s="7">
        <v>2025.0</v>
      </c>
      <c r="C99" s="8">
        <v>45764.0</v>
      </c>
      <c r="D99" s="7" t="s">
        <v>25</v>
      </c>
      <c r="E99" s="7" t="s">
        <v>26</v>
      </c>
      <c r="F99" s="7">
        <v>1.0</v>
      </c>
      <c r="G99" s="7" t="s">
        <v>27</v>
      </c>
      <c r="H99" s="7">
        <v>2.0</v>
      </c>
      <c r="I99" s="7">
        <v>14.0</v>
      </c>
      <c r="J99" s="7">
        <v>7.0</v>
      </c>
      <c r="K99" s="7" t="s">
        <v>37</v>
      </c>
      <c r="L99" s="9" t="str">
        <f>VLOOKUP(K99, 'Alphabetical by species code'!A:B, 2, FALSE)</f>
        <v>Sonchus oleraceus</v>
      </c>
    </row>
    <row r="100">
      <c r="A100" s="7">
        <v>1.0</v>
      </c>
      <c r="B100" s="7">
        <v>2025.0</v>
      </c>
      <c r="C100" s="8">
        <v>45764.0</v>
      </c>
      <c r="D100" s="7" t="s">
        <v>25</v>
      </c>
      <c r="E100" s="7" t="s">
        <v>26</v>
      </c>
      <c r="F100" s="7">
        <v>1.0</v>
      </c>
      <c r="G100" s="7" t="s">
        <v>27</v>
      </c>
      <c r="H100" s="7">
        <v>2.0</v>
      </c>
      <c r="I100" s="7">
        <v>14.0</v>
      </c>
      <c r="J100" s="7">
        <v>7.0</v>
      </c>
      <c r="K100" s="7" t="s">
        <v>32</v>
      </c>
      <c r="L100" s="9" t="str">
        <f>VLOOKUP(K100, 'Alphabetical by species code'!A:B, 2, FALSE)</f>
        <v>Medicago polymorpha</v>
      </c>
    </row>
    <row r="101">
      <c r="A101" s="7">
        <v>1.0</v>
      </c>
      <c r="B101" s="7">
        <v>2025.0</v>
      </c>
      <c r="C101" s="8">
        <v>45764.0</v>
      </c>
      <c r="D101" s="7" t="s">
        <v>25</v>
      </c>
      <c r="E101" s="7" t="s">
        <v>26</v>
      </c>
      <c r="F101" s="7">
        <v>1.0</v>
      </c>
      <c r="G101" s="7" t="s">
        <v>27</v>
      </c>
      <c r="H101" s="7">
        <v>2.0</v>
      </c>
      <c r="I101" s="7">
        <v>15.0</v>
      </c>
      <c r="J101" s="7">
        <v>7.5</v>
      </c>
      <c r="K101" s="7" t="s">
        <v>28</v>
      </c>
      <c r="L101" s="9" t="str">
        <f>VLOOKUP(K101, 'Alphabetical by species code'!A:B, 2, FALSE)</f>
        <v>Litter</v>
      </c>
    </row>
    <row r="102">
      <c r="A102" s="7">
        <v>1.0</v>
      </c>
      <c r="B102" s="7">
        <v>2025.0</v>
      </c>
      <c r="C102" s="8">
        <v>45764.0</v>
      </c>
      <c r="D102" s="7" t="s">
        <v>25</v>
      </c>
      <c r="E102" s="7" t="s">
        <v>26</v>
      </c>
      <c r="F102" s="7">
        <v>1.0</v>
      </c>
      <c r="G102" s="7" t="s">
        <v>27</v>
      </c>
      <c r="H102" s="7">
        <v>2.0</v>
      </c>
      <c r="I102" s="7">
        <v>15.0</v>
      </c>
      <c r="J102" s="7">
        <v>7.5</v>
      </c>
      <c r="K102" s="7" t="s">
        <v>32</v>
      </c>
      <c r="L102" s="9" t="str">
        <f>VLOOKUP(K102, 'Alphabetical by species code'!A:B, 2, FALSE)</f>
        <v>Medicago polymorpha</v>
      </c>
    </row>
    <row r="103">
      <c r="A103" s="7">
        <v>1.0</v>
      </c>
      <c r="B103" s="7">
        <v>2025.0</v>
      </c>
      <c r="C103" s="8">
        <v>45764.0</v>
      </c>
      <c r="D103" s="7" t="s">
        <v>25</v>
      </c>
      <c r="E103" s="7" t="s">
        <v>26</v>
      </c>
      <c r="F103" s="7">
        <v>1.0</v>
      </c>
      <c r="G103" s="7" t="s">
        <v>27</v>
      </c>
      <c r="H103" s="7">
        <v>2.0</v>
      </c>
      <c r="I103" s="7">
        <v>15.0</v>
      </c>
      <c r="J103" s="7">
        <v>7.5</v>
      </c>
      <c r="K103" s="7" t="s">
        <v>35</v>
      </c>
      <c r="L103" s="9" t="str">
        <f>VLOOKUP(K103, 'Alphabetical by species code'!A:B, 2, FALSE)</f>
        <v>Deinandra fasciculata</v>
      </c>
    </row>
    <row r="104">
      <c r="A104" s="7">
        <v>1.0</v>
      </c>
      <c r="B104" s="7">
        <v>2025.0</v>
      </c>
      <c r="C104" s="8">
        <v>45764.0</v>
      </c>
      <c r="D104" s="7" t="s">
        <v>25</v>
      </c>
      <c r="E104" s="7" t="s">
        <v>26</v>
      </c>
      <c r="F104" s="7">
        <v>1.0</v>
      </c>
      <c r="G104" s="7" t="s">
        <v>27</v>
      </c>
      <c r="H104" s="7">
        <v>2.0</v>
      </c>
      <c r="I104" s="7">
        <v>15.0</v>
      </c>
      <c r="J104" s="7">
        <v>7.5</v>
      </c>
      <c r="K104" s="7" t="s">
        <v>30</v>
      </c>
      <c r="L104" s="9" t="str">
        <f>VLOOKUP(K104, 'Alphabetical by species code'!A:B, 2, FALSE)</f>
        <v>Erodium moschatum</v>
      </c>
    </row>
    <row r="105">
      <c r="A105" s="7">
        <v>2.0</v>
      </c>
      <c r="B105" s="7">
        <v>2025.0</v>
      </c>
      <c r="C105" s="8">
        <v>45755.0</v>
      </c>
      <c r="D105" s="7" t="s">
        <v>45</v>
      </c>
      <c r="E105" s="7" t="s">
        <v>26</v>
      </c>
      <c r="F105" s="7">
        <v>1.0</v>
      </c>
      <c r="G105" s="7" t="s">
        <v>46</v>
      </c>
      <c r="H105" s="7">
        <v>1.0</v>
      </c>
      <c r="I105" s="7">
        <v>1.0</v>
      </c>
      <c r="J105" s="7">
        <v>0.0</v>
      </c>
      <c r="K105" s="7" t="s">
        <v>28</v>
      </c>
      <c r="L105" s="9" t="str">
        <f>VLOOKUP(K105, 'Alphabetical by species code'!A:B, 2, FALSE)</f>
        <v>Litter</v>
      </c>
    </row>
    <row r="106">
      <c r="A106" s="7">
        <v>2.0</v>
      </c>
      <c r="B106" s="7">
        <v>2025.0</v>
      </c>
      <c r="C106" s="8">
        <v>45755.0</v>
      </c>
      <c r="D106" s="7" t="s">
        <v>45</v>
      </c>
      <c r="E106" s="7" t="s">
        <v>26</v>
      </c>
      <c r="F106" s="7">
        <v>1.0</v>
      </c>
      <c r="G106" s="7" t="s">
        <v>46</v>
      </c>
      <c r="H106" s="7">
        <v>1.0</v>
      </c>
      <c r="I106" s="7">
        <v>1.0</v>
      </c>
      <c r="J106" s="7">
        <v>0.0</v>
      </c>
      <c r="K106" s="7" t="s">
        <v>42</v>
      </c>
      <c r="L106" s="9" t="str">
        <f>VLOOKUP(K106, 'Alphabetical by species code'!A:B, 2, FALSE)</f>
        <v>Centaurea melitensis</v>
      </c>
    </row>
    <row r="107">
      <c r="A107" s="7">
        <v>2.0</v>
      </c>
      <c r="B107" s="7">
        <v>2025.0</v>
      </c>
      <c r="C107" s="8">
        <v>45755.0</v>
      </c>
      <c r="D107" s="7" t="s">
        <v>45</v>
      </c>
      <c r="E107" s="7" t="s">
        <v>26</v>
      </c>
      <c r="F107" s="7">
        <v>1.0</v>
      </c>
      <c r="G107" s="7" t="s">
        <v>46</v>
      </c>
      <c r="H107" s="7">
        <v>1.0</v>
      </c>
      <c r="I107" s="7">
        <v>1.0</v>
      </c>
      <c r="J107" s="7">
        <v>0.0</v>
      </c>
      <c r="K107" s="7" t="s">
        <v>35</v>
      </c>
      <c r="L107" s="9" t="str">
        <f>VLOOKUP(K107, 'Alphabetical by species code'!A:B, 2, FALSE)</f>
        <v>Deinandra fasciculata</v>
      </c>
    </row>
    <row r="108">
      <c r="A108" s="7">
        <v>2.0</v>
      </c>
      <c r="B108" s="7">
        <v>2025.0</v>
      </c>
      <c r="C108" s="8">
        <v>45755.0</v>
      </c>
      <c r="D108" s="7" t="s">
        <v>45</v>
      </c>
      <c r="E108" s="7" t="s">
        <v>26</v>
      </c>
      <c r="F108" s="7">
        <v>1.0</v>
      </c>
      <c r="G108" s="7" t="s">
        <v>46</v>
      </c>
      <c r="H108" s="7">
        <v>1.0</v>
      </c>
      <c r="I108" s="7">
        <v>2.0</v>
      </c>
      <c r="J108" s="7">
        <v>0.5</v>
      </c>
      <c r="K108" s="7" t="s">
        <v>28</v>
      </c>
      <c r="L108" s="9" t="str">
        <f>VLOOKUP(K108, 'Alphabetical by species code'!A:B, 2, FALSE)</f>
        <v>Litter</v>
      </c>
    </row>
    <row r="109">
      <c r="A109" s="7">
        <v>2.0</v>
      </c>
      <c r="B109" s="7">
        <v>2025.0</v>
      </c>
      <c r="C109" s="8">
        <v>45755.0</v>
      </c>
      <c r="D109" s="7" t="s">
        <v>45</v>
      </c>
      <c r="E109" s="7" t="s">
        <v>26</v>
      </c>
      <c r="F109" s="7">
        <v>1.0</v>
      </c>
      <c r="G109" s="7" t="s">
        <v>46</v>
      </c>
      <c r="H109" s="7">
        <v>1.0</v>
      </c>
      <c r="I109" s="7">
        <v>3.0</v>
      </c>
      <c r="J109" s="7">
        <v>1.0</v>
      </c>
      <c r="K109" s="7" t="s">
        <v>28</v>
      </c>
      <c r="L109" s="9" t="str">
        <f>VLOOKUP(K109, 'Alphabetical by species code'!A:B, 2, FALSE)</f>
        <v>Litter</v>
      </c>
    </row>
    <row r="110">
      <c r="A110" s="7">
        <v>2.0</v>
      </c>
      <c r="B110" s="7">
        <v>2025.0</v>
      </c>
      <c r="C110" s="8">
        <v>45755.0</v>
      </c>
      <c r="D110" s="7" t="s">
        <v>45</v>
      </c>
      <c r="E110" s="7" t="s">
        <v>26</v>
      </c>
      <c r="F110" s="7">
        <v>1.0</v>
      </c>
      <c r="G110" s="7" t="s">
        <v>46</v>
      </c>
      <c r="H110" s="7">
        <v>1.0</v>
      </c>
      <c r="I110" s="7">
        <v>3.0</v>
      </c>
      <c r="J110" s="7">
        <v>1.0</v>
      </c>
      <c r="K110" s="7" t="s">
        <v>29</v>
      </c>
      <c r="L110" s="9" t="str">
        <f>VLOOKUP(K110, 'Alphabetical by species code'!A:B, 2, FALSE)</f>
        <v>Opuntia littoralis</v>
      </c>
    </row>
    <row r="111">
      <c r="A111" s="7">
        <v>2.0</v>
      </c>
      <c r="B111" s="7">
        <v>2025.0</v>
      </c>
      <c r="C111" s="8">
        <v>45755.0</v>
      </c>
      <c r="D111" s="7" t="s">
        <v>45</v>
      </c>
      <c r="E111" s="7" t="s">
        <v>26</v>
      </c>
      <c r="F111" s="7">
        <v>1.0</v>
      </c>
      <c r="G111" s="7" t="s">
        <v>46</v>
      </c>
      <c r="H111" s="7">
        <v>1.0</v>
      </c>
      <c r="I111" s="7">
        <v>3.0</v>
      </c>
      <c r="J111" s="7">
        <v>1.0</v>
      </c>
      <c r="K111" s="7" t="s">
        <v>31</v>
      </c>
      <c r="L111" s="9" t="str">
        <f>VLOOKUP(K111, 'Alphabetical by species code'!A:B, 2, FALSE)</f>
        <v>Festuca myuros</v>
      </c>
    </row>
    <row r="112">
      <c r="A112" s="7">
        <v>2.0</v>
      </c>
      <c r="B112" s="7">
        <v>2025.0</v>
      </c>
      <c r="C112" s="8">
        <v>45755.0</v>
      </c>
      <c r="D112" s="7" t="s">
        <v>45</v>
      </c>
      <c r="E112" s="7" t="s">
        <v>26</v>
      </c>
      <c r="F112" s="7">
        <v>1.0</v>
      </c>
      <c r="G112" s="7" t="s">
        <v>46</v>
      </c>
      <c r="H112" s="7">
        <v>1.0</v>
      </c>
      <c r="I112" s="7">
        <v>4.0</v>
      </c>
      <c r="J112" s="7">
        <v>1.5</v>
      </c>
      <c r="K112" s="7" t="s">
        <v>28</v>
      </c>
      <c r="L112" s="9" t="str">
        <f>VLOOKUP(K112, 'Alphabetical by species code'!A:B, 2, FALSE)</f>
        <v>Litter</v>
      </c>
    </row>
    <row r="113">
      <c r="A113" s="7">
        <v>2.0</v>
      </c>
      <c r="B113" s="7">
        <v>2025.0</v>
      </c>
      <c r="C113" s="8">
        <v>45755.0</v>
      </c>
      <c r="D113" s="7" t="s">
        <v>45</v>
      </c>
      <c r="E113" s="7" t="s">
        <v>26</v>
      </c>
      <c r="F113" s="7">
        <v>1.0</v>
      </c>
      <c r="G113" s="7" t="s">
        <v>46</v>
      </c>
      <c r="H113" s="7">
        <v>1.0</v>
      </c>
      <c r="I113" s="7">
        <v>4.0</v>
      </c>
      <c r="J113" s="7">
        <v>1.5</v>
      </c>
      <c r="K113" s="7" t="s">
        <v>35</v>
      </c>
      <c r="L113" s="9" t="str">
        <f>VLOOKUP(K113, 'Alphabetical by species code'!A:B, 2, FALSE)</f>
        <v>Deinandra fasciculata</v>
      </c>
    </row>
    <row r="114">
      <c r="A114" s="7">
        <v>2.0</v>
      </c>
      <c r="B114" s="7">
        <v>2025.0</v>
      </c>
      <c r="C114" s="8">
        <v>45755.0</v>
      </c>
      <c r="D114" s="7" t="s">
        <v>45</v>
      </c>
      <c r="E114" s="7" t="s">
        <v>26</v>
      </c>
      <c r="F114" s="7">
        <v>1.0</v>
      </c>
      <c r="G114" s="7" t="s">
        <v>46</v>
      </c>
      <c r="H114" s="7">
        <v>1.0</v>
      </c>
      <c r="I114" s="7">
        <v>4.0</v>
      </c>
      <c r="J114" s="7">
        <v>1.5</v>
      </c>
      <c r="K114" s="7" t="s">
        <v>31</v>
      </c>
      <c r="L114" s="9" t="str">
        <f>VLOOKUP(K114, 'Alphabetical by species code'!A:B, 2, FALSE)</f>
        <v>Festuca myuros</v>
      </c>
    </row>
    <row r="115">
      <c r="A115" s="7">
        <v>2.0</v>
      </c>
      <c r="B115" s="7">
        <v>2025.0</v>
      </c>
      <c r="C115" s="8">
        <v>45755.0</v>
      </c>
      <c r="D115" s="7" t="s">
        <v>45</v>
      </c>
      <c r="E115" s="7" t="s">
        <v>26</v>
      </c>
      <c r="F115" s="7">
        <v>1.0</v>
      </c>
      <c r="G115" s="7" t="s">
        <v>46</v>
      </c>
      <c r="H115" s="7">
        <v>1.0</v>
      </c>
      <c r="I115" s="7">
        <v>5.0</v>
      </c>
      <c r="J115" s="7">
        <v>2.0</v>
      </c>
      <c r="K115" s="7" t="s">
        <v>28</v>
      </c>
      <c r="L115" s="9" t="str">
        <f>VLOOKUP(K115, 'Alphabetical by species code'!A:B, 2, FALSE)</f>
        <v>Litter</v>
      </c>
    </row>
    <row r="116">
      <c r="A116" s="7">
        <v>2.0</v>
      </c>
      <c r="B116" s="7">
        <v>2025.0</v>
      </c>
      <c r="C116" s="8">
        <v>45755.0</v>
      </c>
      <c r="D116" s="7" t="s">
        <v>45</v>
      </c>
      <c r="E116" s="7" t="s">
        <v>26</v>
      </c>
      <c r="F116" s="7">
        <v>1.0</v>
      </c>
      <c r="G116" s="7" t="s">
        <v>46</v>
      </c>
      <c r="H116" s="7">
        <v>1.0</v>
      </c>
      <c r="I116" s="7">
        <v>5.0</v>
      </c>
      <c r="J116" s="7">
        <v>2.0</v>
      </c>
      <c r="K116" s="7" t="s">
        <v>42</v>
      </c>
      <c r="L116" s="9" t="str">
        <f>VLOOKUP(K116, 'Alphabetical by species code'!A:B, 2, FALSE)</f>
        <v>Centaurea melitensis</v>
      </c>
    </row>
    <row r="117">
      <c r="A117" s="7">
        <v>2.0</v>
      </c>
      <c r="B117" s="7">
        <v>2025.0</v>
      </c>
      <c r="C117" s="8">
        <v>45755.0</v>
      </c>
      <c r="D117" s="7" t="s">
        <v>45</v>
      </c>
      <c r="E117" s="7" t="s">
        <v>26</v>
      </c>
      <c r="F117" s="7">
        <v>1.0</v>
      </c>
      <c r="G117" s="7" t="s">
        <v>46</v>
      </c>
      <c r="H117" s="7">
        <v>1.0</v>
      </c>
      <c r="I117" s="7">
        <v>6.0</v>
      </c>
      <c r="J117" s="7">
        <v>2.5</v>
      </c>
      <c r="K117" s="7" t="s">
        <v>28</v>
      </c>
      <c r="L117" s="9" t="str">
        <f>VLOOKUP(K117, 'Alphabetical by species code'!A:B, 2, FALSE)</f>
        <v>Litter</v>
      </c>
    </row>
    <row r="118">
      <c r="A118" s="7">
        <v>2.0</v>
      </c>
      <c r="B118" s="7">
        <v>2025.0</v>
      </c>
      <c r="C118" s="8">
        <v>45755.0</v>
      </c>
      <c r="D118" s="7" t="s">
        <v>45</v>
      </c>
      <c r="E118" s="7" t="s">
        <v>26</v>
      </c>
      <c r="F118" s="7">
        <v>1.0</v>
      </c>
      <c r="G118" s="7" t="s">
        <v>46</v>
      </c>
      <c r="H118" s="7">
        <v>1.0</v>
      </c>
      <c r="I118" s="7">
        <v>6.0</v>
      </c>
      <c r="J118" s="7">
        <v>2.5</v>
      </c>
      <c r="K118" s="7" t="s">
        <v>34</v>
      </c>
      <c r="L118" s="9" t="str">
        <f>VLOOKUP(K118, 'Alphabetical by species code'!A:B, 2, FALSE)</f>
        <v>Erodium cicutarium</v>
      </c>
    </row>
    <row r="119">
      <c r="A119" s="7">
        <v>2.0</v>
      </c>
      <c r="B119" s="7">
        <v>2025.0</v>
      </c>
      <c r="C119" s="8">
        <v>45755.0</v>
      </c>
      <c r="D119" s="7" t="s">
        <v>45</v>
      </c>
      <c r="E119" s="7" t="s">
        <v>26</v>
      </c>
      <c r="F119" s="7">
        <v>1.0</v>
      </c>
      <c r="G119" s="7" t="s">
        <v>46</v>
      </c>
      <c r="H119" s="7">
        <v>1.0</v>
      </c>
      <c r="I119" s="7">
        <v>6.0</v>
      </c>
      <c r="J119" s="7">
        <v>2.5</v>
      </c>
      <c r="K119" s="7" t="s">
        <v>42</v>
      </c>
      <c r="L119" s="9" t="str">
        <f>VLOOKUP(K119, 'Alphabetical by species code'!A:B, 2, FALSE)</f>
        <v>Centaurea melitensis</v>
      </c>
    </row>
    <row r="120">
      <c r="A120" s="7">
        <v>2.0</v>
      </c>
      <c r="B120" s="7">
        <v>2025.0</v>
      </c>
      <c r="C120" s="8">
        <v>45755.0</v>
      </c>
      <c r="D120" s="7" t="s">
        <v>45</v>
      </c>
      <c r="E120" s="7" t="s">
        <v>26</v>
      </c>
      <c r="F120" s="7">
        <v>1.0</v>
      </c>
      <c r="G120" s="7" t="s">
        <v>46</v>
      </c>
      <c r="H120" s="7">
        <v>1.0</v>
      </c>
      <c r="I120" s="7">
        <v>6.0</v>
      </c>
      <c r="J120" s="7">
        <v>2.5</v>
      </c>
      <c r="K120" s="7" t="s">
        <v>47</v>
      </c>
      <c r="L120" s="9" t="str">
        <f>VLOOKUP(K120, 'Alphabetical by species code'!A:B, 2, FALSE)</f>
        <v>Sonchus species</v>
      </c>
    </row>
    <row r="121">
      <c r="A121" s="7">
        <v>2.0</v>
      </c>
      <c r="B121" s="7">
        <v>2025.0</v>
      </c>
      <c r="C121" s="8">
        <v>45755.0</v>
      </c>
      <c r="D121" s="7" t="s">
        <v>45</v>
      </c>
      <c r="E121" s="7" t="s">
        <v>26</v>
      </c>
      <c r="F121" s="7">
        <v>1.0</v>
      </c>
      <c r="G121" s="7" t="s">
        <v>46</v>
      </c>
      <c r="H121" s="7">
        <v>1.0</v>
      </c>
      <c r="I121" s="7">
        <v>7.0</v>
      </c>
      <c r="J121" s="7">
        <v>3.0</v>
      </c>
      <c r="K121" s="7" t="s">
        <v>28</v>
      </c>
      <c r="L121" s="9" t="str">
        <f>VLOOKUP(K121, 'Alphabetical by species code'!A:B, 2, FALSE)</f>
        <v>Litter</v>
      </c>
    </row>
    <row r="122">
      <c r="A122" s="7">
        <v>2.0</v>
      </c>
      <c r="B122" s="7">
        <v>2025.0</v>
      </c>
      <c r="C122" s="8">
        <v>45755.0</v>
      </c>
      <c r="D122" s="7" t="s">
        <v>45</v>
      </c>
      <c r="E122" s="7" t="s">
        <v>26</v>
      </c>
      <c r="F122" s="7">
        <v>1.0</v>
      </c>
      <c r="G122" s="7" t="s">
        <v>46</v>
      </c>
      <c r="H122" s="7">
        <v>1.0</v>
      </c>
      <c r="I122" s="7">
        <v>7.0</v>
      </c>
      <c r="J122" s="7">
        <v>3.0</v>
      </c>
      <c r="K122" s="7" t="s">
        <v>29</v>
      </c>
      <c r="L122" s="9" t="str">
        <f>VLOOKUP(K122, 'Alphabetical by species code'!A:B, 2, FALSE)</f>
        <v>Opuntia littoralis</v>
      </c>
    </row>
    <row r="123">
      <c r="A123" s="7">
        <v>2.0</v>
      </c>
      <c r="B123" s="7">
        <v>2025.0</v>
      </c>
      <c r="C123" s="8">
        <v>45755.0</v>
      </c>
      <c r="D123" s="7" t="s">
        <v>45</v>
      </c>
      <c r="E123" s="7" t="s">
        <v>26</v>
      </c>
      <c r="F123" s="7">
        <v>1.0</v>
      </c>
      <c r="G123" s="7" t="s">
        <v>46</v>
      </c>
      <c r="H123" s="7">
        <v>1.0</v>
      </c>
      <c r="I123" s="7">
        <v>7.0</v>
      </c>
      <c r="J123" s="7">
        <v>3.0</v>
      </c>
      <c r="K123" s="7" t="s">
        <v>35</v>
      </c>
      <c r="L123" s="9" t="str">
        <f>VLOOKUP(K123, 'Alphabetical by species code'!A:B, 2, FALSE)</f>
        <v>Deinandra fasciculata</v>
      </c>
    </row>
    <row r="124">
      <c r="A124" s="7">
        <v>2.0</v>
      </c>
      <c r="B124" s="7">
        <v>2025.0</v>
      </c>
      <c r="C124" s="8">
        <v>45755.0</v>
      </c>
      <c r="D124" s="7" t="s">
        <v>45</v>
      </c>
      <c r="E124" s="7" t="s">
        <v>26</v>
      </c>
      <c r="F124" s="7">
        <v>1.0</v>
      </c>
      <c r="G124" s="7" t="s">
        <v>46</v>
      </c>
      <c r="H124" s="7">
        <v>1.0</v>
      </c>
      <c r="I124" s="7">
        <v>7.0</v>
      </c>
      <c r="J124" s="7">
        <v>3.0</v>
      </c>
      <c r="K124" s="7" t="s">
        <v>39</v>
      </c>
      <c r="L124" s="9" t="str">
        <f>VLOOKUP(K124, 'Alphabetical by species code'!A:B, 2, FALSE)</f>
        <v>Stephanomeria diegensis</v>
      </c>
    </row>
    <row r="125">
      <c r="A125" s="7">
        <v>2.0</v>
      </c>
      <c r="B125" s="7">
        <v>2025.0</v>
      </c>
      <c r="C125" s="8">
        <v>45755.0</v>
      </c>
      <c r="D125" s="7" t="s">
        <v>45</v>
      </c>
      <c r="E125" s="7" t="s">
        <v>26</v>
      </c>
      <c r="F125" s="7">
        <v>1.0</v>
      </c>
      <c r="G125" s="7" t="s">
        <v>46</v>
      </c>
      <c r="H125" s="7">
        <v>1.0</v>
      </c>
      <c r="I125" s="7">
        <v>8.0</v>
      </c>
      <c r="J125" s="7">
        <v>3.5</v>
      </c>
      <c r="K125" s="7" t="s">
        <v>28</v>
      </c>
      <c r="L125" s="9" t="str">
        <f>VLOOKUP(K125, 'Alphabetical by species code'!A:B, 2, FALSE)</f>
        <v>Litter</v>
      </c>
    </row>
    <row r="126">
      <c r="A126" s="7">
        <v>2.0</v>
      </c>
      <c r="B126" s="7">
        <v>2025.0</v>
      </c>
      <c r="C126" s="8">
        <v>45755.0</v>
      </c>
      <c r="D126" s="7" t="s">
        <v>45</v>
      </c>
      <c r="E126" s="7" t="s">
        <v>26</v>
      </c>
      <c r="F126" s="7">
        <v>1.0</v>
      </c>
      <c r="G126" s="7" t="s">
        <v>46</v>
      </c>
      <c r="H126" s="7">
        <v>1.0</v>
      </c>
      <c r="I126" s="7">
        <v>8.0</v>
      </c>
      <c r="J126" s="7">
        <v>3.5</v>
      </c>
      <c r="K126" s="7" t="s">
        <v>35</v>
      </c>
      <c r="L126" s="9" t="str">
        <f>VLOOKUP(K126, 'Alphabetical by species code'!A:B, 2, FALSE)</f>
        <v>Deinandra fasciculata</v>
      </c>
    </row>
    <row r="127">
      <c r="A127" s="7">
        <v>2.0</v>
      </c>
      <c r="B127" s="7">
        <v>2025.0</v>
      </c>
      <c r="C127" s="8">
        <v>45755.0</v>
      </c>
      <c r="D127" s="7" t="s">
        <v>45</v>
      </c>
      <c r="E127" s="7" t="s">
        <v>26</v>
      </c>
      <c r="F127" s="7">
        <v>1.0</v>
      </c>
      <c r="G127" s="7" t="s">
        <v>46</v>
      </c>
      <c r="H127" s="7">
        <v>1.0</v>
      </c>
      <c r="I127" s="7">
        <v>8.0</v>
      </c>
      <c r="J127" s="7">
        <v>3.5</v>
      </c>
      <c r="K127" s="7" t="s">
        <v>34</v>
      </c>
      <c r="L127" s="9" t="str">
        <f>VLOOKUP(K127, 'Alphabetical by species code'!A:B, 2, FALSE)</f>
        <v>Erodium cicutarium</v>
      </c>
    </row>
    <row r="128">
      <c r="A128" s="7">
        <v>2.0</v>
      </c>
      <c r="B128" s="7">
        <v>2025.0</v>
      </c>
      <c r="C128" s="8">
        <v>45755.0</v>
      </c>
      <c r="D128" s="7" t="s">
        <v>45</v>
      </c>
      <c r="E128" s="7" t="s">
        <v>26</v>
      </c>
      <c r="F128" s="7">
        <v>1.0</v>
      </c>
      <c r="G128" s="7" t="s">
        <v>46</v>
      </c>
      <c r="H128" s="7">
        <v>1.0</v>
      </c>
      <c r="I128" s="7">
        <v>9.0</v>
      </c>
      <c r="J128" s="7">
        <v>4.0</v>
      </c>
      <c r="K128" s="7" t="s">
        <v>28</v>
      </c>
      <c r="L128" s="9" t="str">
        <f>VLOOKUP(K128, 'Alphabetical by species code'!A:B, 2, FALSE)</f>
        <v>Litter</v>
      </c>
    </row>
    <row r="129">
      <c r="A129" s="7">
        <v>2.0</v>
      </c>
      <c r="B129" s="7">
        <v>2025.0</v>
      </c>
      <c r="C129" s="8">
        <v>45755.0</v>
      </c>
      <c r="D129" s="7" t="s">
        <v>45</v>
      </c>
      <c r="E129" s="7" t="s">
        <v>26</v>
      </c>
      <c r="F129" s="7">
        <v>1.0</v>
      </c>
      <c r="G129" s="7" t="s">
        <v>46</v>
      </c>
      <c r="H129" s="7">
        <v>1.0</v>
      </c>
      <c r="I129" s="7">
        <v>9.0</v>
      </c>
      <c r="J129" s="7">
        <v>4.0</v>
      </c>
      <c r="K129" s="7" t="s">
        <v>35</v>
      </c>
      <c r="L129" s="9" t="str">
        <f>VLOOKUP(K129, 'Alphabetical by species code'!A:B, 2, FALSE)</f>
        <v>Deinandra fasciculata</v>
      </c>
    </row>
    <row r="130">
      <c r="A130" s="7">
        <v>2.0</v>
      </c>
      <c r="B130" s="7">
        <v>2025.0</v>
      </c>
      <c r="C130" s="8">
        <v>45755.0</v>
      </c>
      <c r="D130" s="7" t="s">
        <v>45</v>
      </c>
      <c r="E130" s="7" t="s">
        <v>26</v>
      </c>
      <c r="F130" s="7">
        <v>1.0</v>
      </c>
      <c r="G130" s="7" t="s">
        <v>46</v>
      </c>
      <c r="H130" s="7">
        <v>1.0</v>
      </c>
      <c r="I130" s="7">
        <v>9.0</v>
      </c>
      <c r="J130" s="7">
        <v>4.0</v>
      </c>
      <c r="K130" s="7" t="s">
        <v>34</v>
      </c>
      <c r="L130" s="9" t="str">
        <f>VLOOKUP(K130, 'Alphabetical by species code'!A:B, 2, FALSE)</f>
        <v>Erodium cicutarium</v>
      </c>
    </row>
    <row r="131">
      <c r="A131" s="7">
        <v>2.0</v>
      </c>
      <c r="B131" s="7">
        <v>2025.0</v>
      </c>
      <c r="C131" s="8">
        <v>45755.0</v>
      </c>
      <c r="D131" s="7" t="s">
        <v>45</v>
      </c>
      <c r="E131" s="7" t="s">
        <v>26</v>
      </c>
      <c r="F131" s="7">
        <v>1.0</v>
      </c>
      <c r="G131" s="7" t="s">
        <v>46</v>
      </c>
      <c r="H131" s="7">
        <v>1.0</v>
      </c>
      <c r="I131" s="7">
        <v>10.0</v>
      </c>
      <c r="J131" s="7">
        <v>4.5</v>
      </c>
      <c r="K131" s="7" t="s">
        <v>28</v>
      </c>
      <c r="L131" s="9" t="str">
        <f>VLOOKUP(K131, 'Alphabetical by species code'!A:B, 2, FALSE)</f>
        <v>Litter</v>
      </c>
    </row>
    <row r="132">
      <c r="A132" s="7">
        <v>2.0</v>
      </c>
      <c r="B132" s="7">
        <v>2025.0</v>
      </c>
      <c r="C132" s="8">
        <v>45755.0</v>
      </c>
      <c r="D132" s="7" t="s">
        <v>45</v>
      </c>
      <c r="E132" s="7" t="s">
        <v>26</v>
      </c>
      <c r="F132" s="7">
        <v>1.0</v>
      </c>
      <c r="G132" s="7" t="s">
        <v>46</v>
      </c>
      <c r="H132" s="7">
        <v>1.0</v>
      </c>
      <c r="I132" s="7">
        <v>10.0</v>
      </c>
      <c r="J132" s="7">
        <v>4.5</v>
      </c>
      <c r="K132" s="7" t="s">
        <v>35</v>
      </c>
      <c r="L132" s="9" t="str">
        <f>VLOOKUP(K132, 'Alphabetical by species code'!A:B, 2, FALSE)</f>
        <v>Deinandra fasciculata</v>
      </c>
    </row>
    <row r="133">
      <c r="A133" s="7">
        <v>2.0</v>
      </c>
      <c r="B133" s="7">
        <v>2025.0</v>
      </c>
      <c r="C133" s="8">
        <v>45755.0</v>
      </c>
      <c r="D133" s="7" t="s">
        <v>45</v>
      </c>
      <c r="E133" s="7" t="s">
        <v>26</v>
      </c>
      <c r="F133" s="7">
        <v>1.0</v>
      </c>
      <c r="G133" s="7" t="s">
        <v>46</v>
      </c>
      <c r="H133" s="7">
        <v>1.0</v>
      </c>
      <c r="I133" s="7">
        <v>10.0</v>
      </c>
      <c r="J133" s="7">
        <v>4.5</v>
      </c>
      <c r="K133" s="7" t="s">
        <v>36</v>
      </c>
      <c r="L133" s="9" t="str">
        <f>VLOOKUP(K133, 'Alphabetical by species code'!A:B, 2, FALSE)</f>
        <v>Bromus madritensis</v>
      </c>
    </row>
    <row r="134">
      <c r="A134" s="7">
        <v>2.0</v>
      </c>
      <c r="B134" s="7">
        <v>2025.0</v>
      </c>
      <c r="C134" s="8">
        <v>45755.0</v>
      </c>
      <c r="D134" s="7" t="s">
        <v>45</v>
      </c>
      <c r="E134" s="7" t="s">
        <v>26</v>
      </c>
      <c r="F134" s="7">
        <v>1.0</v>
      </c>
      <c r="G134" s="7" t="s">
        <v>46</v>
      </c>
      <c r="H134" s="7">
        <v>1.0</v>
      </c>
      <c r="I134" s="7">
        <v>11.0</v>
      </c>
      <c r="J134" s="7">
        <v>5.0</v>
      </c>
      <c r="K134" s="7" t="s">
        <v>28</v>
      </c>
      <c r="L134" s="9" t="str">
        <f>VLOOKUP(K134, 'Alphabetical by species code'!A:B, 2, FALSE)</f>
        <v>Litter</v>
      </c>
    </row>
    <row r="135">
      <c r="A135" s="7">
        <v>2.0</v>
      </c>
      <c r="B135" s="7">
        <v>2025.0</v>
      </c>
      <c r="C135" s="8">
        <v>45755.0</v>
      </c>
      <c r="D135" s="7" t="s">
        <v>45</v>
      </c>
      <c r="E135" s="7" t="s">
        <v>26</v>
      </c>
      <c r="F135" s="7">
        <v>1.0</v>
      </c>
      <c r="G135" s="7" t="s">
        <v>46</v>
      </c>
      <c r="H135" s="7">
        <v>1.0</v>
      </c>
      <c r="I135" s="7">
        <v>11.0</v>
      </c>
      <c r="J135" s="7">
        <v>5.0</v>
      </c>
      <c r="K135" s="7" t="s">
        <v>35</v>
      </c>
      <c r="L135" s="9" t="str">
        <f>VLOOKUP(K135, 'Alphabetical by species code'!A:B, 2, FALSE)</f>
        <v>Deinandra fasciculata</v>
      </c>
    </row>
    <row r="136">
      <c r="A136" s="7">
        <v>2.0</v>
      </c>
      <c r="B136" s="7">
        <v>2025.0</v>
      </c>
      <c r="C136" s="8">
        <v>45755.0</v>
      </c>
      <c r="D136" s="7" t="s">
        <v>45</v>
      </c>
      <c r="E136" s="7" t="s">
        <v>26</v>
      </c>
      <c r="F136" s="7">
        <v>1.0</v>
      </c>
      <c r="G136" s="7" t="s">
        <v>46</v>
      </c>
      <c r="H136" s="7">
        <v>1.0</v>
      </c>
      <c r="I136" s="7">
        <v>11.0</v>
      </c>
      <c r="J136" s="7">
        <v>5.0</v>
      </c>
      <c r="K136" s="7" t="s">
        <v>36</v>
      </c>
      <c r="L136" s="9" t="str">
        <f>VLOOKUP(K136, 'Alphabetical by species code'!A:B, 2, FALSE)</f>
        <v>Bromus madritensis</v>
      </c>
    </row>
    <row r="137">
      <c r="A137" s="7">
        <v>2.0</v>
      </c>
      <c r="B137" s="7">
        <v>2025.0</v>
      </c>
      <c r="C137" s="8">
        <v>45755.0</v>
      </c>
      <c r="D137" s="7" t="s">
        <v>45</v>
      </c>
      <c r="E137" s="7" t="s">
        <v>26</v>
      </c>
      <c r="F137" s="7">
        <v>1.0</v>
      </c>
      <c r="G137" s="7" t="s">
        <v>46</v>
      </c>
      <c r="H137" s="7">
        <v>1.0</v>
      </c>
      <c r="I137" s="7">
        <v>12.0</v>
      </c>
      <c r="J137" s="7">
        <v>5.5</v>
      </c>
      <c r="K137" s="7" t="s">
        <v>28</v>
      </c>
      <c r="L137" s="9" t="str">
        <f>VLOOKUP(K137, 'Alphabetical by species code'!A:B, 2, FALSE)</f>
        <v>Litter</v>
      </c>
    </row>
    <row r="138">
      <c r="A138" s="7">
        <v>2.0</v>
      </c>
      <c r="B138" s="7">
        <v>2025.0</v>
      </c>
      <c r="C138" s="8">
        <v>45755.0</v>
      </c>
      <c r="D138" s="7" t="s">
        <v>45</v>
      </c>
      <c r="E138" s="7" t="s">
        <v>26</v>
      </c>
      <c r="F138" s="7">
        <v>1.0</v>
      </c>
      <c r="G138" s="7" t="s">
        <v>46</v>
      </c>
      <c r="H138" s="7">
        <v>1.0</v>
      </c>
      <c r="I138" s="7">
        <v>12.0</v>
      </c>
      <c r="J138" s="7">
        <v>5.5</v>
      </c>
      <c r="K138" s="7" t="s">
        <v>48</v>
      </c>
      <c r="L138" s="9" t="str">
        <f>VLOOKUP(K138, 'Alphabetical by species code'!A:B, 2, FALSE)</f>
        <v>Sonchus asper</v>
      </c>
    </row>
    <row r="139">
      <c r="A139" s="7">
        <v>2.0</v>
      </c>
      <c r="B139" s="7">
        <v>2025.0</v>
      </c>
      <c r="C139" s="8">
        <v>45755.0</v>
      </c>
      <c r="D139" s="7" t="s">
        <v>45</v>
      </c>
      <c r="E139" s="7" t="s">
        <v>26</v>
      </c>
      <c r="F139" s="7">
        <v>1.0</v>
      </c>
      <c r="G139" s="7" t="s">
        <v>46</v>
      </c>
      <c r="H139" s="7">
        <v>1.0</v>
      </c>
      <c r="I139" s="7">
        <v>13.0</v>
      </c>
      <c r="J139" s="7">
        <v>6.5</v>
      </c>
      <c r="K139" s="7" t="s">
        <v>28</v>
      </c>
      <c r="L139" s="9" t="str">
        <f>VLOOKUP(K139, 'Alphabetical by species code'!A:B, 2, FALSE)</f>
        <v>Litter</v>
      </c>
    </row>
    <row r="140">
      <c r="A140" s="7">
        <v>2.0</v>
      </c>
      <c r="B140" s="7">
        <v>2025.0</v>
      </c>
      <c r="C140" s="8">
        <v>45755.0</v>
      </c>
      <c r="D140" s="7" t="s">
        <v>45</v>
      </c>
      <c r="E140" s="7" t="s">
        <v>26</v>
      </c>
      <c r="F140" s="7">
        <v>1.0</v>
      </c>
      <c r="G140" s="7" t="s">
        <v>46</v>
      </c>
      <c r="H140" s="7">
        <v>1.0</v>
      </c>
      <c r="I140" s="7">
        <v>13.0</v>
      </c>
      <c r="J140" s="7">
        <v>6.5</v>
      </c>
      <c r="K140" s="7" t="s">
        <v>42</v>
      </c>
      <c r="L140" s="9" t="str">
        <f>VLOOKUP(K140, 'Alphabetical by species code'!A:B, 2, FALSE)</f>
        <v>Centaurea melitensis</v>
      </c>
    </row>
    <row r="141">
      <c r="A141" s="7">
        <v>2.0</v>
      </c>
      <c r="B141" s="7">
        <v>2025.0</v>
      </c>
      <c r="C141" s="8">
        <v>45755.0</v>
      </c>
      <c r="D141" s="7" t="s">
        <v>45</v>
      </c>
      <c r="E141" s="7" t="s">
        <v>26</v>
      </c>
      <c r="F141" s="7">
        <v>1.0</v>
      </c>
      <c r="G141" s="7" t="s">
        <v>46</v>
      </c>
      <c r="H141" s="7">
        <v>1.0</v>
      </c>
      <c r="I141" s="7">
        <v>13.0</v>
      </c>
      <c r="J141" s="7">
        <v>6.5</v>
      </c>
      <c r="K141" s="7" t="s">
        <v>34</v>
      </c>
      <c r="L141" s="9" t="str">
        <f>VLOOKUP(K141, 'Alphabetical by species code'!A:B, 2, FALSE)</f>
        <v>Erodium cicutarium</v>
      </c>
    </row>
    <row r="142">
      <c r="A142" s="7">
        <v>2.0</v>
      </c>
      <c r="B142" s="7">
        <v>2025.0</v>
      </c>
      <c r="C142" s="8">
        <v>45755.0</v>
      </c>
      <c r="D142" s="7" t="s">
        <v>45</v>
      </c>
      <c r="E142" s="7" t="s">
        <v>26</v>
      </c>
      <c r="F142" s="7">
        <v>1.0</v>
      </c>
      <c r="G142" s="7" t="s">
        <v>46</v>
      </c>
      <c r="H142" s="7">
        <v>1.0</v>
      </c>
      <c r="I142" s="7">
        <v>14.0</v>
      </c>
      <c r="J142" s="7">
        <v>7.0</v>
      </c>
      <c r="K142" s="7" t="s">
        <v>28</v>
      </c>
      <c r="L142" s="9" t="str">
        <f>VLOOKUP(K142, 'Alphabetical by species code'!A:B, 2, FALSE)</f>
        <v>Litter</v>
      </c>
    </row>
    <row r="143">
      <c r="A143" s="7">
        <v>2.0</v>
      </c>
      <c r="B143" s="7">
        <v>2025.0</v>
      </c>
      <c r="C143" s="8">
        <v>45755.0</v>
      </c>
      <c r="D143" s="7" t="s">
        <v>45</v>
      </c>
      <c r="E143" s="7" t="s">
        <v>26</v>
      </c>
      <c r="F143" s="7">
        <v>1.0</v>
      </c>
      <c r="G143" s="7" t="s">
        <v>46</v>
      </c>
      <c r="H143" s="7">
        <v>1.0</v>
      </c>
      <c r="I143" s="7">
        <v>14.0</v>
      </c>
      <c r="J143" s="7">
        <v>7.0</v>
      </c>
      <c r="K143" s="7" t="s">
        <v>37</v>
      </c>
      <c r="L143" s="9" t="str">
        <f>VLOOKUP(K143, 'Alphabetical by species code'!A:B, 2, FALSE)</f>
        <v>Sonchus oleraceus</v>
      </c>
    </row>
    <row r="144">
      <c r="A144" s="7">
        <v>2.0</v>
      </c>
      <c r="B144" s="7">
        <v>2025.0</v>
      </c>
      <c r="C144" s="8">
        <v>45755.0</v>
      </c>
      <c r="D144" s="7" t="s">
        <v>45</v>
      </c>
      <c r="E144" s="7" t="s">
        <v>26</v>
      </c>
      <c r="F144" s="7">
        <v>1.0</v>
      </c>
      <c r="G144" s="7" t="s">
        <v>46</v>
      </c>
      <c r="H144" s="7">
        <v>1.0</v>
      </c>
      <c r="I144" s="7">
        <v>15.0</v>
      </c>
      <c r="J144" s="7">
        <v>7.5</v>
      </c>
      <c r="K144" s="7" t="s">
        <v>28</v>
      </c>
      <c r="L144" s="9" t="str">
        <f>VLOOKUP(K144, 'Alphabetical by species code'!A:B, 2, FALSE)</f>
        <v>Litter</v>
      </c>
    </row>
    <row r="145">
      <c r="A145" s="7">
        <v>2.0</v>
      </c>
      <c r="B145" s="7">
        <v>2025.0</v>
      </c>
      <c r="C145" s="8">
        <v>45755.0</v>
      </c>
      <c r="D145" s="7" t="s">
        <v>45</v>
      </c>
      <c r="E145" s="7" t="s">
        <v>26</v>
      </c>
      <c r="F145" s="7">
        <v>1.0</v>
      </c>
      <c r="G145" s="7" t="s">
        <v>46</v>
      </c>
      <c r="H145" s="7">
        <v>1.0</v>
      </c>
      <c r="I145" s="7">
        <v>15.0</v>
      </c>
      <c r="J145" s="7">
        <v>7.5</v>
      </c>
      <c r="K145" s="7" t="s">
        <v>49</v>
      </c>
      <c r="L145" s="9" t="str">
        <f>VLOOKUP(K145, 'Alphabetical by species code'!A:B, 2, FALSE)</f>
        <v>Anagallis arvensis</v>
      </c>
    </row>
    <row r="146">
      <c r="A146" s="7">
        <v>2.0</v>
      </c>
      <c r="B146" s="7">
        <v>2025.0</v>
      </c>
      <c r="C146" s="8">
        <v>45755.0</v>
      </c>
      <c r="D146" s="7" t="s">
        <v>45</v>
      </c>
      <c r="E146" s="7" t="s">
        <v>26</v>
      </c>
      <c r="F146" s="7">
        <v>1.0</v>
      </c>
      <c r="G146" s="7" t="s">
        <v>46</v>
      </c>
      <c r="H146" s="7">
        <v>1.0</v>
      </c>
      <c r="I146" s="7">
        <v>15.0</v>
      </c>
      <c r="J146" s="7">
        <v>7.5</v>
      </c>
      <c r="K146" s="7" t="s">
        <v>34</v>
      </c>
      <c r="L146" s="9" t="str">
        <f>VLOOKUP(K146, 'Alphabetical by species code'!A:B, 2, FALSE)</f>
        <v>Erodium cicutarium</v>
      </c>
    </row>
    <row r="147">
      <c r="A147" s="7">
        <v>2.0</v>
      </c>
      <c r="B147" s="7">
        <v>2025.0</v>
      </c>
      <c r="C147" s="8">
        <v>45755.0</v>
      </c>
      <c r="D147" s="7" t="s">
        <v>45</v>
      </c>
      <c r="E147" s="7" t="s">
        <v>26</v>
      </c>
      <c r="F147" s="7">
        <v>1.0</v>
      </c>
      <c r="G147" s="7" t="s">
        <v>46</v>
      </c>
      <c r="H147" s="7">
        <v>2.0</v>
      </c>
      <c r="I147" s="7">
        <v>1.0</v>
      </c>
      <c r="J147" s="7">
        <v>0.0</v>
      </c>
      <c r="K147" s="7" t="s">
        <v>28</v>
      </c>
      <c r="L147" s="9" t="str">
        <f>VLOOKUP(K147, 'Alphabetical by species code'!A:B, 2, FALSE)</f>
        <v>Litter</v>
      </c>
    </row>
    <row r="148">
      <c r="A148" s="7">
        <v>2.0</v>
      </c>
      <c r="B148" s="7">
        <v>2025.0</v>
      </c>
      <c r="C148" s="8">
        <v>45755.0</v>
      </c>
      <c r="D148" s="7" t="s">
        <v>45</v>
      </c>
      <c r="E148" s="7" t="s">
        <v>26</v>
      </c>
      <c r="F148" s="7">
        <v>1.0</v>
      </c>
      <c r="G148" s="7" t="s">
        <v>46</v>
      </c>
      <c r="H148" s="7">
        <v>2.0</v>
      </c>
      <c r="I148" s="7">
        <v>1.0</v>
      </c>
      <c r="J148" s="7">
        <v>0.0</v>
      </c>
      <c r="K148" s="7" t="s">
        <v>42</v>
      </c>
      <c r="L148" s="9" t="str">
        <f>VLOOKUP(K148, 'Alphabetical by species code'!A:B, 2, FALSE)</f>
        <v>Centaurea melitensis</v>
      </c>
    </row>
    <row r="149">
      <c r="A149" s="7">
        <v>2.0</v>
      </c>
      <c r="B149" s="7">
        <v>2025.0</v>
      </c>
      <c r="C149" s="8">
        <v>45755.0</v>
      </c>
      <c r="D149" s="7" t="s">
        <v>45</v>
      </c>
      <c r="E149" s="7" t="s">
        <v>26</v>
      </c>
      <c r="F149" s="7">
        <v>1.0</v>
      </c>
      <c r="G149" s="7" t="s">
        <v>46</v>
      </c>
      <c r="H149" s="7">
        <v>2.0</v>
      </c>
      <c r="I149" s="7">
        <v>1.0</v>
      </c>
      <c r="J149" s="7">
        <v>0.0</v>
      </c>
      <c r="K149" s="7" t="s">
        <v>32</v>
      </c>
      <c r="L149" s="9" t="str">
        <f>VLOOKUP(K149, 'Alphabetical by species code'!A:B, 2, FALSE)</f>
        <v>Medicago polymorpha</v>
      </c>
    </row>
    <row r="150">
      <c r="A150" s="7">
        <v>2.0</v>
      </c>
      <c r="B150" s="7">
        <v>2025.0</v>
      </c>
      <c r="C150" s="8">
        <v>45755.0</v>
      </c>
      <c r="D150" s="7" t="s">
        <v>45</v>
      </c>
      <c r="E150" s="7" t="s">
        <v>26</v>
      </c>
      <c r="F150" s="7">
        <v>1.0</v>
      </c>
      <c r="G150" s="7" t="s">
        <v>46</v>
      </c>
      <c r="H150" s="7">
        <v>2.0</v>
      </c>
      <c r="I150" s="7">
        <v>1.0</v>
      </c>
      <c r="J150" s="7">
        <v>0.0</v>
      </c>
      <c r="K150" s="7" t="s">
        <v>31</v>
      </c>
      <c r="L150" s="9" t="str">
        <f>VLOOKUP(K150, 'Alphabetical by species code'!A:B, 2, FALSE)</f>
        <v>Festuca myuros</v>
      </c>
    </row>
    <row r="151">
      <c r="A151" s="7">
        <v>2.0</v>
      </c>
      <c r="B151" s="7">
        <v>2025.0</v>
      </c>
      <c r="C151" s="8">
        <v>45755.0</v>
      </c>
      <c r="D151" s="7" t="s">
        <v>45</v>
      </c>
      <c r="E151" s="7" t="s">
        <v>26</v>
      </c>
      <c r="F151" s="7">
        <v>1.0</v>
      </c>
      <c r="G151" s="7" t="s">
        <v>46</v>
      </c>
      <c r="H151" s="7">
        <v>2.0</v>
      </c>
      <c r="I151" s="7">
        <v>2.0</v>
      </c>
      <c r="J151" s="7">
        <v>0.5</v>
      </c>
      <c r="K151" s="7" t="s">
        <v>28</v>
      </c>
      <c r="L151" s="9" t="str">
        <f>VLOOKUP(K151, 'Alphabetical by species code'!A:B, 2, FALSE)</f>
        <v>Litter</v>
      </c>
    </row>
    <row r="152">
      <c r="A152" s="7">
        <v>2.0</v>
      </c>
      <c r="B152" s="7">
        <v>2025.0</v>
      </c>
      <c r="C152" s="8">
        <v>45755.0</v>
      </c>
      <c r="D152" s="7" t="s">
        <v>45</v>
      </c>
      <c r="E152" s="7" t="s">
        <v>26</v>
      </c>
      <c r="F152" s="7">
        <v>1.0</v>
      </c>
      <c r="G152" s="7" t="s">
        <v>46</v>
      </c>
      <c r="H152" s="7">
        <v>2.0</v>
      </c>
      <c r="I152" s="7">
        <v>2.0</v>
      </c>
      <c r="J152" s="7">
        <v>0.5</v>
      </c>
      <c r="K152" s="7" t="s">
        <v>29</v>
      </c>
      <c r="L152" s="9" t="str">
        <f>VLOOKUP(K152, 'Alphabetical by species code'!A:B, 2, FALSE)</f>
        <v>Opuntia littoralis</v>
      </c>
    </row>
    <row r="153">
      <c r="A153" s="7">
        <v>2.0</v>
      </c>
      <c r="B153" s="7">
        <v>2025.0</v>
      </c>
      <c r="C153" s="8">
        <v>45755.0</v>
      </c>
      <c r="D153" s="7" t="s">
        <v>45</v>
      </c>
      <c r="E153" s="7" t="s">
        <v>26</v>
      </c>
      <c r="F153" s="7">
        <v>1.0</v>
      </c>
      <c r="G153" s="7" t="s">
        <v>46</v>
      </c>
      <c r="H153" s="7">
        <v>2.0</v>
      </c>
      <c r="I153" s="7">
        <v>2.0</v>
      </c>
      <c r="J153" s="7">
        <v>0.5</v>
      </c>
      <c r="K153" s="7" t="s">
        <v>32</v>
      </c>
      <c r="L153" s="9" t="str">
        <f>VLOOKUP(K153, 'Alphabetical by species code'!A:B, 2, FALSE)</f>
        <v>Medicago polymorpha</v>
      </c>
    </row>
    <row r="154">
      <c r="A154" s="7">
        <v>2.0</v>
      </c>
      <c r="B154" s="7">
        <v>2025.0</v>
      </c>
      <c r="C154" s="8">
        <v>45755.0</v>
      </c>
      <c r="D154" s="7" t="s">
        <v>45</v>
      </c>
      <c r="E154" s="7" t="s">
        <v>26</v>
      </c>
      <c r="F154" s="7">
        <v>1.0</v>
      </c>
      <c r="G154" s="7" t="s">
        <v>46</v>
      </c>
      <c r="H154" s="7">
        <v>2.0</v>
      </c>
      <c r="I154" s="7">
        <v>2.0</v>
      </c>
      <c r="J154" s="7">
        <v>0.5</v>
      </c>
      <c r="K154" s="7" t="s">
        <v>50</v>
      </c>
      <c r="L154" s="9" t="str">
        <f>VLOOKUP(K154, 'Alphabetical by species code'!A:B, 2, FALSE)</f>
        <v>Crypantha maritima</v>
      </c>
    </row>
    <row r="155">
      <c r="A155" s="7">
        <v>2.0</v>
      </c>
      <c r="B155" s="7">
        <v>2025.0</v>
      </c>
      <c r="C155" s="8">
        <v>45755.0</v>
      </c>
      <c r="D155" s="7" t="s">
        <v>45</v>
      </c>
      <c r="E155" s="7" t="s">
        <v>26</v>
      </c>
      <c r="F155" s="7">
        <v>1.0</v>
      </c>
      <c r="G155" s="7" t="s">
        <v>46</v>
      </c>
      <c r="H155" s="7">
        <v>2.0</v>
      </c>
      <c r="I155" s="7">
        <v>2.0</v>
      </c>
      <c r="J155" s="7">
        <v>0.5</v>
      </c>
      <c r="K155" s="7" t="s">
        <v>42</v>
      </c>
      <c r="L155" s="9" t="str">
        <f>VLOOKUP(K155, 'Alphabetical by species code'!A:B, 2, FALSE)</f>
        <v>Centaurea melitensis</v>
      </c>
    </row>
    <row r="156">
      <c r="A156" s="7">
        <v>2.0</v>
      </c>
      <c r="B156" s="7">
        <v>2025.0</v>
      </c>
      <c r="C156" s="8">
        <v>45755.0</v>
      </c>
      <c r="D156" s="7" t="s">
        <v>45</v>
      </c>
      <c r="E156" s="7" t="s">
        <v>26</v>
      </c>
      <c r="F156" s="7">
        <v>1.0</v>
      </c>
      <c r="G156" s="7" t="s">
        <v>46</v>
      </c>
      <c r="H156" s="7">
        <v>2.0</v>
      </c>
      <c r="I156" s="7">
        <v>3.0</v>
      </c>
      <c r="J156" s="7">
        <v>1.0</v>
      </c>
      <c r="K156" s="7" t="s">
        <v>41</v>
      </c>
      <c r="L156" s="9" t="str">
        <f>VLOOKUP(K156, 'Alphabetical by species code'!A:B, 2, FALSE)</f>
        <v>Stem</v>
      </c>
    </row>
    <row r="157">
      <c r="A157" s="7">
        <v>2.0</v>
      </c>
      <c r="B157" s="7">
        <v>2025.0</v>
      </c>
      <c r="C157" s="8">
        <v>45755.0</v>
      </c>
      <c r="D157" s="7" t="s">
        <v>45</v>
      </c>
      <c r="E157" s="7" t="s">
        <v>26</v>
      </c>
      <c r="F157" s="7">
        <v>1.0</v>
      </c>
      <c r="G157" s="7" t="s">
        <v>46</v>
      </c>
      <c r="H157" s="7">
        <v>2.0</v>
      </c>
      <c r="I157" s="7">
        <v>3.0</v>
      </c>
      <c r="J157" s="7">
        <v>1.0</v>
      </c>
      <c r="K157" s="7" t="s">
        <v>42</v>
      </c>
      <c r="L157" s="9" t="str">
        <f>VLOOKUP(K157, 'Alphabetical by species code'!A:B, 2, FALSE)</f>
        <v>Centaurea melitensis</v>
      </c>
    </row>
    <row r="158">
      <c r="A158" s="7">
        <v>2.0</v>
      </c>
      <c r="B158" s="7">
        <v>2025.0</v>
      </c>
      <c r="C158" s="8">
        <v>45755.0</v>
      </c>
      <c r="D158" s="7" t="s">
        <v>45</v>
      </c>
      <c r="E158" s="7" t="s">
        <v>26</v>
      </c>
      <c r="F158" s="7">
        <v>1.0</v>
      </c>
      <c r="G158" s="7" t="s">
        <v>46</v>
      </c>
      <c r="H158" s="7">
        <v>2.0</v>
      </c>
      <c r="I158" s="7">
        <v>3.0</v>
      </c>
      <c r="J158" s="7">
        <v>1.0</v>
      </c>
      <c r="K158" s="7" t="s">
        <v>34</v>
      </c>
      <c r="L158" s="9" t="str">
        <f>VLOOKUP(K158, 'Alphabetical by species code'!A:B, 2, FALSE)</f>
        <v>Erodium cicutarium</v>
      </c>
    </row>
    <row r="159">
      <c r="A159" s="7">
        <v>2.0</v>
      </c>
      <c r="B159" s="7">
        <v>2025.0</v>
      </c>
      <c r="C159" s="8">
        <v>45755.0</v>
      </c>
      <c r="D159" s="7" t="s">
        <v>45</v>
      </c>
      <c r="E159" s="7" t="s">
        <v>26</v>
      </c>
      <c r="F159" s="7">
        <v>1.0</v>
      </c>
      <c r="G159" s="7" t="s">
        <v>46</v>
      </c>
      <c r="H159" s="7">
        <v>2.0</v>
      </c>
      <c r="I159" s="7">
        <v>3.0</v>
      </c>
      <c r="J159" s="7">
        <v>1.0</v>
      </c>
      <c r="K159" s="7" t="s">
        <v>31</v>
      </c>
      <c r="L159" s="9" t="str">
        <f>VLOOKUP(K159, 'Alphabetical by species code'!A:B, 2, FALSE)</f>
        <v>Festuca myuros</v>
      </c>
    </row>
    <row r="160">
      <c r="A160" s="7">
        <v>2.0</v>
      </c>
      <c r="B160" s="7">
        <v>2025.0</v>
      </c>
      <c r="C160" s="8">
        <v>45755.0</v>
      </c>
      <c r="D160" s="7" t="s">
        <v>45</v>
      </c>
      <c r="E160" s="7" t="s">
        <v>26</v>
      </c>
      <c r="F160" s="7">
        <v>1.0</v>
      </c>
      <c r="G160" s="7" t="s">
        <v>46</v>
      </c>
      <c r="H160" s="7">
        <v>2.0</v>
      </c>
      <c r="I160" s="7">
        <v>4.0</v>
      </c>
      <c r="J160" s="7">
        <v>1.5</v>
      </c>
      <c r="K160" s="7" t="s">
        <v>28</v>
      </c>
      <c r="L160" s="9" t="str">
        <f>VLOOKUP(K160, 'Alphabetical by species code'!A:B, 2, FALSE)</f>
        <v>Litter</v>
      </c>
    </row>
    <row r="161">
      <c r="A161" s="7">
        <v>2.0</v>
      </c>
      <c r="B161" s="7">
        <v>2025.0</v>
      </c>
      <c r="C161" s="8">
        <v>45755.0</v>
      </c>
      <c r="D161" s="7" t="s">
        <v>45</v>
      </c>
      <c r="E161" s="7" t="s">
        <v>26</v>
      </c>
      <c r="F161" s="7">
        <v>1.0</v>
      </c>
      <c r="G161" s="7" t="s">
        <v>46</v>
      </c>
      <c r="H161" s="7">
        <v>2.0</v>
      </c>
      <c r="I161" s="7">
        <v>4.0</v>
      </c>
      <c r="J161" s="7">
        <v>1.5</v>
      </c>
      <c r="K161" s="7" t="s">
        <v>32</v>
      </c>
      <c r="L161" s="9" t="str">
        <f>VLOOKUP(K161, 'Alphabetical by species code'!A:B, 2, FALSE)</f>
        <v>Medicago polymorpha</v>
      </c>
    </row>
    <row r="162">
      <c r="A162" s="7">
        <v>2.0</v>
      </c>
      <c r="B162" s="7">
        <v>2025.0</v>
      </c>
      <c r="C162" s="8">
        <v>45755.0</v>
      </c>
      <c r="D162" s="7" t="s">
        <v>45</v>
      </c>
      <c r="E162" s="7" t="s">
        <v>26</v>
      </c>
      <c r="F162" s="7">
        <v>1.0</v>
      </c>
      <c r="G162" s="7" t="s">
        <v>46</v>
      </c>
      <c r="H162" s="7">
        <v>2.0</v>
      </c>
      <c r="I162" s="7">
        <v>4.0</v>
      </c>
      <c r="J162" s="7">
        <v>1.5</v>
      </c>
      <c r="K162" s="7" t="s">
        <v>40</v>
      </c>
      <c r="L162" s="9" t="str">
        <f>VLOOKUP(K162, 'Alphabetical by species code'!A:B, 2, FALSE)</f>
        <v>Cylindropuntia prolifera</v>
      </c>
    </row>
    <row r="163">
      <c r="A163" s="7">
        <v>2.0</v>
      </c>
      <c r="B163" s="7">
        <v>2025.0</v>
      </c>
      <c r="C163" s="8">
        <v>45755.0</v>
      </c>
      <c r="D163" s="7" t="s">
        <v>45</v>
      </c>
      <c r="E163" s="7" t="s">
        <v>26</v>
      </c>
      <c r="F163" s="7">
        <v>1.0</v>
      </c>
      <c r="G163" s="7" t="s">
        <v>46</v>
      </c>
      <c r="H163" s="7">
        <v>2.0</v>
      </c>
      <c r="I163" s="7">
        <v>4.0</v>
      </c>
      <c r="J163" s="7">
        <v>1.5</v>
      </c>
      <c r="K163" s="7" t="s">
        <v>42</v>
      </c>
      <c r="L163" s="9" t="str">
        <f>VLOOKUP(K163, 'Alphabetical by species code'!A:B, 2, FALSE)</f>
        <v>Centaurea melitensis</v>
      </c>
    </row>
    <row r="164">
      <c r="A164" s="7">
        <v>2.0</v>
      </c>
      <c r="B164" s="7">
        <v>2025.0</v>
      </c>
      <c r="C164" s="8">
        <v>45755.0</v>
      </c>
      <c r="D164" s="7" t="s">
        <v>45</v>
      </c>
      <c r="E164" s="7" t="s">
        <v>26</v>
      </c>
      <c r="F164" s="7">
        <v>1.0</v>
      </c>
      <c r="G164" s="7" t="s">
        <v>46</v>
      </c>
      <c r="H164" s="7">
        <v>2.0</v>
      </c>
      <c r="I164" s="7">
        <v>5.0</v>
      </c>
      <c r="J164" s="7">
        <v>2.5</v>
      </c>
      <c r="K164" s="7" t="s">
        <v>28</v>
      </c>
      <c r="L164" s="9" t="str">
        <f>VLOOKUP(K164, 'Alphabetical by species code'!A:B, 2, FALSE)</f>
        <v>Litter</v>
      </c>
    </row>
    <row r="165">
      <c r="A165" s="7">
        <v>2.0</v>
      </c>
      <c r="B165" s="7">
        <v>2025.0</v>
      </c>
      <c r="C165" s="8">
        <v>45755.0</v>
      </c>
      <c r="D165" s="7" t="s">
        <v>45</v>
      </c>
      <c r="E165" s="7" t="s">
        <v>26</v>
      </c>
      <c r="F165" s="7">
        <v>1.0</v>
      </c>
      <c r="G165" s="7" t="s">
        <v>46</v>
      </c>
      <c r="H165" s="7">
        <v>2.0</v>
      </c>
      <c r="I165" s="7">
        <v>5.0</v>
      </c>
      <c r="J165" s="7">
        <v>2.5</v>
      </c>
      <c r="K165" s="7" t="s">
        <v>32</v>
      </c>
      <c r="L165" s="9" t="str">
        <f>VLOOKUP(K165, 'Alphabetical by species code'!A:B, 2, FALSE)</f>
        <v>Medicago polymorpha</v>
      </c>
    </row>
    <row r="166">
      <c r="A166" s="7">
        <v>2.0</v>
      </c>
      <c r="B166" s="7">
        <v>2025.0</v>
      </c>
      <c r="C166" s="8">
        <v>45755.0</v>
      </c>
      <c r="D166" s="7" t="s">
        <v>45</v>
      </c>
      <c r="E166" s="7" t="s">
        <v>26</v>
      </c>
      <c r="F166" s="7">
        <v>1.0</v>
      </c>
      <c r="G166" s="7" t="s">
        <v>46</v>
      </c>
      <c r="H166" s="7">
        <v>2.0</v>
      </c>
      <c r="I166" s="7">
        <v>5.0</v>
      </c>
      <c r="J166" s="7">
        <v>2.5</v>
      </c>
      <c r="K166" s="7" t="s">
        <v>30</v>
      </c>
      <c r="L166" s="9" t="str">
        <f>VLOOKUP(K166, 'Alphabetical by species code'!A:B, 2, FALSE)</f>
        <v>Erodium moschatum</v>
      </c>
    </row>
    <row r="167">
      <c r="A167" s="7">
        <v>2.0</v>
      </c>
      <c r="B167" s="7">
        <v>2025.0</v>
      </c>
      <c r="C167" s="8">
        <v>45755.0</v>
      </c>
      <c r="D167" s="7" t="s">
        <v>45</v>
      </c>
      <c r="E167" s="7" t="s">
        <v>26</v>
      </c>
      <c r="F167" s="7">
        <v>1.0</v>
      </c>
      <c r="G167" s="7" t="s">
        <v>46</v>
      </c>
      <c r="H167" s="7">
        <v>2.0</v>
      </c>
      <c r="I167" s="7">
        <v>5.0</v>
      </c>
      <c r="J167" s="7">
        <v>2.5</v>
      </c>
      <c r="K167" s="7" t="s">
        <v>39</v>
      </c>
      <c r="L167" s="9" t="str">
        <f>VLOOKUP(K167, 'Alphabetical by species code'!A:B, 2, FALSE)</f>
        <v>Stephanomeria diegensis</v>
      </c>
    </row>
    <row r="168">
      <c r="A168" s="7">
        <v>2.0</v>
      </c>
      <c r="B168" s="7">
        <v>2025.0</v>
      </c>
      <c r="C168" s="8">
        <v>45755.0</v>
      </c>
      <c r="D168" s="7" t="s">
        <v>45</v>
      </c>
      <c r="E168" s="7" t="s">
        <v>26</v>
      </c>
      <c r="F168" s="7">
        <v>1.0</v>
      </c>
      <c r="G168" s="7" t="s">
        <v>46</v>
      </c>
      <c r="H168" s="7">
        <v>2.0</v>
      </c>
      <c r="I168" s="7">
        <v>6.0</v>
      </c>
      <c r="J168" s="7">
        <v>3.0</v>
      </c>
      <c r="K168" s="7" t="s">
        <v>28</v>
      </c>
      <c r="L168" s="9" t="str">
        <f>VLOOKUP(K168, 'Alphabetical by species code'!A:B, 2, FALSE)</f>
        <v>Litter</v>
      </c>
    </row>
    <row r="169">
      <c r="A169" s="7">
        <v>2.0</v>
      </c>
      <c r="B169" s="7">
        <v>2025.0</v>
      </c>
      <c r="C169" s="8">
        <v>45755.0</v>
      </c>
      <c r="D169" s="7" t="s">
        <v>45</v>
      </c>
      <c r="E169" s="7" t="s">
        <v>26</v>
      </c>
      <c r="F169" s="7">
        <v>1.0</v>
      </c>
      <c r="G169" s="7" t="s">
        <v>46</v>
      </c>
      <c r="H169" s="7">
        <v>2.0</v>
      </c>
      <c r="I169" s="7">
        <v>6.0</v>
      </c>
      <c r="J169" s="7">
        <v>3.0</v>
      </c>
      <c r="K169" s="7" t="s">
        <v>32</v>
      </c>
      <c r="L169" s="9" t="str">
        <f>VLOOKUP(K169, 'Alphabetical by species code'!A:B, 2, FALSE)</f>
        <v>Medicago polymorpha</v>
      </c>
    </row>
    <row r="170">
      <c r="A170" s="7">
        <v>2.0</v>
      </c>
      <c r="B170" s="7">
        <v>2025.0</v>
      </c>
      <c r="C170" s="8">
        <v>45755.0</v>
      </c>
      <c r="D170" s="7" t="s">
        <v>45</v>
      </c>
      <c r="E170" s="7" t="s">
        <v>26</v>
      </c>
      <c r="F170" s="7">
        <v>1.0</v>
      </c>
      <c r="G170" s="7" t="s">
        <v>46</v>
      </c>
      <c r="H170" s="7">
        <v>2.0</v>
      </c>
      <c r="I170" s="7">
        <v>6.0</v>
      </c>
      <c r="J170" s="7">
        <v>3.0</v>
      </c>
      <c r="K170" s="7" t="s">
        <v>37</v>
      </c>
      <c r="L170" s="9" t="str">
        <f>VLOOKUP(K170, 'Alphabetical by species code'!A:B, 2, FALSE)</f>
        <v>Sonchus oleraceus</v>
      </c>
    </row>
    <row r="171">
      <c r="A171" s="7">
        <v>2.0</v>
      </c>
      <c r="B171" s="7">
        <v>2025.0</v>
      </c>
      <c r="C171" s="8">
        <v>45755.0</v>
      </c>
      <c r="D171" s="7" t="s">
        <v>45</v>
      </c>
      <c r="E171" s="7" t="s">
        <v>26</v>
      </c>
      <c r="F171" s="7">
        <v>1.0</v>
      </c>
      <c r="G171" s="7" t="s">
        <v>46</v>
      </c>
      <c r="H171" s="7">
        <v>2.0</v>
      </c>
      <c r="I171" s="7">
        <v>7.0</v>
      </c>
      <c r="J171" s="7">
        <v>3.5</v>
      </c>
      <c r="K171" s="7" t="s">
        <v>51</v>
      </c>
      <c r="L171" s="9" t="str">
        <f>VLOOKUP(K171, 'Alphabetical by species code'!A:B, 2, FALSE)</f>
        <v>Bareground</v>
      </c>
    </row>
    <row r="172">
      <c r="A172" s="7">
        <v>2.0</v>
      </c>
      <c r="B172" s="7">
        <v>2025.0</v>
      </c>
      <c r="C172" s="8">
        <v>45755.0</v>
      </c>
      <c r="D172" s="7" t="s">
        <v>45</v>
      </c>
      <c r="E172" s="7" t="s">
        <v>26</v>
      </c>
      <c r="F172" s="7">
        <v>1.0</v>
      </c>
      <c r="G172" s="7" t="s">
        <v>46</v>
      </c>
      <c r="H172" s="7">
        <v>2.0</v>
      </c>
      <c r="I172" s="7">
        <v>8.0</v>
      </c>
      <c r="J172" s="7">
        <v>4.0</v>
      </c>
      <c r="K172" s="7" t="s">
        <v>28</v>
      </c>
      <c r="L172" s="9" t="str">
        <f>VLOOKUP(K172, 'Alphabetical by species code'!A:B, 2, FALSE)</f>
        <v>Litter</v>
      </c>
    </row>
    <row r="173">
      <c r="A173" s="7">
        <v>2.0</v>
      </c>
      <c r="B173" s="7">
        <v>2025.0</v>
      </c>
      <c r="C173" s="8">
        <v>45755.0</v>
      </c>
      <c r="D173" s="7" t="s">
        <v>45</v>
      </c>
      <c r="E173" s="7" t="s">
        <v>26</v>
      </c>
      <c r="F173" s="7">
        <v>1.0</v>
      </c>
      <c r="G173" s="7" t="s">
        <v>46</v>
      </c>
      <c r="H173" s="7">
        <v>2.0</v>
      </c>
      <c r="I173" s="7">
        <v>8.0</v>
      </c>
      <c r="J173" s="7">
        <v>4.0</v>
      </c>
      <c r="K173" s="7" t="s">
        <v>37</v>
      </c>
      <c r="L173" s="9" t="str">
        <f>VLOOKUP(K173, 'Alphabetical by species code'!A:B, 2, FALSE)</f>
        <v>Sonchus oleraceus</v>
      </c>
    </row>
    <row r="174">
      <c r="A174" s="7">
        <v>2.0</v>
      </c>
      <c r="B174" s="7">
        <v>2025.0</v>
      </c>
      <c r="C174" s="8">
        <v>45755.0</v>
      </c>
      <c r="D174" s="7" t="s">
        <v>45</v>
      </c>
      <c r="E174" s="7" t="s">
        <v>26</v>
      </c>
      <c r="F174" s="7">
        <v>1.0</v>
      </c>
      <c r="G174" s="7" t="s">
        <v>46</v>
      </c>
      <c r="H174" s="7">
        <v>2.0</v>
      </c>
      <c r="I174" s="7">
        <v>8.0</v>
      </c>
      <c r="J174" s="7">
        <v>4.0</v>
      </c>
      <c r="K174" s="7" t="s">
        <v>34</v>
      </c>
      <c r="L174" s="9" t="str">
        <f>VLOOKUP(K174, 'Alphabetical by species code'!A:B, 2, FALSE)</f>
        <v>Erodium cicutarium</v>
      </c>
    </row>
    <row r="175">
      <c r="A175" s="7">
        <v>2.0</v>
      </c>
      <c r="B175" s="7">
        <v>2025.0</v>
      </c>
      <c r="C175" s="8">
        <v>45755.0</v>
      </c>
      <c r="D175" s="7" t="s">
        <v>45</v>
      </c>
      <c r="E175" s="7" t="s">
        <v>26</v>
      </c>
      <c r="F175" s="7">
        <v>1.0</v>
      </c>
      <c r="G175" s="7" t="s">
        <v>46</v>
      </c>
      <c r="H175" s="7">
        <v>2.0</v>
      </c>
      <c r="I175" s="7">
        <v>9.0</v>
      </c>
      <c r="J175" s="7">
        <v>4.5</v>
      </c>
      <c r="K175" s="7" t="s">
        <v>28</v>
      </c>
      <c r="L175" s="9" t="str">
        <f>VLOOKUP(K175, 'Alphabetical by species code'!A:B, 2, FALSE)</f>
        <v>Litter</v>
      </c>
    </row>
    <row r="176">
      <c r="A176" s="7">
        <v>2.0</v>
      </c>
      <c r="B176" s="7">
        <v>2025.0</v>
      </c>
      <c r="C176" s="8">
        <v>45755.0</v>
      </c>
      <c r="D176" s="7" t="s">
        <v>45</v>
      </c>
      <c r="E176" s="7" t="s">
        <v>26</v>
      </c>
      <c r="F176" s="7">
        <v>1.0</v>
      </c>
      <c r="G176" s="7" t="s">
        <v>46</v>
      </c>
      <c r="H176" s="7">
        <v>2.0</v>
      </c>
      <c r="I176" s="7">
        <v>9.0</v>
      </c>
      <c r="J176" s="7">
        <v>4.5</v>
      </c>
      <c r="K176" s="7" t="s">
        <v>35</v>
      </c>
      <c r="L176" s="9" t="str">
        <f>VLOOKUP(K176, 'Alphabetical by species code'!A:B, 2, FALSE)</f>
        <v>Deinandra fasciculata</v>
      </c>
    </row>
    <row r="177">
      <c r="A177" s="7">
        <v>2.0</v>
      </c>
      <c r="B177" s="7">
        <v>2025.0</v>
      </c>
      <c r="C177" s="8">
        <v>45755.0</v>
      </c>
      <c r="D177" s="7" t="s">
        <v>45</v>
      </c>
      <c r="E177" s="7" t="s">
        <v>26</v>
      </c>
      <c r="F177" s="7">
        <v>1.0</v>
      </c>
      <c r="G177" s="7" t="s">
        <v>46</v>
      </c>
      <c r="H177" s="7">
        <v>2.0</v>
      </c>
      <c r="I177" s="7">
        <v>9.0</v>
      </c>
      <c r="J177" s="7">
        <v>4.5</v>
      </c>
      <c r="K177" s="7" t="s">
        <v>37</v>
      </c>
      <c r="L177" s="9" t="str">
        <f>VLOOKUP(K177, 'Alphabetical by species code'!A:B, 2, FALSE)</f>
        <v>Sonchus oleraceus</v>
      </c>
    </row>
    <row r="178">
      <c r="A178" s="7">
        <v>2.0</v>
      </c>
      <c r="B178" s="7">
        <v>2025.0</v>
      </c>
      <c r="C178" s="8">
        <v>45755.0</v>
      </c>
      <c r="D178" s="7" t="s">
        <v>45</v>
      </c>
      <c r="E178" s="7" t="s">
        <v>26</v>
      </c>
      <c r="F178" s="7">
        <v>1.0</v>
      </c>
      <c r="G178" s="7" t="s">
        <v>46</v>
      </c>
      <c r="H178" s="7">
        <v>2.0</v>
      </c>
      <c r="I178" s="7">
        <v>10.0</v>
      </c>
      <c r="J178" s="7">
        <v>5.0</v>
      </c>
      <c r="K178" s="7" t="s">
        <v>28</v>
      </c>
      <c r="L178" s="9" t="str">
        <f>VLOOKUP(K178, 'Alphabetical by species code'!A:B, 2, FALSE)</f>
        <v>Litter</v>
      </c>
    </row>
    <row r="179">
      <c r="A179" s="7">
        <v>2.0</v>
      </c>
      <c r="B179" s="7">
        <v>2025.0</v>
      </c>
      <c r="C179" s="8">
        <v>45755.0</v>
      </c>
      <c r="D179" s="7" t="s">
        <v>45</v>
      </c>
      <c r="E179" s="7" t="s">
        <v>26</v>
      </c>
      <c r="F179" s="7">
        <v>1.0</v>
      </c>
      <c r="G179" s="7" t="s">
        <v>46</v>
      </c>
      <c r="H179" s="7">
        <v>2.0</v>
      </c>
      <c r="I179" s="7">
        <v>10.0</v>
      </c>
      <c r="J179" s="7">
        <v>5.0</v>
      </c>
      <c r="K179" s="7" t="s">
        <v>34</v>
      </c>
      <c r="L179" s="9" t="str">
        <f>VLOOKUP(K179, 'Alphabetical by species code'!A:B, 2, FALSE)</f>
        <v>Erodium cicutarium</v>
      </c>
    </row>
    <row r="180">
      <c r="A180" s="7">
        <v>2.0</v>
      </c>
      <c r="B180" s="7">
        <v>2025.0</v>
      </c>
      <c r="C180" s="8">
        <v>45755.0</v>
      </c>
      <c r="D180" s="7" t="s">
        <v>45</v>
      </c>
      <c r="E180" s="7" t="s">
        <v>26</v>
      </c>
      <c r="F180" s="7">
        <v>1.0</v>
      </c>
      <c r="G180" s="7" t="s">
        <v>46</v>
      </c>
      <c r="H180" s="7">
        <v>2.0</v>
      </c>
      <c r="I180" s="7">
        <v>10.0</v>
      </c>
      <c r="J180" s="7">
        <v>5.0</v>
      </c>
      <c r="K180" s="7" t="s">
        <v>42</v>
      </c>
      <c r="L180" s="9" t="str">
        <f>VLOOKUP(K180, 'Alphabetical by species code'!A:B, 2, FALSE)</f>
        <v>Centaurea melitensis</v>
      </c>
    </row>
    <row r="181">
      <c r="A181" s="7">
        <v>2.0</v>
      </c>
      <c r="B181" s="7">
        <v>2025.0</v>
      </c>
      <c r="C181" s="8">
        <v>45755.0</v>
      </c>
      <c r="D181" s="7" t="s">
        <v>45</v>
      </c>
      <c r="E181" s="7" t="s">
        <v>26</v>
      </c>
      <c r="F181" s="7">
        <v>1.0</v>
      </c>
      <c r="G181" s="7" t="s">
        <v>46</v>
      </c>
      <c r="H181" s="7">
        <v>2.0</v>
      </c>
      <c r="I181" s="7">
        <v>11.0</v>
      </c>
      <c r="J181" s="7">
        <v>5.5</v>
      </c>
      <c r="K181" s="7" t="s">
        <v>28</v>
      </c>
      <c r="L181" s="9" t="str">
        <f>VLOOKUP(K181, 'Alphabetical by species code'!A:B, 2, FALSE)</f>
        <v>Litter</v>
      </c>
    </row>
    <row r="182">
      <c r="A182" s="7">
        <v>2.0</v>
      </c>
      <c r="B182" s="7">
        <v>2025.0</v>
      </c>
      <c r="C182" s="8">
        <v>45755.0</v>
      </c>
      <c r="D182" s="7" t="s">
        <v>45</v>
      </c>
      <c r="E182" s="7" t="s">
        <v>26</v>
      </c>
      <c r="F182" s="7">
        <v>1.0</v>
      </c>
      <c r="G182" s="7" t="s">
        <v>46</v>
      </c>
      <c r="H182" s="7">
        <v>2.0</v>
      </c>
      <c r="I182" s="7">
        <v>11.0</v>
      </c>
      <c r="J182" s="7">
        <v>5.5</v>
      </c>
      <c r="K182" s="7" t="s">
        <v>34</v>
      </c>
      <c r="L182" s="9" t="str">
        <f>VLOOKUP(K182, 'Alphabetical by species code'!A:B, 2, FALSE)</f>
        <v>Erodium cicutarium</v>
      </c>
    </row>
    <row r="183">
      <c r="A183" s="7">
        <v>2.0</v>
      </c>
      <c r="B183" s="7">
        <v>2025.0</v>
      </c>
      <c r="C183" s="8">
        <v>45755.0</v>
      </c>
      <c r="D183" s="7" t="s">
        <v>45</v>
      </c>
      <c r="E183" s="7" t="s">
        <v>26</v>
      </c>
      <c r="F183" s="7">
        <v>1.0</v>
      </c>
      <c r="G183" s="7" t="s">
        <v>46</v>
      </c>
      <c r="H183" s="7">
        <v>2.0</v>
      </c>
      <c r="I183" s="7">
        <v>11.0</v>
      </c>
      <c r="J183" s="7">
        <v>5.5</v>
      </c>
      <c r="K183" s="7" t="s">
        <v>42</v>
      </c>
      <c r="L183" s="9" t="str">
        <f>VLOOKUP(K183, 'Alphabetical by species code'!A:B, 2, FALSE)</f>
        <v>Centaurea melitensis</v>
      </c>
    </row>
    <row r="184">
      <c r="A184" s="7">
        <v>2.0</v>
      </c>
      <c r="B184" s="7">
        <v>2025.0</v>
      </c>
      <c r="C184" s="8">
        <v>45755.0</v>
      </c>
      <c r="D184" s="7" t="s">
        <v>45</v>
      </c>
      <c r="E184" s="7" t="s">
        <v>26</v>
      </c>
      <c r="F184" s="7">
        <v>1.0</v>
      </c>
      <c r="G184" s="7" t="s">
        <v>46</v>
      </c>
      <c r="H184" s="7">
        <v>2.0</v>
      </c>
      <c r="I184" s="7">
        <v>12.0</v>
      </c>
      <c r="J184" s="7">
        <v>6.0</v>
      </c>
      <c r="K184" s="7" t="s">
        <v>28</v>
      </c>
      <c r="L184" s="9" t="str">
        <f>VLOOKUP(K184, 'Alphabetical by species code'!A:B, 2, FALSE)</f>
        <v>Litter</v>
      </c>
    </row>
    <row r="185">
      <c r="A185" s="7">
        <v>2.0</v>
      </c>
      <c r="B185" s="7">
        <v>2025.0</v>
      </c>
      <c r="C185" s="8">
        <v>45755.0</v>
      </c>
      <c r="D185" s="7" t="s">
        <v>45</v>
      </c>
      <c r="E185" s="7" t="s">
        <v>26</v>
      </c>
      <c r="F185" s="7">
        <v>1.0</v>
      </c>
      <c r="G185" s="7" t="s">
        <v>46</v>
      </c>
      <c r="H185" s="7">
        <v>2.0</v>
      </c>
      <c r="I185" s="7">
        <v>12.0</v>
      </c>
      <c r="J185" s="7">
        <v>6.0</v>
      </c>
      <c r="K185" s="7" t="s">
        <v>39</v>
      </c>
      <c r="L185" s="9" t="str">
        <f>VLOOKUP(K185, 'Alphabetical by species code'!A:B, 2, FALSE)</f>
        <v>Stephanomeria diegensis</v>
      </c>
    </row>
    <row r="186">
      <c r="A186" s="7">
        <v>2.0</v>
      </c>
      <c r="B186" s="7">
        <v>2025.0</v>
      </c>
      <c r="C186" s="8">
        <v>45755.0</v>
      </c>
      <c r="D186" s="7" t="s">
        <v>45</v>
      </c>
      <c r="E186" s="7" t="s">
        <v>26</v>
      </c>
      <c r="F186" s="7">
        <v>1.0</v>
      </c>
      <c r="G186" s="7" t="s">
        <v>46</v>
      </c>
      <c r="H186" s="7">
        <v>2.0</v>
      </c>
      <c r="I186" s="7">
        <v>12.0</v>
      </c>
      <c r="J186" s="7">
        <v>6.0</v>
      </c>
      <c r="K186" s="7" t="s">
        <v>30</v>
      </c>
      <c r="L186" s="9" t="str">
        <f>VLOOKUP(K186, 'Alphabetical by species code'!A:B, 2, FALSE)</f>
        <v>Erodium moschatum</v>
      </c>
    </row>
    <row r="187">
      <c r="A187" s="7">
        <v>2.0</v>
      </c>
      <c r="B187" s="7">
        <v>2025.0</v>
      </c>
      <c r="C187" s="8">
        <v>45755.0</v>
      </c>
      <c r="D187" s="7" t="s">
        <v>45</v>
      </c>
      <c r="E187" s="7" t="s">
        <v>26</v>
      </c>
      <c r="F187" s="7">
        <v>1.0</v>
      </c>
      <c r="G187" s="7" t="s">
        <v>46</v>
      </c>
      <c r="H187" s="7">
        <v>2.0</v>
      </c>
      <c r="I187" s="7">
        <v>13.0</v>
      </c>
      <c r="J187" s="7">
        <v>6.5</v>
      </c>
      <c r="K187" s="7" t="s">
        <v>28</v>
      </c>
      <c r="L187" s="9" t="str">
        <f>VLOOKUP(K187, 'Alphabetical by species code'!A:B, 2, FALSE)</f>
        <v>Litter</v>
      </c>
    </row>
    <row r="188">
      <c r="A188" s="7">
        <v>2.0</v>
      </c>
      <c r="B188" s="7">
        <v>2025.0</v>
      </c>
      <c r="C188" s="8">
        <v>45755.0</v>
      </c>
      <c r="D188" s="7" t="s">
        <v>45</v>
      </c>
      <c r="E188" s="7" t="s">
        <v>26</v>
      </c>
      <c r="F188" s="7">
        <v>1.0</v>
      </c>
      <c r="G188" s="7" t="s">
        <v>46</v>
      </c>
      <c r="H188" s="7">
        <v>2.0</v>
      </c>
      <c r="I188" s="7">
        <v>13.0</v>
      </c>
      <c r="J188" s="7">
        <v>6.5</v>
      </c>
      <c r="K188" s="7" t="s">
        <v>48</v>
      </c>
      <c r="L188" s="9" t="str">
        <f>VLOOKUP(K188, 'Alphabetical by species code'!A:B, 2, FALSE)</f>
        <v>Sonchus asper</v>
      </c>
    </row>
    <row r="189">
      <c r="A189" s="7">
        <v>2.0</v>
      </c>
      <c r="B189" s="7">
        <v>2025.0</v>
      </c>
      <c r="C189" s="8">
        <v>45755.0</v>
      </c>
      <c r="D189" s="7" t="s">
        <v>45</v>
      </c>
      <c r="E189" s="7" t="s">
        <v>26</v>
      </c>
      <c r="F189" s="7">
        <v>1.0</v>
      </c>
      <c r="G189" s="7" t="s">
        <v>46</v>
      </c>
      <c r="H189" s="7">
        <v>2.0</v>
      </c>
      <c r="I189" s="7">
        <v>13.0</v>
      </c>
      <c r="J189" s="7">
        <v>6.5</v>
      </c>
      <c r="K189" s="7" t="s">
        <v>39</v>
      </c>
      <c r="L189" s="9" t="str">
        <f>VLOOKUP(K189, 'Alphabetical by species code'!A:B, 2, FALSE)</f>
        <v>Stephanomeria diegensis</v>
      </c>
    </row>
    <row r="190">
      <c r="A190" s="7">
        <v>2.0</v>
      </c>
      <c r="B190" s="7">
        <v>2025.0</v>
      </c>
      <c r="C190" s="8">
        <v>45755.0</v>
      </c>
      <c r="D190" s="7" t="s">
        <v>45</v>
      </c>
      <c r="E190" s="7" t="s">
        <v>26</v>
      </c>
      <c r="F190" s="7">
        <v>1.0</v>
      </c>
      <c r="G190" s="7" t="s">
        <v>46</v>
      </c>
      <c r="H190" s="7">
        <v>2.0</v>
      </c>
      <c r="I190" s="7">
        <v>13.0</v>
      </c>
      <c r="J190" s="7">
        <v>6.5</v>
      </c>
      <c r="K190" s="7" t="s">
        <v>31</v>
      </c>
      <c r="L190" s="9" t="str">
        <f>VLOOKUP(K190, 'Alphabetical by species code'!A:B, 2, FALSE)</f>
        <v>Festuca myuros</v>
      </c>
    </row>
    <row r="191">
      <c r="A191" s="7">
        <v>2.0</v>
      </c>
      <c r="B191" s="7">
        <v>2025.0</v>
      </c>
      <c r="C191" s="8">
        <v>45755.0</v>
      </c>
      <c r="D191" s="7" t="s">
        <v>45</v>
      </c>
      <c r="E191" s="7" t="s">
        <v>26</v>
      </c>
      <c r="F191" s="7">
        <v>1.0</v>
      </c>
      <c r="G191" s="7" t="s">
        <v>46</v>
      </c>
      <c r="H191" s="7">
        <v>2.0</v>
      </c>
      <c r="I191" s="7">
        <v>14.0</v>
      </c>
      <c r="J191" s="7">
        <v>7.0</v>
      </c>
      <c r="K191" s="7" t="s">
        <v>52</v>
      </c>
      <c r="L191" s="9" t="str">
        <f>VLOOKUP(K191, 'Alphabetical by species code'!A:B, 2, FALSE)</f>
        <v>Rock</v>
      </c>
    </row>
    <row r="192">
      <c r="A192" s="7">
        <v>2.0</v>
      </c>
      <c r="B192" s="7">
        <v>2025.0</v>
      </c>
      <c r="C192" s="8">
        <v>45755.0</v>
      </c>
      <c r="D192" s="7" t="s">
        <v>45</v>
      </c>
      <c r="E192" s="7" t="s">
        <v>26</v>
      </c>
      <c r="F192" s="7">
        <v>1.0</v>
      </c>
      <c r="G192" s="7" t="s">
        <v>46</v>
      </c>
      <c r="H192" s="7">
        <v>2.0</v>
      </c>
      <c r="I192" s="7">
        <v>14.0</v>
      </c>
      <c r="J192" s="7">
        <v>7.0</v>
      </c>
      <c r="K192" s="7" t="s">
        <v>48</v>
      </c>
      <c r="L192" s="9" t="str">
        <f>VLOOKUP(K192, 'Alphabetical by species code'!A:B, 2, FALSE)</f>
        <v>Sonchus asper</v>
      </c>
    </row>
    <row r="193">
      <c r="A193" s="7">
        <v>2.0</v>
      </c>
      <c r="B193" s="7">
        <v>2025.0</v>
      </c>
      <c r="C193" s="8">
        <v>45755.0</v>
      </c>
      <c r="D193" s="7" t="s">
        <v>45</v>
      </c>
      <c r="E193" s="7" t="s">
        <v>26</v>
      </c>
      <c r="F193" s="7">
        <v>1.0</v>
      </c>
      <c r="G193" s="7" t="s">
        <v>46</v>
      </c>
      <c r="H193" s="7">
        <v>2.0</v>
      </c>
      <c r="I193" s="7">
        <v>14.0</v>
      </c>
      <c r="J193" s="7">
        <v>7.0</v>
      </c>
      <c r="K193" s="7" t="s">
        <v>36</v>
      </c>
      <c r="L193" s="9" t="str">
        <f>VLOOKUP(K193, 'Alphabetical by species code'!A:B, 2, FALSE)</f>
        <v>Bromus madritensis</v>
      </c>
    </row>
    <row r="194">
      <c r="A194" s="7">
        <v>2.0</v>
      </c>
      <c r="B194" s="7">
        <v>2025.0</v>
      </c>
      <c r="C194" s="8">
        <v>45755.0</v>
      </c>
      <c r="D194" s="7" t="s">
        <v>45</v>
      </c>
      <c r="E194" s="7" t="s">
        <v>26</v>
      </c>
      <c r="F194" s="7">
        <v>1.0</v>
      </c>
      <c r="G194" s="7" t="s">
        <v>46</v>
      </c>
      <c r="H194" s="7">
        <v>2.0</v>
      </c>
      <c r="I194" s="7">
        <v>14.0</v>
      </c>
      <c r="J194" s="7">
        <v>7.0</v>
      </c>
      <c r="K194" s="7" t="s">
        <v>30</v>
      </c>
      <c r="L194" s="9" t="str">
        <f>VLOOKUP(K194, 'Alphabetical by species code'!A:B, 2, FALSE)</f>
        <v>Erodium moschatum</v>
      </c>
    </row>
    <row r="195">
      <c r="A195" s="7">
        <v>2.0</v>
      </c>
      <c r="B195" s="7">
        <v>2025.0</v>
      </c>
      <c r="C195" s="8">
        <v>45755.0</v>
      </c>
      <c r="D195" s="7" t="s">
        <v>45</v>
      </c>
      <c r="E195" s="7" t="s">
        <v>26</v>
      </c>
      <c r="F195" s="7">
        <v>1.0</v>
      </c>
      <c r="G195" s="7" t="s">
        <v>46</v>
      </c>
      <c r="H195" s="7">
        <v>2.0</v>
      </c>
      <c r="I195" s="7">
        <v>15.0</v>
      </c>
      <c r="J195" s="7">
        <v>7.5</v>
      </c>
      <c r="K195" s="7" t="s">
        <v>28</v>
      </c>
      <c r="L195" s="9" t="str">
        <f>VLOOKUP(K195, 'Alphabetical by species code'!A:B, 2, FALSE)</f>
        <v>Litter</v>
      </c>
    </row>
    <row r="196">
      <c r="A196" s="7">
        <v>2.0</v>
      </c>
      <c r="B196" s="7">
        <v>2025.0</v>
      </c>
      <c r="C196" s="8">
        <v>45755.0</v>
      </c>
      <c r="D196" s="7" t="s">
        <v>45</v>
      </c>
      <c r="E196" s="7" t="s">
        <v>26</v>
      </c>
      <c r="F196" s="7">
        <v>1.0</v>
      </c>
      <c r="G196" s="7" t="s">
        <v>46</v>
      </c>
      <c r="H196" s="7">
        <v>2.0</v>
      </c>
      <c r="I196" s="7">
        <v>15.0</v>
      </c>
      <c r="J196" s="7">
        <v>7.5</v>
      </c>
      <c r="K196" s="7" t="s">
        <v>42</v>
      </c>
      <c r="L196" s="9" t="str">
        <f>VLOOKUP(K196, 'Alphabetical by species code'!A:B, 2, FALSE)</f>
        <v>Centaurea melitensis</v>
      </c>
    </row>
    <row r="197">
      <c r="A197" s="7">
        <v>2.0</v>
      </c>
      <c r="B197" s="7">
        <v>2025.0</v>
      </c>
      <c r="C197" s="8">
        <v>45755.0</v>
      </c>
      <c r="D197" s="7" t="s">
        <v>45</v>
      </c>
      <c r="E197" s="7" t="s">
        <v>26</v>
      </c>
      <c r="F197" s="7">
        <v>1.0</v>
      </c>
      <c r="G197" s="7" t="s">
        <v>46</v>
      </c>
      <c r="H197" s="7">
        <v>2.0</v>
      </c>
      <c r="I197" s="7">
        <v>15.0</v>
      </c>
      <c r="J197" s="7">
        <v>7.5</v>
      </c>
      <c r="K197" s="7" t="s">
        <v>35</v>
      </c>
      <c r="L197" s="9" t="str">
        <f>VLOOKUP(K197, 'Alphabetical by species code'!A:B, 2, FALSE)</f>
        <v>Deinandra fasciculata</v>
      </c>
    </row>
    <row r="198">
      <c r="A198" s="7">
        <v>2.0</v>
      </c>
      <c r="B198" s="7">
        <v>2025.0</v>
      </c>
      <c r="C198" s="8">
        <v>45755.0</v>
      </c>
      <c r="D198" s="7" t="s">
        <v>45</v>
      </c>
      <c r="E198" s="7" t="s">
        <v>26</v>
      </c>
      <c r="F198" s="7">
        <v>1.0</v>
      </c>
      <c r="G198" s="7" t="s">
        <v>46</v>
      </c>
      <c r="H198" s="7">
        <v>2.0</v>
      </c>
      <c r="I198" s="7">
        <v>15.0</v>
      </c>
      <c r="J198" s="7">
        <v>7.5</v>
      </c>
      <c r="K198" s="7" t="s">
        <v>53</v>
      </c>
      <c r="L198" s="9" t="str">
        <f>VLOOKUP(K198, 'Alphabetical by species code'!A:B, 2, FALSE)</f>
        <v>Erodium botrys</v>
      </c>
    </row>
    <row r="199">
      <c r="A199" s="7">
        <v>3.0</v>
      </c>
      <c r="B199" s="7">
        <v>2025.0</v>
      </c>
      <c r="C199" s="8">
        <v>45755.0</v>
      </c>
      <c r="D199" s="7" t="s">
        <v>54</v>
      </c>
      <c r="E199" s="7" t="s">
        <v>26</v>
      </c>
      <c r="F199" s="7">
        <v>3.0</v>
      </c>
      <c r="G199" s="7" t="s">
        <v>46</v>
      </c>
      <c r="H199" s="7">
        <v>1.0</v>
      </c>
      <c r="I199" s="7">
        <v>1.0</v>
      </c>
      <c r="J199" s="7">
        <v>0.0</v>
      </c>
      <c r="K199" s="7" t="s">
        <v>51</v>
      </c>
      <c r="L199" s="9" t="str">
        <f>VLOOKUP(K199, 'Alphabetical by species code'!A:B, 2, FALSE)</f>
        <v>Bareground</v>
      </c>
    </row>
    <row r="200">
      <c r="A200" s="7">
        <v>3.0</v>
      </c>
      <c r="B200" s="7">
        <v>2025.0</v>
      </c>
      <c r="C200" s="8">
        <v>45755.0</v>
      </c>
      <c r="D200" s="7" t="s">
        <v>54</v>
      </c>
      <c r="E200" s="7" t="s">
        <v>26</v>
      </c>
      <c r="F200" s="7">
        <v>3.0</v>
      </c>
      <c r="G200" s="7" t="s">
        <v>46</v>
      </c>
      <c r="H200" s="7">
        <v>1.0</v>
      </c>
      <c r="I200" s="7">
        <v>1.0</v>
      </c>
      <c r="J200" s="7">
        <v>0.0</v>
      </c>
      <c r="K200" s="7" t="s">
        <v>32</v>
      </c>
      <c r="L200" s="9" t="str">
        <f>VLOOKUP(K200, 'Alphabetical by species code'!A:B, 2, FALSE)</f>
        <v>Medicago polymorpha</v>
      </c>
    </row>
    <row r="201">
      <c r="A201" s="7">
        <v>3.0</v>
      </c>
      <c r="B201" s="7">
        <v>2025.0</v>
      </c>
      <c r="C201" s="8">
        <v>45755.0</v>
      </c>
      <c r="D201" s="7" t="s">
        <v>54</v>
      </c>
      <c r="E201" s="7" t="s">
        <v>26</v>
      </c>
      <c r="F201" s="7">
        <v>3.0</v>
      </c>
      <c r="G201" s="7" t="s">
        <v>46</v>
      </c>
      <c r="H201" s="7">
        <v>1.0</v>
      </c>
      <c r="I201" s="7">
        <v>1.0</v>
      </c>
      <c r="J201" s="7">
        <v>0.0</v>
      </c>
      <c r="K201" s="7" t="s">
        <v>42</v>
      </c>
      <c r="L201" s="9" t="str">
        <f>VLOOKUP(K201, 'Alphabetical by species code'!A:B, 2, FALSE)</f>
        <v>Centaurea melitensis</v>
      </c>
    </row>
    <row r="202">
      <c r="A202" s="7">
        <v>3.0</v>
      </c>
      <c r="B202" s="7">
        <v>2025.0</v>
      </c>
      <c r="C202" s="8">
        <v>45755.0</v>
      </c>
      <c r="D202" s="7" t="s">
        <v>54</v>
      </c>
      <c r="E202" s="7" t="s">
        <v>26</v>
      </c>
      <c r="F202" s="7">
        <v>3.0</v>
      </c>
      <c r="G202" s="7" t="s">
        <v>46</v>
      </c>
      <c r="H202" s="7">
        <v>1.0</v>
      </c>
      <c r="I202" s="7">
        <v>2.0</v>
      </c>
      <c r="J202" s="7">
        <v>0.5</v>
      </c>
      <c r="K202" s="7" t="s">
        <v>28</v>
      </c>
      <c r="L202" s="9" t="str">
        <f>VLOOKUP(K202, 'Alphabetical by species code'!A:B, 2, FALSE)</f>
        <v>Litter</v>
      </c>
    </row>
    <row r="203">
      <c r="A203" s="7">
        <v>3.0</v>
      </c>
      <c r="B203" s="7">
        <v>2025.0</v>
      </c>
      <c r="C203" s="8">
        <v>45755.0</v>
      </c>
      <c r="D203" s="7" t="s">
        <v>54</v>
      </c>
      <c r="E203" s="7" t="s">
        <v>26</v>
      </c>
      <c r="F203" s="7">
        <v>3.0</v>
      </c>
      <c r="G203" s="7" t="s">
        <v>46</v>
      </c>
      <c r="H203" s="7">
        <v>1.0</v>
      </c>
      <c r="I203" s="7">
        <v>2.0</v>
      </c>
      <c r="J203" s="7">
        <v>0.5</v>
      </c>
      <c r="K203" s="7" t="s">
        <v>29</v>
      </c>
      <c r="L203" s="9" t="str">
        <f>VLOOKUP(K203, 'Alphabetical by species code'!A:B, 2, FALSE)</f>
        <v>Opuntia littoralis</v>
      </c>
    </row>
    <row r="204">
      <c r="A204" s="7">
        <v>3.0</v>
      </c>
      <c r="B204" s="7">
        <v>2025.0</v>
      </c>
      <c r="C204" s="8">
        <v>45755.0</v>
      </c>
      <c r="D204" s="7" t="s">
        <v>54</v>
      </c>
      <c r="E204" s="7" t="s">
        <v>26</v>
      </c>
      <c r="F204" s="7">
        <v>3.0</v>
      </c>
      <c r="G204" s="7" t="s">
        <v>46</v>
      </c>
      <c r="H204" s="7">
        <v>1.0</v>
      </c>
      <c r="I204" s="7">
        <v>2.0</v>
      </c>
      <c r="J204" s="7">
        <v>0.5</v>
      </c>
      <c r="K204" s="7" t="s">
        <v>31</v>
      </c>
      <c r="L204" s="9" t="str">
        <f>VLOOKUP(K204, 'Alphabetical by species code'!A:B, 2, FALSE)</f>
        <v>Festuca myuros</v>
      </c>
    </row>
    <row r="205">
      <c r="A205" s="7">
        <v>3.0</v>
      </c>
      <c r="B205" s="7">
        <v>2025.0</v>
      </c>
      <c r="C205" s="8">
        <v>45755.0</v>
      </c>
      <c r="D205" s="7" t="s">
        <v>54</v>
      </c>
      <c r="E205" s="7" t="s">
        <v>26</v>
      </c>
      <c r="F205" s="7">
        <v>3.0</v>
      </c>
      <c r="G205" s="7" t="s">
        <v>46</v>
      </c>
      <c r="H205" s="7">
        <v>1.0</v>
      </c>
      <c r="I205" s="7">
        <v>2.0</v>
      </c>
      <c r="J205" s="7">
        <v>0.5</v>
      </c>
      <c r="K205" s="7" t="s">
        <v>32</v>
      </c>
      <c r="L205" s="9" t="str">
        <f>VLOOKUP(K205, 'Alphabetical by species code'!A:B, 2, FALSE)</f>
        <v>Medicago polymorpha</v>
      </c>
    </row>
    <row r="206">
      <c r="A206" s="7">
        <v>3.0</v>
      </c>
      <c r="B206" s="7">
        <v>2025.0</v>
      </c>
      <c r="C206" s="8">
        <v>45755.0</v>
      </c>
      <c r="D206" s="7" t="s">
        <v>54</v>
      </c>
      <c r="E206" s="7" t="s">
        <v>26</v>
      </c>
      <c r="F206" s="7">
        <v>3.0</v>
      </c>
      <c r="G206" s="7" t="s">
        <v>46</v>
      </c>
      <c r="H206" s="7">
        <v>1.0</v>
      </c>
      <c r="I206" s="7">
        <v>3.0</v>
      </c>
      <c r="J206" s="7">
        <v>1.0</v>
      </c>
      <c r="K206" s="7" t="s">
        <v>51</v>
      </c>
      <c r="L206" s="9" t="str">
        <f>VLOOKUP(K206, 'Alphabetical by species code'!A:B, 2, FALSE)</f>
        <v>Bareground</v>
      </c>
    </row>
    <row r="207">
      <c r="A207" s="7">
        <v>3.0</v>
      </c>
      <c r="B207" s="7">
        <v>2025.0</v>
      </c>
      <c r="C207" s="8">
        <v>45755.0</v>
      </c>
      <c r="D207" s="7" t="s">
        <v>54</v>
      </c>
      <c r="E207" s="7" t="s">
        <v>26</v>
      </c>
      <c r="F207" s="7">
        <v>3.0</v>
      </c>
      <c r="G207" s="7" t="s">
        <v>46</v>
      </c>
      <c r="H207" s="7">
        <v>1.0</v>
      </c>
      <c r="I207" s="7">
        <v>3.0</v>
      </c>
      <c r="J207" s="7">
        <v>1.0</v>
      </c>
      <c r="K207" s="7" t="s">
        <v>31</v>
      </c>
      <c r="L207" s="9" t="str">
        <f>VLOOKUP(K207, 'Alphabetical by species code'!A:B, 2, FALSE)</f>
        <v>Festuca myuros</v>
      </c>
    </row>
    <row r="208">
      <c r="A208" s="7">
        <v>3.0</v>
      </c>
      <c r="B208" s="7">
        <v>2025.0</v>
      </c>
      <c r="C208" s="8">
        <v>45755.0</v>
      </c>
      <c r="D208" s="7" t="s">
        <v>54</v>
      </c>
      <c r="E208" s="7" t="s">
        <v>26</v>
      </c>
      <c r="F208" s="7">
        <v>3.0</v>
      </c>
      <c r="G208" s="7" t="s">
        <v>46</v>
      </c>
      <c r="H208" s="7">
        <v>1.0</v>
      </c>
      <c r="I208" s="7">
        <v>3.0</v>
      </c>
      <c r="J208" s="7">
        <v>1.0</v>
      </c>
      <c r="K208" s="7" t="s">
        <v>55</v>
      </c>
      <c r="L208" s="9" t="str">
        <f>VLOOKUP(K208, 'Alphabetical by species code'!A:B, 2, FALSE)</f>
        <v>Daucus pusillus</v>
      </c>
    </row>
    <row r="209">
      <c r="A209" s="7">
        <v>3.0</v>
      </c>
      <c r="B209" s="7">
        <v>2025.0</v>
      </c>
      <c r="C209" s="8">
        <v>45755.0</v>
      </c>
      <c r="D209" s="7" t="s">
        <v>54</v>
      </c>
      <c r="E209" s="7" t="s">
        <v>26</v>
      </c>
      <c r="F209" s="7">
        <v>3.0</v>
      </c>
      <c r="G209" s="7" t="s">
        <v>46</v>
      </c>
      <c r="H209" s="7">
        <v>1.0</v>
      </c>
      <c r="I209" s="7">
        <v>3.0</v>
      </c>
      <c r="J209" s="7">
        <v>1.0</v>
      </c>
      <c r="K209" s="7" t="s">
        <v>35</v>
      </c>
      <c r="L209" s="9" t="str">
        <f>VLOOKUP(K209, 'Alphabetical by species code'!A:B, 2, FALSE)</f>
        <v>Deinandra fasciculata</v>
      </c>
    </row>
    <row r="210">
      <c r="A210" s="7">
        <v>3.0</v>
      </c>
      <c r="B210" s="7">
        <v>2025.0</v>
      </c>
      <c r="C210" s="8">
        <v>45755.0</v>
      </c>
      <c r="D210" s="7" t="s">
        <v>54</v>
      </c>
      <c r="E210" s="7" t="s">
        <v>26</v>
      </c>
      <c r="F210" s="7">
        <v>3.0</v>
      </c>
      <c r="G210" s="7" t="s">
        <v>46</v>
      </c>
      <c r="H210" s="7">
        <v>1.0</v>
      </c>
      <c r="I210" s="7">
        <v>3.0</v>
      </c>
      <c r="J210" s="7">
        <v>1.0</v>
      </c>
      <c r="K210" s="7" t="s">
        <v>56</v>
      </c>
      <c r="L210" s="9" t="str">
        <f>VLOOKUP(K210, 'Alphabetical by species code'!A:B, 2, FALSE)</f>
        <v>Grindelia camporum</v>
      </c>
    </row>
    <row r="211">
      <c r="A211" s="7">
        <v>3.0</v>
      </c>
      <c r="B211" s="7">
        <v>2025.0</v>
      </c>
      <c r="C211" s="8">
        <v>45755.0</v>
      </c>
      <c r="D211" s="7" t="s">
        <v>54</v>
      </c>
      <c r="E211" s="7" t="s">
        <v>26</v>
      </c>
      <c r="F211" s="7">
        <v>3.0</v>
      </c>
      <c r="G211" s="7" t="s">
        <v>46</v>
      </c>
      <c r="H211" s="7">
        <v>1.0</v>
      </c>
      <c r="I211" s="7">
        <v>4.0</v>
      </c>
      <c r="J211" s="7">
        <v>1.5</v>
      </c>
      <c r="K211" s="7" t="s">
        <v>28</v>
      </c>
      <c r="L211" s="9" t="str">
        <f>VLOOKUP(K211, 'Alphabetical by species code'!A:B, 2, FALSE)</f>
        <v>Litter</v>
      </c>
    </row>
    <row r="212">
      <c r="A212" s="7">
        <v>3.0</v>
      </c>
      <c r="B212" s="7">
        <v>2025.0</v>
      </c>
      <c r="C212" s="8">
        <v>45755.0</v>
      </c>
      <c r="D212" s="7" t="s">
        <v>54</v>
      </c>
      <c r="E212" s="7" t="s">
        <v>26</v>
      </c>
      <c r="F212" s="7">
        <v>3.0</v>
      </c>
      <c r="G212" s="7" t="s">
        <v>46</v>
      </c>
      <c r="H212" s="7">
        <v>1.0</v>
      </c>
      <c r="I212" s="7">
        <v>4.0</v>
      </c>
      <c r="J212" s="7">
        <v>1.5</v>
      </c>
      <c r="K212" s="7" t="s">
        <v>34</v>
      </c>
      <c r="L212" s="9" t="str">
        <f>VLOOKUP(K212, 'Alphabetical by species code'!A:B, 2, FALSE)</f>
        <v>Erodium cicutarium</v>
      </c>
    </row>
    <row r="213">
      <c r="A213" s="7">
        <v>3.0</v>
      </c>
      <c r="B213" s="7">
        <v>2025.0</v>
      </c>
      <c r="C213" s="8">
        <v>45755.0</v>
      </c>
      <c r="D213" s="7" t="s">
        <v>54</v>
      </c>
      <c r="E213" s="7" t="s">
        <v>26</v>
      </c>
      <c r="F213" s="7">
        <v>3.0</v>
      </c>
      <c r="G213" s="7" t="s">
        <v>46</v>
      </c>
      <c r="H213" s="7">
        <v>1.0</v>
      </c>
      <c r="I213" s="7">
        <v>4.0</v>
      </c>
      <c r="J213" s="7">
        <v>1.5</v>
      </c>
      <c r="K213" s="7" t="s">
        <v>31</v>
      </c>
      <c r="L213" s="9" t="str">
        <f>VLOOKUP(K213, 'Alphabetical by species code'!A:B, 2, FALSE)</f>
        <v>Festuca myuros</v>
      </c>
    </row>
    <row r="214">
      <c r="A214" s="7">
        <v>3.0</v>
      </c>
      <c r="B214" s="7">
        <v>2025.0</v>
      </c>
      <c r="C214" s="8">
        <v>45755.0</v>
      </c>
      <c r="D214" s="7" t="s">
        <v>54</v>
      </c>
      <c r="E214" s="7" t="s">
        <v>26</v>
      </c>
      <c r="F214" s="7">
        <v>3.0</v>
      </c>
      <c r="G214" s="7" t="s">
        <v>46</v>
      </c>
      <c r="H214" s="7">
        <v>1.0</v>
      </c>
      <c r="I214" s="7">
        <v>5.0</v>
      </c>
      <c r="J214" s="7">
        <v>2.0</v>
      </c>
      <c r="K214" s="7" t="s">
        <v>28</v>
      </c>
      <c r="L214" s="9" t="str">
        <f>VLOOKUP(K214, 'Alphabetical by species code'!A:B, 2, FALSE)</f>
        <v>Litter</v>
      </c>
    </row>
    <row r="215">
      <c r="A215" s="7">
        <v>3.0</v>
      </c>
      <c r="B215" s="7">
        <v>2025.0</v>
      </c>
      <c r="C215" s="8">
        <v>45755.0</v>
      </c>
      <c r="D215" s="7" t="s">
        <v>54</v>
      </c>
      <c r="E215" s="7" t="s">
        <v>26</v>
      </c>
      <c r="F215" s="7">
        <v>3.0</v>
      </c>
      <c r="G215" s="7" t="s">
        <v>46</v>
      </c>
      <c r="H215" s="7">
        <v>1.0</v>
      </c>
      <c r="I215" s="7">
        <v>5.0</v>
      </c>
      <c r="J215" s="7">
        <v>2.0</v>
      </c>
      <c r="K215" s="7" t="s">
        <v>37</v>
      </c>
      <c r="L215" s="9" t="str">
        <f>VLOOKUP(K215, 'Alphabetical by species code'!A:B, 2, FALSE)</f>
        <v>Sonchus oleraceus</v>
      </c>
    </row>
    <row r="216">
      <c r="A216" s="7">
        <v>3.0</v>
      </c>
      <c r="B216" s="7">
        <v>2025.0</v>
      </c>
      <c r="C216" s="8">
        <v>45755.0</v>
      </c>
      <c r="D216" s="7" t="s">
        <v>54</v>
      </c>
      <c r="E216" s="7" t="s">
        <v>26</v>
      </c>
      <c r="F216" s="7">
        <v>3.0</v>
      </c>
      <c r="G216" s="7" t="s">
        <v>46</v>
      </c>
      <c r="H216" s="7">
        <v>1.0</v>
      </c>
      <c r="I216" s="7">
        <v>5.0</v>
      </c>
      <c r="J216" s="7">
        <v>2.0</v>
      </c>
      <c r="K216" s="7" t="s">
        <v>32</v>
      </c>
      <c r="L216" s="9" t="str">
        <f>VLOOKUP(K216, 'Alphabetical by species code'!A:B, 2, FALSE)</f>
        <v>Medicago polymorpha</v>
      </c>
    </row>
    <row r="217">
      <c r="A217" s="7">
        <v>3.0</v>
      </c>
      <c r="B217" s="7">
        <v>2025.0</v>
      </c>
      <c r="C217" s="8">
        <v>45755.0</v>
      </c>
      <c r="D217" s="7" t="s">
        <v>54</v>
      </c>
      <c r="E217" s="7" t="s">
        <v>26</v>
      </c>
      <c r="F217" s="7">
        <v>3.0</v>
      </c>
      <c r="G217" s="7" t="s">
        <v>46</v>
      </c>
      <c r="H217" s="7">
        <v>1.0</v>
      </c>
      <c r="I217" s="7">
        <v>5.0</v>
      </c>
      <c r="J217" s="7">
        <v>2.0</v>
      </c>
      <c r="K217" s="7" t="s">
        <v>55</v>
      </c>
      <c r="L217" s="9" t="str">
        <f>VLOOKUP(K217, 'Alphabetical by species code'!A:B, 2, FALSE)</f>
        <v>Daucus pusillus</v>
      </c>
    </row>
    <row r="218">
      <c r="A218" s="7">
        <v>3.0</v>
      </c>
      <c r="B218" s="7">
        <v>2025.0</v>
      </c>
      <c r="C218" s="8">
        <v>45755.0</v>
      </c>
      <c r="D218" s="7" t="s">
        <v>54</v>
      </c>
      <c r="E218" s="7" t="s">
        <v>26</v>
      </c>
      <c r="F218" s="7">
        <v>3.0</v>
      </c>
      <c r="G218" s="7" t="s">
        <v>46</v>
      </c>
      <c r="H218" s="7">
        <v>1.0</v>
      </c>
      <c r="I218" s="7">
        <v>6.0</v>
      </c>
      <c r="J218" s="7">
        <v>2.5</v>
      </c>
      <c r="K218" s="7" t="s">
        <v>51</v>
      </c>
      <c r="L218" s="9" t="str">
        <f>VLOOKUP(K218, 'Alphabetical by species code'!A:B, 2, FALSE)</f>
        <v>Bareground</v>
      </c>
    </row>
    <row r="219">
      <c r="A219" s="7">
        <v>3.0</v>
      </c>
      <c r="B219" s="7">
        <v>2025.0</v>
      </c>
      <c r="C219" s="8">
        <v>45755.0</v>
      </c>
      <c r="D219" s="7" t="s">
        <v>54</v>
      </c>
      <c r="E219" s="7" t="s">
        <v>26</v>
      </c>
      <c r="F219" s="7">
        <v>3.0</v>
      </c>
      <c r="G219" s="7" t="s">
        <v>46</v>
      </c>
      <c r="H219" s="7">
        <v>1.0</v>
      </c>
      <c r="I219" s="7">
        <v>6.0</v>
      </c>
      <c r="J219" s="7">
        <v>2.5</v>
      </c>
      <c r="K219" s="7" t="s">
        <v>29</v>
      </c>
      <c r="L219" s="9" t="str">
        <f>VLOOKUP(K219, 'Alphabetical by species code'!A:B, 2, FALSE)</f>
        <v>Opuntia littoralis</v>
      </c>
    </row>
    <row r="220">
      <c r="A220" s="7">
        <v>3.0</v>
      </c>
      <c r="B220" s="7">
        <v>2025.0</v>
      </c>
      <c r="C220" s="8">
        <v>45755.0</v>
      </c>
      <c r="D220" s="7" t="s">
        <v>54</v>
      </c>
      <c r="E220" s="7" t="s">
        <v>26</v>
      </c>
      <c r="F220" s="7">
        <v>3.0</v>
      </c>
      <c r="G220" s="7" t="s">
        <v>46</v>
      </c>
      <c r="H220" s="7">
        <v>1.0</v>
      </c>
      <c r="I220" s="7">
        <v>6.0</v>
      </c>
      <c r="J220" s="7">
        <v>2.5</v>
      </c>
      <c r="K220" s="7" t="s">
        <v>55</v>
      </c>
      <c r="L220" s="9" t="str">
        <f>VLOOKUP(K220, 'Alphabetical by species code'!A:B, 2, FALSE)</f>
        <v>Daucus pusillus</v>
      </c>
    </row>
    <row r="221">
      <c r="A221" s="7">
        <v>3.0</v>
      </c>
      <c r="B221" s="7">
        <v>2025.0</v>
      </c>
      <c r="C221" s="8">
        <v>45755.0</v>
      </c>
      <c r="D221" s="7" t="s">
        <v>54</v>
      </c>
      <c r="E221" s="7" t="s">
        <v>26</v>
      </c>
      <c r="F221" s="7">
        <v>3.0</v>
      </c>
      <c r="G221" s="7" t="s">
        <v>46</v>
      </c>
      <c r="H221" s="7">
        <v>1.0</v>
      </c>
      <c r="I221" s="7">
        <v>6.0</v>
      </c>
      <c r="J221" s="7">
        <v>2.5</v>
      </c>
      <c r="K221" s="7" t="s">
        <v>31</v>
      </c>
      <c r="L221" s="9" t="str">
        <f>VLOOKUP(K221, 'Alphabetical by species code'!A:B, 2, FALSE)</f>
        <v>Festuca myuros</v>
      </c>
    </row>
    <row r="222">
      <c r="A222" s="7">
        <v>3.0</v>
      </c>
      <c r="B222" s="7">
        <v>2025.0</v>
      </c>
      <c r="C222" s="8">
        <v>45755.0</v>
      </c>
      <c r="D222" s="7" t="s">
        <v>54</v>
      </c>
      <c r="E222" s="7" t="s">
        <v>26</v>
      </c>
      <c r="F222" s="7">
        <v>3.0</v>
      </c>
      <c r="G222" s="7" t="s">
        <v>46</v>
      </c>
      <c r="H222" s="7">
        <v>1.0</v>
      </c>
      <c r="I222" s="7">
        <v>6.0</v>
      </c>
      <c r="J222" s="7">
        <v>2.5</v>
      </c>
      <c r="K222" s="7" t="s">
        <v>37</v>
      </c>
      <c r="L222" s="9" t="str">
        <f>VLOOKUP(K222, 'Alphabetical by species code'!A:B, 2, FALSE)</f>
        <v>Sonchus oleraceus</v>
      </c>
    </row>
    <row r="223">
      <c r="A223" s="7">
        <v>3.0</v>
      </c>
      <c r="B223" s="7">
        <v>2025.0</v>
      </c>
      <c r="C223" s="8">
        <v>45755.0</v>
      </c>
      <c r="D223" s="7" t="s">
        <v>54</v>
      </c>
      <c r="E223" s="7" t="s">
        <v>26</v>
      </c>
      <c r="F223" s="7">
        <v>3.0</v>
      </c>
      <c r="G223" s="7" t="s">
        <v>46</v>
      </c>
      <c r="H223" s="7">
        <v>1.0</v>
      </c>
      <c r="I223" s="7">
        <v>7.0</v>
      </c>
      <c r="J223" s="7">
        <v>3.0</v>
      </c>
      <c r="K223" s="7" t="s">
        <v>51</v>
      </c>
      <c r="L223" s="9" t="str">
        <f>VLOOKUP(K223, 'Alphabetical by species code'!A:B, 2, FALSE)</f>
        <v>Bareground</v>
      </c>
    </row>
    <row r="224">
      <c r="A224" s="7">
        <v>3.0</v>
      </c>
      <c r="B224" s="7">
        <v>2025.0</v>
      </c>
      <c r="C224" s="8">
        <v>45755.0</v>
      </c>
      <c r="D224" s="7" t="s">
        <v>54</v>
      </c>
      <c r="E224" s="7" t="s">
        <v>26</v>
      </c>
      <c r="F224" s="7">
        <v>3.0</v>
      </c>
      <c r="G224" s="7" t="s">
        <v>46</v>
      </c>
      <c r="H224" s="7">
        <v>1.0</v>
      </c>
      <c r="I224" s="7">
        <v>7.0</v>
      </c>
      <c r="J224" s="7">
        <v>3.0</v>
      </c>
      <c r="K224" s="7" t="s">
        <v>36</v>
      </c>
      <c r="L224" s="9" t="str">
        <f>VLOOKUP(K224, 'Alphabetical by species code'!A:B, 2, FALSE)</f>
        <v>Bromus madritensis</v>
      </c>
    </row>
    <row r="225">
      <c r="A225" s="7">
        <v>3.0</v>
      </c>
      <c r="B225" s="7">
        <v>2025.0</v>
      </c>
      <c r="C225" s="8">
        <v>45755.0</v>
      </c>
      <c r="D225" s="7" t="s">
        <v>54</v>
      </c>
      <c r="E225" s="7" t="s">
        <v>26</v>
      </c>
      <c r="F225" s="7">
        <v>3.0</v>
      </c>
      <c r="G225" s="7" t="s">
        <v>46</v>
      </c>
      <c r="H225" s="7">
        <v>1.0</v>
      </c>
      <c r="I225" s="7">
        <v>7.0</v>
      </c>
      <c r="J225" s="7">
        <v>3.0</v>
      </c>
      <c r="K225" s="7" t="s">
        <v>55</v>
      </c>
      <c r="L225" s="9" t="str">
        <f>VLOOKUP(K225, 'Alphabetical by species code'!A:B, 2, FALSE)</f>
        <v>Daucus pusillus</v>
      </c>
    </row>
    <row r="226">
      <c r="A226" s="7">
        <v>3.0</v>
      </c>
      <c r="B226" s="7">
        <v>2025.0</v>
      </c>
      <c r="C226" s="8">
        <v>45755.0</v>
      </c>
      <c r="D226" s="7" t="s">
        <v>54</v>
      </c>
      <c r="E226" s="7" t="s">
        <v>26</v>
      </c>
      <c r="F226" s="7">
        <v>3.0</v>
      </c>
      <c r="G226" s="7" t="s">
        <v>46</v>
      </c>
      <c r="H226" s="7">
        <v>1.0</v>
      </c>
      <c r="I226" s="7">
        <v>7.0</v>
      </c>
      <c r="J226" s="7">
        <v>3.0</v>
      </c>
      <c r="K226" s="7" t="s">
        <v>31</v>
      </c>
      <c r="L226" s="9" t="str">
        <f>VLOOKUP(K226, 'Alphabetical by species code'!A:B, 2, FALSE)</f>
        <v>Festuca myuros</v>
      </c>
    </row>
    <row r="227">
      <c r="A227" s="7">
        <v>3.0</v>
      </c>
      <c r="B227" s="7">
        <v>2025.0</v>
      </c>
      <c r="C227" s="8">
        <v>45755.0</v>
      </c>
      <c r="D227" s="7" t="s">
        <v>54</v>
      </c>
      <c r="E227" s="7" t="s">
        <v>26</v>
      </c>
      <c r="F227" s="7">
        <v>3.0</v>
      </c>
      <c r="G227" s="7" t="s">
        <v>46</v>
      </c>
      <c r="H227" s="7">
        <v>1.0</v>
      </c>
      <c r="I227" s="7">
        <v>7.0</v>
      </c>
      <c r="J227" s="7">
        <v>3.0</v>
      </c>
      <c r="K227" s="7" t="s">
        <v>35</v>
      </c>
      <c r="L227" s="9" t="str">
        <f>VLOOKUP(K227, 'Alphabetical by species code'!A:B, 2, FALSE)</f>
        <v>Deinandra fasciculata</v>
      </c>
    </row>
    <row r="228">
      <c r="A228" s="7">
        <v>3.0</v>
      </c>
      <c r="B228" s="7">
        <v>2025.0</v>
      </c>
      <c r="C228" s="8">
        <v>45755.0</v>
      </c>
      <c r="D228" s="7" t="s">
        <v>54</v>
      </c>
      <c r="E228" s="7" t="s">
        <v>26</v>
      </c>
      <c r="F228" s="7">
        <v>3.0</v>
      </c>
      <c r="G228" s="7" t="s">
        <v>46</v>
      </c>
      <c r="H228" s="7">
        <v>1.0</v>
      </c>
      <c r="I228" s="7">
        <v>8.0</v>
      </c>
      <c r="J228" s="7">
        <v>3.5</v>
      </c>
      <c r="K228" s="7" t="s">
        <v>51</v>
      </c>
      <c r="L228" s="9" t="str">
        <f>VLOOKUP(K228, 'Alphabetical by species code'!A:B, 2, FALSE)</f>
        <v>Bareground</v>
      </c>
    </row>
    <row r="229">
      <c r="A229" s="7">
        <v>3.0</v>
      </c>
      <c r="B229" s="7">
        <v>2025.0</v>
      </c>
      <c r="C229" s="8">
        <v>45755.0</v>
      </c>
      <c r="D229" s="7" t="s">
        <v>54</v>
      </c>
      <c r="E229" s="7" t="s">
        <v>26</v>
      </c>
      <c r="F229" s="7">
        <v>3.0</v>
      </c>
      <c r="G229" s="7" t="s">
        <v>46</v>
      </c>
      <c r="H229" s="7">
        <v>1.0</v>
      </c>
      <c r="I229" s="7">
        <v>8.0</v>
      </c>
      <c r="J229" s="7">
        <v>3.5</v>
      </c>
      <c r="K229" s="7" t="s">
        <v>55</v>
      </c>
      <c r="L229" s="9" t="str">
        <f>VLOOKUP(K229, 'Alphabetical by species code'!A:B, 2, FALSE)</f>
        <v>Daucus pusillus</v>
      </c>
    </row>
    <row r="230">
      <c r="A230" s="7">
        <v>3.0</v>
      </c>
      <c r="B230" s="7">
        <v>2025.0</v>
      </c>
      <c r="C230" s="8">
        <v>45755.0</v>
      </c>
      <c r="D230" s="7" t="s">
        <v>54</v>
      </c>
      <c r="E230" s="7" t="s">
        <v>26</v>
      </c>
      <c r="F230" s="7">
        <v>3.0</v>
      </c>
      <c r="G230" s="7" t="s">
        <v>46</v>
      </c>
      <c r="H230" s="7">
        <v>1.0</v>
      </c>
      <c r="I230" s="7">
        <v>8.0</v>
      </c>
      <c r="J230" s="7">
        <v>3.5</v>
      </c>
      <c r="K230" s="7" t="s">
        <v>31</v>
      </c>
      <c r="L230" s="9" t="str">
        <f>VLOOKUP(K230, 'Alphabetical by species code'!A:B, 2, FALSE)</f>
        <v>Festuca myuros</v>
      </c>
    </row>
    <row r="231">
      <c r="A231" s="7">
        <v>3.0</v>
      </c>
      <c r="B231" s="7">
        <v>2025.0</v>
      </c>
      <c r="C231" s="8">
        <v>45755.0</v>
      </c>
      <c r="D231" s="7" t="s">
        <v>54</v>
      </c>
      <c r="E231" s="7" t="s">
        <v>26</v>
      </c>
      <c r="F231" s="7">
        <v>3.0</v>
      </c>
      <c r="G231" s="7" t="s">
        <v>46</v>
      </c>
      <c r="H231" s="7">
        <v>1.0</v>
      </c>
      <c r="I231" s="7">
        <v>9.0</v>
      </c>
      <c r="J231" s="7">
        <v>4.0</v>
      </c>
      <c r="K231" s="7" t="s">
        <v>51</v>
      </c>
      <c r="L231" s="9" t="str">
        <f>VLOOKUP(K231, 'Alphabetical by species code'!A:B, 2, FALSE)</f>
        <v>Bareground</v>
      </c>
    </row>
    <row r="232">
      <c r="A232" s="7">
        <v>3.0</v>
      </c>
      <c r="B232" s="7">
        <v>2025.0</v>
      </c>
      <c r="C232" s="8">
        <v>45755.0</v>
      </c>
      <c r="D232" s="7" t="s">
        <v>54</v>
      </c>
      <c r="E232" s="7" t="s">
        <v>26</v>
      </c>
      <c r="F232" s="7">
        <v>3.0</v>
      </c>
      <c r="G232" s="7" t="s">
        <v>46</v>
      </c>
      <c r="H232" s="7">
        <v>1.0</v>
      </c>
      <c r="I232" s="7">
        <v>9.0</v>
      </c>
      <c r="J232" s="7">
        <v>4.0</v>
      </c>
      <c r="K232" s="7" t="s">
        <v>32</v>
      </c>
      <c r="L232" s="9" t="str">
        <f>VLOOKUP(K232, 'Alphabetical by species code'!A:B, 2, FALSE)</f>
        <v>Medicago polymorpha</v>
      </c>
    </row>
    <row r="233">
      <c r="A233" s="7">
        <v>3.0</v>
      </c>
      <c r="B233" s="7">
        <v>2025.0</v>
      </c>
      <c r="C233" s="8">
        <v>45755.0</v>
      </c>
      <c r="D233" s="7" t="s">
        <v>54</v>
      </c>
      <c r="E233" s="7" t="s">
        <v>26</v>
      </c>
      <c r="F233" s="7">
        <v>3.0</v>
      </c>
      <c r="G233" s="7" t="s">
        <v>46</v>
      </c>
      <c r="H233" s="7">
        <v>1.0</v>
      </c>
      <c r="I233" s="7">
        <v>9.0</v>
      </c>
      <c r="J233" s="7">
        <v>4.0</v>
      </c>
      <c r="K233" s="7" t="s">
        <v>31</v>
      </c>
      <c r="L233" s="9" t="str">
        <f>VLOOKUP(K233, 'Alphabetical by species code'!A:B, 2, FALSE)</f>
        <v>Festuca myuros</v>
      </c>
    </row>
    <row r="234">
      <c r="A234" s="7">
        <v>3.0</v>
      </c>
      <c r="B234" s="7">
        <v>2025.0</v>
      </c>
      <c r="C234" s="8">
        <v>45755.0</v>
      </c>
      <c r="D234" s="7" t="s">
        <v>54</v>
      </c>
      <c r="E234" s="7" t="s">
        <v>26</v>
      </c>
      <c r="F234" s="7">
        <v>3.0</v>
      </c>
      <c r="G234" s="7" t="s">
        <v>46</v>
      </c>
      <c r="H234" s="7">
        <v>1.0</v>
      </c>
      <c r="I234" s="7">
        <v>10.0</v>
      </c>
      <c r="J234" s="7">
        <v>4.5</v>
      </c>
      <c r="K234" s="7" t="s">
        <v>28</v>
      </c>
      <c r="L234" s="9" t="str">
        <f>VLOOKUP(K234, 'Alphabetical by species code'!A:B, 2, FALSE)</f>
        <v>Litter</v>
      </c>
    </row>
    <row r="235">
      <c r="A235" s="7">
        <v>3.0</v>
      </c>
      <c r="B235" s="7">
        <v>2025.0</v>
      </c>
      <c r="C235" s="8">
        <v>45755.0</v>
      </c>
      <c r="D235" s="7" t="s">
        <v>54</v>
      </c>
      <c r="E235" s="7" t="s">
        <v>26</v>
      </c>
      <c r="F235" s="7">
        <v>3.0</v>
      </c>
      <c r="G235" s="7" t="s">
        <v>46</v>
      </c>
      <c r="H235" s="7">
        <v>1.0</v>
      </c>
      <c r="I235" s="7">
        <v>10.0</v>
      </c>
      <c r="J235" s="7">
        <v>4.5</v>
      </c>
      <c r="K235" s="7" t="s">
        <v>55</v>
      </c>
      <c r="L235" s="9" t="str">
        <f>VLOOKUP(K235, 'Alphabetical by species code'!A:B, 2, FALSE)</f>
        <v>Daucus pusillus</v>
      </c>
    </row>
    <row r="236">
      <c r="A236" s="7">
        <v>3.0</v>
      </c>
      <c r="B236" s="7">
        <v>2025.0</v>
      </c>
      <c r="C236" s="8">
        <v>45755.0</v>
      </c>
      <c r="D236" s="7" t="s">
        <v>54</v>
      </c>
      <c r="E236" s="7" t="s">
        <v>26</v>
      </c>
      <c r="F236" s="7">
        <v>3.0</v>
      </c>
      <c r="G236" s="7" t="s">
        <v>46</v>
      </c>
      <c r="H236" s="7">
        <v>1.0</v>
      </c>
      <c r="I236" s="7">
        <v>10.0</v>
      </c>
      <c r="J236" s="7">
        <v>4.5</v>
      </c>
      <c r="K236" s="7" t="s">
        <v>48</v>
      </c>
      <c r="L236" s="9" t="str">
        <f>VLOOKUP(K236, 'Alphabetical by species code'!A:B, 2, FALSE)</f>
        <v>Sonchus asper</v>
      </c>
    </row>
    <row r="237">
      <c r="A237" s="7">
        <v>3.0</v>
      </c>
      <c r="B237" s="7">
        <v>2025.0</v>
      </c>
      <c r="C237" s="8">
        <v>45755.0</v>
      </c>
      <c r="D237" s="7" t="s">
        <v>54</v>
      </c>
      <c r="E237" s="7" t="s">
        <v>26</v>
      </c>
      <c r="F237" s="7">
        <v>3.0</v>
      </c>
      <c r="G237" s="7" t="s">
        <v>46</v>
      </c>
      <c r="H237" s="7">
        <v>1.0</v>
      </c>
      <c r="I237" s="7">
        <v>11.0</v>
      </c>
      <c r="J237" s="7">
        <v>5.0</v>
      </c>
      <c r="K237" s="7" t="s">
        <v>28</v>
      </c>
      <c r="L237" s="9" t="str">
        <f>VLOOKUP(K237, 'Alphabetical by species code'!A:B, 2, FALSE)</f>
        <v>Litter</v>
      </c>
    </row>
    <row r="238">
      <c r="A238" s="7">
        <v>3.0</v>
      </c>
      <c r="B238" s="7">
        <v>2025.0</v>
      </c>
      <c r="C238" s="8">
        <v>45755.0</v>
      </c>
      <c r="D238" s="7" t="s">
        <v>54</v>
      </c>
      <c r="E238" s="7" t="s">
        <v>26</v>
      </c>
      <c r="F238" s="7">
        <v>3.0</v>
      </c>
      <c r="G238" s="7" t="s">
        <v>46</v>
      </c>
      <c r="H238" s="7">
        <v>1.0</v>
      </c>
      <c r="I238" s="7">
        <v>11.0</v>
      </c>
      <c r="J238" s="7">
        <v>5.0</v>
      </c>
      <c r="K238" s="7" t="s">
        <v>35</v>
      </c>
      <c r="L238" s="9" t="str">
        <f>VLOOKUP(K238, 'Alphabetical by species code'!A:B, 2, FALSE)</f>
        <v>Deinandra fasciculata</v>
      </c>
    </row>
    <row r="239">
      <c r="A239" s="7">
        <v>3.0</v>
      </c>
      <c r="B239" s="7">
        <v>2025.0</v>
      </c>
      <c r="C239" s="8">
        <v>45755.0</v>
      </c>
      <c r="D239" s="7" t="s">
        <v>54</v>
      </c>
      <c r="E239" s="7" t="s">
        <v>26</v>
      </c>
      <c r="F239" s="7">
        <v>3.0</v>
      </c>
      <c r="G239" s="7" t="s">
        <v>46</v>
      </c>
      <c r="H239" s="7">
        <v>1.0</v>
      </c>
      <c r="I239" s="7">
        <v>11.0</v>
      </c>
      <c r="J239" s="7">
        <v>5.0</v>
      </c>
      <c r="K239" s="7" t="s">
        <v>31</v>
      </c>
      <c r="L239" s="9" t="str">
        <f>VLOOKUP(K239, 'Alphabetical by species code'!A:B, 2, FALSE)</f>
        <v>Festuca myuros</v>
      </c>
    </row>
    <row r="240">
      <c r="A240" s="7">
        <v>3.0</v>
      </c>
      <c r="B240" s="7">
        <v>2025.0</v>
      </c>
      <c r="C240" s="8">
        <v>45755.0</v>
      </c>
      <c r="D240" s="7" t="s">
        <v>54</v>
      </c>
      <c r="E240" s="7" t="s">
        <v>26</v>
      </c>
      <c r="F240" s="7">
        <v>3.0</v>
      </c>
      <c r="G240" s="7" t="s">
        <v>46</v>
      </c>
      <c r="H240" s="7">
        <v>1.0</v>
      </c>
      <c r="I240" s="7">
        <v>12.0</v>
      </c>
      <c r="J240" s="7">
        <v>5.5</v>
      </c>
      <c r="K240" s="7" t="s">
        <v>28</v>
      </c>
      <c r="L240" s="9" t="str">
        <f>VLOOKUP(K240, 'Alphabetical by species code'!A:B, 2, FALSE)</f>
        <v>Litter</v>
      </c>
    </row>
    <row r="241">
      <c r="A241" s="7">
        <v>3.0</v>
      </c>
      <c r="B241" s="7">
        <v>2025.0</v>
      </c>
      <c r="C241" s="8">
        <v>45755.0</v>
      </c>
      <c r="D241" s="7" t="s">
        <v>54</v>
      </c>
      <c r="E241" s="7" t="s">
        <v>26</v>
      </c>
      <c r="F241" s="7">
        <v>3.0</v>
      </c>
      <c r="G241" s="7" t="s">
        <v>46</v>
      </c>
      <c r="H241" s="7">
        <v>1.0</v>
      </c>
      <c r="I241" s="7">
        <v>12.0</v>
      </c>
      <c r="J241" s="7">
        <v>5.5</v>
      </c>
      <c r="K241" s="7" t="s">
        <v>31</v>
      </c>
      <c r="L241" s="9" t="str">
        <f>VLOOKUP(K241, 'Alphabetical by species code'!A:B, 2, FALSE)</f>
        <v>Festuca myuros</v>
      </c>
    </row>
    <row r="242">
      <c r="A242" s="7">
        <v>3.0</v>
      </c>
      <c r="B242" s="7">
        <v>2025.0</v>
      </c>
      <c r="C242" s="8">
        <v>45755.0</v>
      </c>
      <c r="D242" s="7" t="s">
        <v>54</v>
      </c>
      <c r="E242" s="7" t="s">
        <v>26</v>
      </c>
      <c r="F242" s="7">
        <v>3.0</v>
      </c>
      <c r="G242" s="7" t="s">
        <v>46</v>
      </c>
      <c r="H242" s="7">
        <v>1.0</v>
      </c>
      <c r="I242" s="7">
        <v>13.0</v>
      </c>
      <c r="J242" s="7">
        <v>6.5</v>
      </c>
      <c r="K242" s="7" t="s">
        <v>28</v>
      </c>
      <c r="L242" s="9" t="str">
        <f>VLOOKUP(K242, 'Alphabetical by species code'!A:B, 2, FALSE)</f>
        <v>Litter</v>
      </c>
    </row>
    <row r="243">
      <c r="A243" s="7">
        <v>3.0</v>
      </c>
      <c r="B243" s="7">
        <v>2025.0</v>
      </c>
      <c r="C243" s="8">
        <v>45755.0</v>
      </c>
      <c r="D243" s="7" t="s">
        <v>54</v>
      </c>
      <c r="E243" s="7" t="s">
        <v>26</v>
      </c>
      <c r="F243" s="7">
        <v>3.0</v>
      </c>
      <c r="G243" s="7" t="s">
        <v>46</v>
      </c>
      <c r="H243" s="7">
        <v>1.0</v>
      </c>
      <c r="I243" s="7">
        <v>13.0</v>
      </c>
      <c r="J243" s="7">
        <v>6.5</v>
      </c>
      <c r="K243" s="7" t="s">
        <v>55</v>
      </c>
      <c r="L243" s="9" t="str">
        <f>VLOOKUP(K243, 'Alphabetical by species code'!A:B, 2, FALSE)</f>
        <v>Daucus pusillus</v>
      </c>
    </row>
    <row r="244">
      <c r="A244" s="7">
        <v>3.0</v>
      </c>
      <c r="B244" s="7">
        <v>2025.0</v>
      </c>
      <c r="C244" s="8">
        <v>45755.0</v>
      </c>
      <c r="D244" s="7" t="s">
        <v>54</v>
      </c>
      <c r="E244" s="7" t="s">
        <v>26</v>
      </c>
      <c r="F244" s="7">
        <v>3.0</v>
      </c>
      <c r="G244" s="7" t="s">
        <v>46</v>
      </c>
      <c r="H244" s="7">
        <v>1.0</v>
      </c>
      <c r="I244" s="7">
        <v>13.0</v>
      </c>
      <c r="J244" s="7">
        <v>6.5</v>
      </c>
      <c r="K244" s="7" t="s">
        <v>35</v>
      </c>
      <c r="L244" s="9" t="str">
        <f>VLOOKUP(K244, 'Alphabetical by species code'!A:B, 2, FALSE)</f>
        <v>Deinandra fasciculata</v>
      </c>
    </row>
    <row r="245">
      <c r="A245" s="7">
        <v>3.0</v>
      </c>
      <c r="B245" s="7">
        <v>2025.0</v>
      </c>
      <c r="C245" s="8">
        <v>45755.0</v>
      </c>
      <c r="D245" s="7" t="s">
        <v>54</v>
      </c>
      <c r="E245" s="7" t="s">
        <v>26</v>
      </c>
      <c r="F245" s="7">
        <v>3.0</v>
      </c>
      <c r="G245" s="7" t="s">
        <v>46</v>
      </c>
      <c r="H245" s="7">
        <v>1.0</v>
      </c>
      <c r="I245" s="7">
        <v>13.0</v>
      </c>
      <c r="J245" s="7">
        <v>6.5</v>
      </c>
      <c r="K245" s="7" t="s">
        <v>32</v>
      </c>
      <c r="L245" s="9" t="str">
        <f>VLOOKUP(K245, 'Alphabetical by species code'!A:B, 2, FALSE)</f>
        <v>Medicago polymorpha</v>
      </c>
    </row>
    <row r="246">
      <c r="A246" s="7">
        <v>3.0</v>
      </c>
      <c r="B246" s="7">
        <v>2025.0</v>
      </c>
      <c r="C246" s="8">
        <v>45755.0</v>
      </c>
      <c r="D246" s="7" t="s">
        <v>54</v>
      </c>
      <c r="E246" s="7" t="s">
        <v>26</v>
      </c>
      <c r="F246" s="7">
        <v>3.0</v>
      </c>
      <c r="G246" s="7" t="s">
        <v>46</v>
      </c>
      <c r="H246" s="7">
        <v>1.0</v>
      </c>
      <c r="I246" s="7">
        <v>13.0</v>
      </c>
      <c r="J246" s="7">
        <v>6.5</v>
      </c>
      <c r="K246" s="7" t="s">
        <v>31</v>
      </c>
      <c r="L246" s="9" t="str">
        <f>VLOOKUP(K246, 'Alphabetical by species code'!A:B, 2, FALSE)</f>
        <v>Festuca myuros</v>
      </c>
    </row>
    <row r="247">
      <c r="A247" s="7">
        <v>3.0</v>
      </c>
      <c r="B247" s="7">
        <v>2025.0</v>
      </c>
      <c r="C247" s="8">
        <v>45755.0</v>
      </c>
      <c r="D247" s="7" t="s">
        <v>54</v>
      </c>
      <c r="E247" s="7" t="s">
        <v>26</v>
      </c>
      <c r="F247" s="7">
        <v>3.0</v>
      </c>
      <c r="G247" s="7" t="s">
        <v>46</v>
      </c>
      <c r="H247" s="7">
        <v>1.0</v>
      </c>
      <c r="I247" s="7">
        <v>14.0</v>
      </c>
      <c r="J247" s="7">
        <v>7.0</v>
      </c>
      <c r="K247" s="7" t="s">
        <v>41</v>
      </c>
      <c r="L247" s="9" t="str">
        <f>VLOOKUP(K247, 'Alphabetical by species code'!A:B, 2, FALSE)</f>
        <v>Stem</v>
      </c>
    </row>
    <row r="248">
      <c r="A248" s="7">
        <v>3.0</v>
      </c>
      <c r="B248" s="7">
        <v>2025.0</v>
      </c>
      <c r="C248" s="8">
        <v>45755.0</v>
      </c>
      <c r="D248" s="7" t="s">
        <v>54</v>
      </c>
      <c r="E248" s="7" t="s">
        <v>26</v>
      </c>
      <c r="F248" s="7">
        <v>3.0</v>
      </c>
      <c r="G248" s="7" t="s">
        <v>46</v>
      </c>
      <c r="H248" s="7">
        <v>1.0</v>
      </c>
      <c r="I248" s="7">
        <v>14.0</v>
      </c>
      <c r="J248" s="7">
        <v>7.0</v>
      </c>
      <c r="K248" s="7" t="s">
        <v>32</v>
      </c>
      <c r="L248" s="9" t="str">
        <f>VLOOKUP(K248, 'Alphabetical by species code'!A:B, 2, FALSE)</f>
        <v>Medicago polymorpha</v>
      </c>
    </row>
    <row r="249">
      <c r="A249" s="7">
        <v>3.0</v>
      </c>
      <c r="B249" s="7">
        <v>2025.0</v>
      </c>
      <c r="C249" s="8">
        <v>45755.0</v>
      </c>
      <c r="D249" s="7" t="s">
        <v>54</v>
      </c>
      <c r="E249" s="7" t="s">
        <v>26</v>
      </c>
      <c r="F249" s="7">
        <v>3.0</v>
      </c>
      <c r="G249" s="7" t="s">
        <v>46</v>
      </c>
      <c r="H249" s="7">
        <v>1.0</v>
      </c>
      <c r="I249" s="7">
        <v>14.0</v>
      </c>
      <c r="J249" s="7">
        <v>7.0</v>
      </c>
      <c r="K249" s="7" t="s">
        <v>29</v>
      </c>
      <c r="L249" s="9" t="str">
        <f>VLOOKUP(K249, 'Alphabetical by species code'!A:B, 2, FALSE)</f>
        <v>Opuntia littoralis</v>
      </c>
    </row>
    <row r="250">
      <c r="A250" s="7">
        <v>3.0</v>
      </c>
      <c r="B250" s="7">
        <v>2025.0</v>
      </c>
      <c r="C250" s="8">
        <v>45755.0</v>
      </c>
      <c r="D250" s="7" t="s">
        <v>54</v>
      </c>
      <c r="E250" s="7" t="s">
        <v>26</v>
      </c>
      <c r="F250" s="7">
        <v>3.0</v>
      </c>
      <c r="G250" s="7" t="s">
        <v>46</v>
      </c>
      <c r="H250" s="7">
        <v>1.0</v>
      </c>
      <c r="I250" s="7">
        <v>15.0</v>
      </c>
      <c r="J250" s="7">
        <v>7.5</v>
      </c>
      <c r="K250" s="7" t="s">
        <v>28</v>
      </c>
      <c r="L250" s="9" t="str">
        <f>VLOOKUP(K250, 'Alphabetical by species code'!A:B, 2, FALSE)</f>
        <v>Litter</v>
      </c>
    </row>
    <row r="251">
      <c r="A251" s="7">
        <v>3.0</v>
      </c>
      <c r="B251" s="7">
        <v>2025.0</v>
      </c>
      <c r="C251" s="8">
        <v>45755.0</v>
      </c>
      <c r="D251" s="7" t="s">
        <v>54</v>
      </c>
      <c r="E251" s="7" t="s">
        <v>26</v>
      </c>
      <c r="F251" s="7">
        <v>3.0</v>
      </c>
      <c r="G251" s="7" t="s">
        <v>46</v>
      </c>
      <c r="H251" s="7">
        <v>1.0</v>
      </c>
      <c r="I251" s="7">
        <v>15.0</v>
      </c>
      <c r="J251" s="7">
        <v>7.5</v>
      </c>
      <c r="K251" s="7" t="s">
        <v>31</v>
      </c>
      <c r="L251" s="9" t="str">
        <f>VLOOKUP(K251, 'Alphabetical by species code'!A:B, 2, FALSE)</f>
        <v>Festuca myuros</v>
      </c>
    </row>
    <row r="252">
      <c r="A252" s="7">
        <v>3.0</v>
      </c>
      <c r="B252" s="7">
        <v>2025.0</v>
      </c>
      <c r="C252" s="8">
        <v>45755.0</v>
      </c>
      <c r="D252" s="7" t="s">
        <v>54</v>
      </c>
      <c r="E252" s="7" t="s">
        <v>26</v>
      </c>
      <c r="F252" s="7">
        <v>3.0</v>
      </c>
      <c r="G252" s="7" t="s">
        <v>46</v>
      </c>
      <c r="H252" s="7">
        <v>1.0</v>
      </c>
      <c r="I252" s="7">
        <v>15.0</v>
      </c>
      <c r="J252" s="7">
        <v>7.5</v>
      </c>
      <c r="K252" s="7" t="s">
        <v>35</v>
      </c>
      <c r="L252" s="9" t="str">
        <f>VLOOKUP(K252, 'Alphabetical by species code'!A:B, 2, FALSE)</f>
        <v>Deinandra fasciculata</v>
      </c>
    </row>
    <row r="253">
      <c r="A253" s="7">
        <v>3.0</v>
      </c>
      <c r="B253" s="7">
        <v>2025.0</v>
      </c>
      <c r="C253" s="8">
        <v>45755.0</v>
      </c>
      <c r="D253" s="7" t="s">
        <v>54</v>
      </c>
      <c r="E253" s="7" t="s">
        <v>26</v>
      </c>
      <c r="F253" s="7">
        <v>3.0</v>
      </c>
      <c r="G253" s="7" t="s">
        <v>46</v>
      </c>
      <c r="H253" s="7">
        <v>1.0</v>
      </c>
      <c r="I253" s="7">
        <v>15.0</v>
      </c>
      <c r="J253" s="7">
        <v>7.5</v>
      </c>
      <c r="K253" s="7" t="s">
        <v>42</v>
      </c>
      <c r="L253" s="9" t="str">
        <f>VLOOKUP(K253, 'Alphabetical by species code'!A:B, 2, FALSE)</f>
        <v>Centaurea melitensis</v>
      </c>
    </row>
    <row r="254">
      <c r="A254" s="7">
        <v>3.0</v>
      </c>
      <c r="B254" s="7">
        <v>2025.0</v>
      </c>
      <c r="C254" s="8">
        <v>45755.0</v>
      </c>
      <c r="D254" s="7" t="s">
        <v>54</v>
      </c>
      <c r="E254" s="7" t="s">
        <v>26</v>
      </c>
      <c r="F254" s="7">
        <v>3.0</v>
      </c>
      <c r="G254" s="7" t="s">
        <v>46</v>
      </c>
      <c r="H254" s="7">
        <v>2.0</v>
      </c>
      <c r="I254" s="7">
        <v>1.0</v>
      </c>
      <c r="J254" s="7">
        <v>0.0</v>
      </c>
      <c r="K254" s="7" t="s">
        <v>28</v>
      </c>
      <c r="L254" s="9" t="str">
        <f>VLOOKUP(K254, 'Alphabetical by species code'!A:B, 2, FALSE)</f>
        <v>Litter</v>
      </c>
    </row>
    <row r="255">
      <c r="A255" s="7">
        <v>3.0</v>
      </c>
      <c r="B255" s="7">
        <v>2025.0</v>
      </c>
      <c r="C255" s="8">
        <v>45755.0</v>
      </c>
      <c r="D255" s="7" t="s">
        <v>54</v>
      </c>
      <c r="E255" s="7" t="s">
        <v>26</v>
      </c>
      <c r="F255" s="7">
        <v>3.0</v>
      </c>
      <c r="G255" s="7" t="s">
        <v>46</v>
      </c>
      <c r="H255" s="7">
        <v>2.0</v>
      </c>
      <c r="I255" s="7">
        <v>1.0</v>
      </c>
      <c r="J255" s="7">
        <v>0.0</v>
      </c>
      <c r="K255" s="7" t="s">
        <v>49</v>
      </c>
      <c r="L255" s="9" t="str">
        <f>VLOOKUP(K255, 'Alphabetical by species code'!A:B, 2, FALSE)</f>
        <v>Anagallis arvensis</v>
      </c>
    </row>
    <row r="256">
      <c r="A256" s="7">
        <v>3.0</v>
      </c>
      <c r="B256" s="7">
        <v>2025.0</v>
      </c>
      <c r="C256" s="8">
        <v>45755.0</v>
      </c>
      <c r="D256" s="7" t="s">
        <v>54</v>
      </c>
      <c r="E256" s="7" t="s">
        <v>26</v>
      </c>
      <c r="F256" s="7">
        <v>3.0</v>
      </c>
      <c r="G256" s="7" t="s">
        <v>46</v>
      </c>
      <c r="H256" s="7">
        <v>2.0</v>
      </c>
      <c r="I256" s="7">
        <v>1.0</v>
      </c>
      <c r="J256" s="7">
        <v>0.0</v>
      </c>
      <c r="K256" s="7" t="s">
        <v>32</v>
      </c>
      <c r="L256" s="9" t="str">
        <f>VLOOKUP(K256, 'Alphabetical by species code'!A:B, 2, FALSE)</f>
        <v>Medicago polymorpha</v>
      </c>
    </row>
    <row r="257">
      <c r="A257" s="7">
        <v>3.0</v>
      </c>
      <c r="B257" s="7">
        <v>2025.0</v>
      </c>
      <c r="C257" s="8">
        <v>45755.0</v>
      </c>
      <c r="D257" s="7" t="s">
        <v>54</v>
      </c>
      <c r="E257" s="7" t="s">
        <v>26</v>
      </c>
      <c r="F257" s="7">
        <v>3.0</v>
      </c>
      <c r="G257" s="7" t="s">
        <v>46</v>
      </c>
      <c r="H257" s="7">
        <v>2.0</v>
      </c>
      <c r="I257" s="7">
        <v>1.0</v>
      </c>
      <c r="J257" s="7">
        <v>0.0</v>
      </c>
      <c r="K257" s="7" t="s">
        <v>31</v>
      </c>
      <c r="L257" s="9" t="str">
        <f>VLOOKUP(K257, 'Alphabetical by species code'!A:B, 2, FALSE)</f>
        <v>Festuca myuros</v>
      </c>
    </row>
    <row r="258">
      <c r="A258" s="7">
        <v>3.0</v>
      </c>
      <c r="B258" s="7">
        <v>2025.0</v>
      </c>
      <c r="C258" s="8">
        <v>45755.0</v>
      </c>
      <c r="D258" s="7" t="s">
        <v>54</v>
      </c>
      <c r="E258" s="7" t="s">
        <v>26</v>
      </c>
      <c r="F258" s="7">
        <v>3.0</v>
      </c>
      <c r="G258" s="7" t="s">
        <v>46</v>
      </c>
      <c r="H258" s="7">
        <v>2.0</v>
      </c>
      <c r="I258" s="7">
        <v>2.0</v>
      </c>
      <c r="J258" s="7">
        <v>0.5</v>
      </c>
      <c r="K258" s="7" t="s">
        <v>28</v>
      </c>
      <c r="L258" s="9" t="str">
        <f>VLOOKUP(K258, 'Alphabetical by species code'!A:B, 2, FALSE)</f>
        <v>Litter</v>
      </c>
    </row>
    <row r="259">
      <c r="A259" s="7">
        <v>3.0</v>
      </c>
      <c r="B259" s="7">
        <v>2025.0</v>
      </c>
      <c r="C259" s="8">
        <v>45755.0</v>
      </c>
      <c r="D259" s="7" t="s">
        <v>54</v>
      </c>
      <c r="E259" s="7" t="s">
        <v>26</v>
      </c>
      <c r="F259" s="7">
        <v>3.0</v>
      </c>
      <c r="G259" s="7" t="s">
        <v>46</v>
      </c>
      <c r="H259" s="7">
        <v>2.0</v>
      </c>
      <c r="I259" s="7">
        <v>2.0</v>
      </c>
      <c r="J259" s="7">
        <v>0.5</v>
      </c>
      <c r="K259" s="7" t="s">
        <v>49</v>
      </c>
      <c r="L259" s="9" t="str">
        <f>VLOOKUP(K259, 'Alphabetical by species code'!A:B, 2, FALSE)</f>
        <v>Anagallis arvensis</v>
      </c>
    </row>
    <row r="260">
      <c r="A260" s="7">
        <v>3.0</v>
      </c>
      <c r="B260" s="7">
        <v>2025.0</v>
      </c>
      <c r="C260" s="8">
        <v>45755.0</v>
      </c>
      <c r="D260" s="7" t="s">
        <v>54</v>
      </c>
      <c r="E260" s="7" t="s">
        <v>26</v>
      </c>
      <c r="F260" s="7">
        <v>3.0</v>
      </c>
      <c r="G260" s="7" t="s">
        <v>46</v>
      </c>
      <c r="H260" s="7">
        <v>2.0</v>
      </c>
      <c r="I260" s="7">
        <v>2.0</v>
      </c>
      <c r="J260" s="7">
        <v>0.5</v>
      </c>
      <c r="K260" s="7" t="s">
        <v>57</v>
      </c>
      <c r="L260" s="9" t="str">
        <f>VLOOKUP(K260, 'Alphabetical by species code'!A:B, 2, FALSE)</f>
        <v>Stipa pulchra</v>
      </c>
    </row>
    <row r="261">
      <c r="A261" s="7">
        <v>3.0</v>
      </c>
      <c r="B261" s="7">
        <v>2025.0</v>
      </c>
      <c r="C261" s="8">
        <v>45755.0</v>
      </c>
      <c r="D261" s="7" t="s">
        <v>54</v>
      </c>
      <c r="E261" s="7" t="s">
        <v>26</v>
      </c>
      <c r="F261" s="7">
        <v>3.0</v>
      </c>
      <c r="G261" s="7" t="s">
        <v>46</v>
      </c>
      <c r="H261" s="7">
        <v>2.0</v>
      </c>
      <c r="I261" s="7">
        <v>2.0</v>
      </c>
      <c r="J261" s="7">
        <v>0.5</v>
      </c>
      <c r="K261" s="7" t="s">
        <v>55</v>
      </c>
      <c r="L261" s="9" t="str">
        <f>VLOOKUP(K261, 'Alphabetical by species code'!A:B, 2, FALSE)</f>
        <v>Daucus pusillus</v>
      </c>
    </row>
    <row r="262">
      <c r="A262" s="7">
        <v>3.0</v>
      </c>
      <c r="B262" s="7">
        <v>2025.0</v>
      </c>
      <c r="C262" s="8">
        <v>45755.0</v>
      </c>
      <c r="D262" s="7" t="s">
        <v>54</v>
      </c>
      <c r="E262" s="7" t="s">
        <v>26</v>
      </c>
      <c r="F262" s="7">
        <v>3.0</v>
      </c>
      <c r="G262" s="7" t="s">
        <v>46</v>
      </c>
      <c r="H262" s="7">
        <v>2.0</v>
      </c>
      <c r="I262" s="7">
        <v>2.0</v>
      </c>
      <c r="J262" s="7">
        <v>0.5</v>
      </c>
      <c r="K262" s="7" t="s">
        <v>32</v>
      </c>
      <c r="L262" s="9" t="str">
        <f>VLOOKUP(K262, 'Alphabetical by species code'!A:B, 2, FALSE)</f>
        <v>Medicago polymorpha</v>
      </c>
    </row>
    <row r="263">
      <c r="A263" s="7">
        <v>3.0</v>
      </c>
      <c r="B263" s="7">
        <v>2025.0</v>
      </c>
      <c r="C263" s="8">
        <v>45755.0</v>
      </c>
      <c r="D263" s="7" t="s">
        <v>54</v>
      </c>
      <c r="E263" s="7" t="s">
        <v>26</v>
      </c>
      <c r="F263" s="7">
        <v>3.0</v>
      </c>
      <c r="G263" s="7" t="s">
        <v>46</v>
      </c>
      <c r="H263" s="7">
        <v>2.0</v>
      </c>
      <c r="I263" s="7">
        <v>3.0</v>
      </c>
      <c r="J263" s="7">
        <v>1.0</v>
      </c>
      <c r="K263" s="7" t="s">
        <v>41</v>
      </c>
      <c r="L263" s="9" t="str">
        <f>VLOOKUP(K263, 'Alphabetical by species code'!A:B, 2, FALSE)</f>
        <v>Stem</v>
      </c>
    </row>
    <row r="264">
      <c r="A264" s="7">
        <v>3.0</v>
      </c>
      <c r="B264" s="7">
        <v>2025.0</v>
      </c>
      <c r="C264" s="8">
        <v>45755.0</v>
      </c>
      <c r="D264" s="7" t="s">
        <v>54</v>
      </c>
      <c r="E264" s="7" t="s">
        <v>26</v>
      </c>
      <c r="F264" s="7">
        <v>3.0</v>
      </c>
      <c r="G264" s="7" t="s">
        <v>46</v>
      </c>
      <c r="H264" s="7">
        <v>2.0</v>
      </c>
      <c r="I264" s="7">
        <v>3.0</v>
      </c>
      <c r="J264" s="7">
        <v>1.0</v>
      </c>
      <c r="K264" s="7" t="s">
        <v>40</v>
      </c>
      <c r="L264" s="9" t="str">
        <f>VLOOKUP(K264, 'Alphabetical by species code'!A:B, 2, FALSE)</f>
        <v>Cylindropuntia prolifera</v>
      </c>
    </row>
    <row r="265">
      <c r="A265" s="7">
        <v>3.0</v>
      </c>
      <c r="B265" s="7">
        <v>2025.0</v>
      </c>
      <c r="C265" s="8">
        <v>45755.0</v>
      </c>
      <c r="D265" s="7" t="s">
        <v>54</v>
      </c>
      <c r="E265" s="7" t="s">
        <v>26</v>
      </c>
      <c r="F265" s="7">
        <v>3.0</v>
      </c>
      <c r="G265" s="7" t="s">
        <v>46</v>
      </c>
      <c r="H265" s="7">
        <v>2.0</v>
      </c>
      <c r="I265" s="7">
        <v>4.0</v>
      </c>
      <c r="J265" s="7">
        <v>1.5</v>
      </c>
      <c r="K265" s="7" t="s">
        <v>51</v>
      </c>
      <c r="L265" s="9" t="str">
        <f>VLOOKUP(K265, 'Alphabetical by species code'!A:B, 2, FALSE)</f>
        <v>Bareground</v>
      </c>
    </row>
    <row r="266">
      <c r="A266" s="7">
        <v>3.0</v>
      </c>
      <c r="B266" s="7">
        <v>2025.0</v>
      </c>
      <c r="C266" s="8">
        <v>45755.0</v>
      </c>
      <c r="D266" s="7" t="s">
        <v>54</v>
      </c>
      <c r="E266" s="7" t="s">
        <v>26</v>
      </c>
      <c r="F266" s="7">
        <v>3.0</v>
      </c>
      <c r="G266" s="7" t="s">
        <v>46</v>
      </c>
      <c r="H266" s="7">
        <v>2.0</v>
      </c>
      <c r="I266" s="7">
        <v>4.0</v>
      </c>
      <c r="J266" s="7">
        <v>1.5</v>
      </c>
      <c r="K266" s="7" t="s">
        <v>57</v>
      </c>
      <c r="L266" s="9" t="str">
        <f>VLOOKUP(K266, 'Alphabetical by species code'!A:B, 2, FALSE)</f>
        <v>Stipa pulchra</v>
      </c>
    </row>
    <row r="267">
      <c r="A267" s="7">
        <v>3.0</v>
      </c>
      <c r="B267" s="7">
        <v>2025.0</v>
      </c>
      <c r="C267" s="8">
        <v>45755.0</v>
      </c>
      <c r="D267" s="7" t="s">
        <v>54</v>
      </c>
      <c r="E267" s="7" t="s">
        <v>26</v>
      </c>
      <c r="F267" s="7">
        <v>3.0</v>
      </c>
      <c r="G267" s="7" t="s">
        <v>46</v>
      </c>
      <c r="H267" s="7">
        <v>2.0</v>
      </c>
      <c r="I267" s="7">
        <v>4.0</v>
      </c>
      <c r="J267" s="7">
        <v>1.5</v>
      </c>
      <c r="K267" s="7" t="s">
        <v>58</v>
      </c>
      <c r="L267" s="9" t="str">
        <f>VLOOKUP(K267, 'Alphabetical by species code'!A:B, 2, FALSE)</f>
        <v>Crassula connata</v>
      </c>
    </row>
    <row r="268">
      <c r="A268" s="7">
        <v>3.0</v>
      </c>
      <c r="B268" s="7">
        <v>2025.0</v>
      </c>
      <c r="C268" s="8">
        <v>45755.0</v>
      </c>
      <c r="D268" s="7" t="s">
        <v>54</v>
      </c>
      <c r="E268" s="7" t="s">
        <v>26</v>
      </c>
      <c r="F268" s="7">
        <v>3.0</v>
      </c>
      <c r="G268" s="7" t="s">
        <v>46</v>
      </c>
      <c r="H268" s="7">
        <v>2.0</v>
      </c>
      <c r="I268" s="7">
        <v>4.0</v>
      </c>
      <c r="J268" s="7">
        <v>1.5</v>
      </c>
      <c r="K268" s="7" t="s">
        <v>55</v>
      </c>
      <c r="L268" s="9" t="str">
        <f>VLOOKUP(K268, 'Alphabetical by species code'!A:B, 2, FALSE)</f>
        <v>Daucus pusillus</v>
      </c>
    </row>
    <row r="269">
      <c r="A269" s="7">
        <v>3.0</v>
      </c>
      <c r="B269" s="7">
        <v>2025.0</v>
      </c>
      <c r="C269" s="8">
        <v>45755.0</v>
      </c>
      <c r="D269" s="7" t="s">
        <v>54</v>
      </c>
      <c r="E269" s="7" t="s">
        <v>26</v>
      </c>
      <c r="F269" s="7">
        <v>3.0</v>
      </c>
      <c r="G269" s="7" t="s">
        <v>46</v>
      </c>
      <c r="H269" s="7">
        <v>2.0</v>
      </c>
      <c r="I269" s="7">
        <v>4.0</v>
      </c>
      <c r="J269" s="7">
        <v>1.5</v>
      </c>
      <c r="K269" s="7" t="s">
        <v>31</v>
      </c>
      <c r="L269" s="9" t="str">
        <f>VLOOKUP(K269, 'Alphabetical by species code'!A:B, 2, FALSE)</f>
        <v>Festuca myuros</v>
      </c>
    </row>
    <row r="270">
      <c r="A270" s="7">
        <v>3.0</v>
      </c>
      <c r="B270" s="7">
        <v>2025.0</v>
      </c>
      <c r="C270" s="8">
        <v>45755.0</v>
      </c>
      <c r="D270" s="7" t="s">
        <v>54</v>
      </c>
      <c r="E270" s="7" t="s">
        <v>26</v>
      </c>
      <c r="F270" s="7">
        <v>3.0</v>
      </c>
      <c r="G270" s="7" t="s">
        <v>46</v>
      </c>
      <c r="H270" s="7">
        <v>2.0</v>
      </c>
      <c r="I270" s="7">
        <v>5.0</v>
      </c>
      <c r="J270" s="7">
        <v>2.5</v>
      </c>
      <c r="K270" s="7" t="s">
        <v>51</v>
      </c>
      <c r="L270" s="9" t="str">
        <f>VLOOKUP(K270, 'Alphabetical by species code'!A:B, 2, FALSE)</f>
        <v>Bareground</v>
      </c>
    </row>
    <row r="271">
      <c r="A271" s="7">
        <v>3.0</v>
      </c>
      <c r="B271" s="7">
        <v>2025.0</v>
      </c>
      <c r="C271" s="8">
        <v>45755.0</v>
      </c>
      <c r="D271" s="7" t="s">
        <v>54</v>
      </c>
      <c r="E271" s="7" t="s">
        <v>26</v>
      </c>
      <c r="F271" s="7">
        <v>3.0</v>
      </c>
      <c r="G271" s="7" t="s">
        <v>46</v>
      </c>
      <c r="H271" s="7">
        <v>2.0</v>
      </c>
      <c r="I271" s="7">
        <v>5.0</v>
      </c>
      <c r="J271" s="7">
        <v>2.5</v>
      </c>
      <c r="K271" s="7" t="s">
        <v>31</v>
      </c>
      <c r="L271" s="9" t="str">
        <f>VLOOKUP(K271, 'Alphabetical by species code'!A:B, 2, FALSE)</f>
        <v>Festuca myuros</v>
      </c>
    </row>
    <row r="272">
      <c r="A272" s="7">
        <v>3.0</v>
      </c>
      <c r="B272" s="7">
        <v>2025.0</v>
      </c>
      <c r="C272" s="8">
        <v>45755.0</v>
      </c>
      <c r="D272" s="7" t="s">
        <v>54</v>
      </c>
      <c r="E272" s="7" t="s">
        <v>26</v>
      </c>
      <c r="F272" s="7">
        <v>3.0</v>
      </c>
      <c r="G272" s="7" t="s">
        <v>46</v>
      </c>
      <c r="H272" s="7">
        <v>2.0</v>
      </c>
      <c r="I272" s="7">
        <v>6.0</v>
      </c>
      <c r="J272" s="7">
        <v>3.0</v>
      </c>
      <c r="K272" s="7" t="s">
        <v>28</v>
      </c>
      <c r="L272" s="9" t="str">
        <f>VLOOKUP(K272, 'Alphabetical by species code'!A:B, 2, FALSE)</f>
        <v>Litter</v>
      </c>
    </row>
    <row r="273">
      <c r="A273" s="7">
        <v>3.0</v>
      </c>
      <c r="B273" s="7">
        <v>2025.0</v>
      </c>
      <c r="C273" s="8">
        <v>45755.0</v>
      </c>
      <c r="D273" s="7" t="s">
        <v>54</v>
      </c>
      <c r="E273" s="7" t="s">
        <v>26</v>
      </c>
      <c r="F273" s="7">
        <v>3.0</v>
      </c>
      <c r="G273" s="7" t="s">
        <v>46</v>
      </c>
      <c r="H273" s="7">
        <v>2.0</v>
      </c>
      <c r="I273" s="7">
        <v>6.0</v>
      </c>
      <c r="J273" s="7">
        <v>3.0</v>
      </c>
      <c r="K273" s="7" t="s">
        <v>58</v>
      </c>
      <c r="L273" s="9" t="str">
        <f>VLOOKUP(K273, 'Alphabetical by species code'!A:B, 2, FALSE)</f>
        <v>Crassula connata</v>
      </c>
    </row>
    <row r="274">
      <c r="A274" s="7">
        <v>3.0</v>
      </c>
      <c r="B274" s="7">
        <v>2025.0</v>
      </c>
      <c r="C274" s="8">
        <v>45755.0</v>
      </c>
      <c r="D274" s="7" t="s">
        <v>54</v>
      </c>
      <c r="E274" s="7" t="s">
        <v>26</v>
      </c>
      <c r="F274" s="7">
        <v>3.0</v>
      </c>
      <c r="G274" s="7" t="s">
        <v>46</v>
      </c>
      <c r="H274" s="7">
        <v>2.0</v>
      </c>
      <c r="I274" s="7">
        <v>6.0</v>
      </c>
      <c r="J274" s="7">
        <v>3.0</v>
      </c>
      <c r="K274" s="7" t="s">
        <v>31</v>
      </c>
      <c r="L274" s="9" t="str">
        <f>VLOOKUP(K274, 'Alphabetical by species code'!A:B, 2, FALSE)</f>
        <v>Festuca myuros</v>
      </c>
    </row>
    <row r="275">
      <c r="A275" s="7">
        <v>3.0</v>
      </c>
      <c r="B275" s="7">
        <v>2025.0</v>
      </c>
      <c r="C275" s="8">
        <v>45755.0</v>
      </c>
      <c r="D275" s="7" t="s">
        <v>54</v>
      </c>
      <c r="E275" s="7" t="s">
        <v>26</v>
      </c>
      <c r="F275" s="7">
        <v>3.0</v>
      </c>
      <c r="G275" s="7" t="s">
        <v>46</v>
      </c>
      <c r="H275" s="7">
        <v>2.0</v>
      </c>
      <c r="I275" s="7">
        <v>6.0</v>
      </c>
      <c r="J275" s="7">
        <v>3.0</v>
      </c>
      <c r="K275" s="7" t="s">
        <v>32</v>
      </c>
      <c r="L275" s="9" t="str">
        <f>VLOOKUP(K275, 'Alphabetical by species code'!A:B, 2, FALSE)</f>
        <v>Medicago polymorpha</v>
      </c>
    </row>
    <row r="276">
      <c r="A276" s="7">
        <v>3.0</v>
      </c>
      <c r="B276" s="7">
        <v>2025.0</v>
      </c>
      <c r="C276" s="8">
        <v>45755.0</v>
      </c>
      <c r="D276" s="7" t="s">
        <v>54</v>
      </c>
      <c r="E276" s="7" t="s">
        <v>26</v>
      </c>
      <c r="F276" s="7">
        <v>3.0</v>
      </c>
      <c r="G276" s="7" t="s">
        <v>46</v>
      </c>
      <c r="H276" s="7">
        <v>2.0</v>
      </c>
      <c r="I276" s="7">
        <v>6.0</v>
      </c>
      <c r="J276" s="7">
        <v>3.0</v>
      </c>
      <c r="K276" s="7" t="s">
        <v>29</v>
      </c>
      <c r="L276" s="9" t="str">
        <f>VLOOKUP(K276, 'Alphabetical by species code'!A:B, 2, FALSE)</f>
        <v>Opuntia littoralis</v>
      </c>
    </row>
    <row r="277">
      <c r="A277" s="7">
        <v>3.0</v>
      </c>
      <c r="B277" s="7">
        <v>2025.0</v>
      </c>
      <c r="C277" s="8">
        <v>45755.0</v>
      </c>
      <c r="D277" s="7" t="s">
        <v>54</v>
      </c>
      <c r="E277" s="7" t="s">
        <v>26</v>
      </c>
      <c r="F277" s="7">
        <v>3.0</v>
      </c>
      <c r="G277" s="7" t="s">
        <v>46</v>
      </c>
      <c r="H277" s="7">
        <v>2.0</v>
      </c>
      <c r="I277" s="7">
        <v>7.0</v>
      </c>
      <c r="J277" s="7">
        <v>3.5</v>
      </c>
      <c r="K277" s="7" t="s">
        <v>28</v>
      </c>
      <c r="L277" s="9" t="str">
        <f>VLOOKUP(K277, 'Alphabetical by species code'!A:B, 2, FALSE)</f>
        <v>Litter</v>
      </c>
    </row>
    <row r="278">
      <c r="A278" s="7">
        <v>3.0</v>
      </c>
      <c r="B278" s="7">
        <v>2025.0</v>
      </c>
      <c r="C278" s="8">
        <v>45755.0</v>
      </c>
      <c r="D278" s="7" t="s">
        <v>54</v>
      </c>
      <c r="E278" s="7" t="s">
        <v>26</v>
      </c>
      <c r="F278" s="7">
        <v>3.0</v>
      </c>
      <c r="G278" s="7" t="s">
        <v>46</v>
      </c>
      <c r="H278" s="7">
        <v>2.0</v>
      </c>
      <c r="I278" s="7">
        <v>7.0</v>
      </c>
      <c r="J278" s="7">
        <v>3.5</v>
      </c>
      <c r="K278" s="7" t="s">
        <v>31</v>
      </c>
      <c r="L278" s="9" t="str">
        <f>VLOOKUP(K278, 'Alphabetical by species code'!A:B, 2, FALSE)</f>
        <v>Festuca myuros</v>
      </c>
    </row>
    <row r="279">
      <c r="A279" s="7">
        <v>3.0</v>
      </c>
      <c r="B279" s="7">
        <v>2025.0</v>
      </c>
      <c r="C279" s="8">
        <v>45755.0</v>
      </c>
      <c r="D279" s="7" t="s">
        <v>54</v>
      </c>
      <c r="E279" s="7" t="s">
        <v>26</v>
      </c>
      <c r="F279" s="7">
        <v>3.0</v>
      </c>
      <c r="G279" s="7" t="s">
        <v>46</v>
      </c>
      <c r="H279" s="7">
        <v>2.0</v>
      </c>
      <c r="I279" s="7">
        <v>8.0</v>
      </c>
      <c r="J279" s="7">
        <v>4.0</v>
      </c>
      <c r="K279" s="7" t="s">
        <v>51</v>
      </c>
      <c r="L279" s="9" t="str">
        <f>VLOOKUP(K279, 'Alphabetical by species code'!A:B, 2, FALSE)</f>
        <v>Bareground</v>
      </c>
    </row>
    <row r="280">
      <c r="A280" s="7">
        <v>3.0</v>
      </c>
      <c r="B280" s="7">
        <v>2025.0</v>
      </c>
      <c r="C280" s="8">
        <v>45755.0</v>
      </c>
      <c r="D280" s="7" t="s">
        <v>54</v>
      </c>
      <c r="E280" s="7" t="s">
        <v>26</v>
      </c>
      <c r="F280" s="7">
        <v>3.0</v>
      </c>
      <c r="G280" s="7" t="s">
        <v>46</v>
      </c>
      <c r="H280" s="7">
        <v>2.0</v>
      </c>
      <c r="I280" s="7">
        <v>8.0</v>
      </c>
      <c r="J280" s="7">
        <v>4.0</v>
      </c>
      <c r="K280" s="7" t="s">
        <v>55</v>
      </c>
      <c r="L280" s="9" t="str">
        <f>VLOOKUP(K280, 'Alphabetical by species code'!A:B, 2, FALSE)</f>
        <v>Daucus pusillus</v>
      </c>
    </row>
    <row r="281">
      <c r="A281" s="7">
        <v>3.0</v>
      </c>
      <c r="B281" s="7">
        <v>2025.0</v>
      </c>
      <c r="C281" s="8">
        <v>45755.0</v>
      </c>
      <c r="D281" s="7" t="s">
        <v>54</v>
      </c>
      <c r="E281" s="7" t="s">
        <v>26</v>
      </c>
      <c r="F281" s="7">
        <v>3.0</v>
      </c>
      <c r="G281" s="7" t="s">
        <v>46</v>
      </c>
      <c r="H281" s="7">
        <v>2.0</v>
      </c>
      <c r="I281" s="7">
        <v>8.0</v>
      </c>
      <c r="J281" s="7">
        <v>4.0</v>
      </c>
      <c r="K281" s="7" t="s">
        <v>56</v>
      </c>
      <c r="L281" s="9" t="str">
        <f>VLOOKUP(K281, 'Alphabetical by species code'!A:B, 2, FALSE)</f>
        <v>Grindelia camporum</v>
      </c>
    </row>
    <row r="282">
      <c r="A282" s="7">
        <v>3.0</v>
      </c>
      <c r="B282" s="7">
        <v>2025.0</v>
      </c>
      <c r="C282" s="8">
        <v>45755.0</v>
      </c>
      <c r="D282" s="7" t="s">
        <v>54</v>
      </c>
      <c r="E282" s="7" t="s">
        <v>26</v>
      </c>
      <c r="F282" s="7">
        <v>3.0</v>
      </c>
      <c r="G282" s="7" t="s">
        <v>46</v>
      </c>
      <c r="H282" s="7">
        <v>2.0</v>
      </c>
      <c r="I282" s="7">
        <v>9.0</v>
      </c>
      <c r="J282" s="7">
        <v>4.5</v>
      </c>
      <c r="K282" s="7" t="s">
        <v>28</v>
      </c>
      <c r="L282" s="9" t="str">
        <f>VLOOKUP(K282, 'Alphabetical by species code'!A:B, 2, FALSE)</f>
        <v>Litter</v>
      </c>
    </row>
    <row r="283">
      <c r="A283" s="7">
        <v>3.0</v>
      </c>
      <c r="B283" s="7">
        <v>2025.0</v>
      </c>
      <c r="C283" s="8">
        <v>45755.0</v>
      </c>
      <c r="D283" s="7" t="s">
        <v>54</v>
      </c>
      <c r="E283" s="7" t="s">
        <v>26</v>
      </c>
      <c r="F283" s="7">
        <v>3.0</v>
      </c>
      <c r="G283" s="7" t="s">
        <v>46</v>
      </c>
      <c r="H283" s="7">
        <v>2.0</v>
      </c>
      <c r="I283" s="7">
        <v>9.0</v>
      </c>
      <c r="J283" s="7">
        <v>4.5</v>
      </c>
      <c r="K283" s="7" t="s">
        <v>59</v>
      </c>
      <c r="L283" s="9" t="str">
        <f>VLOOKUP(K283, 'Alphabetical by species code'!A:B, 2, FALSE)</f>
        <v>Cryptantha micromeres</v>
      </c>
    </row>
    <row r="284">
      <c r="A284" s="7">
        <v>3.0</v>
      </c>
      <c r="B284" s="7">
        <v>2025.0</v>
      </c>
      <c r="C284" s="8">
        <v>45755.0</v>
      </c>
      <c r="D284" s="7" t="s">
        <v>54</v>
      </c>
      <c r="E284" s="7" t="s">
        <v>26</v>
      </c>
      <c r="F284" s="7">
        <v>3.0</v>
      </c>
      <c r="G284" s="7" t="s">
        <v>46</v>
      </c>
      <c r="H284" s="7">
        <v>2.0</v>
      </c>
      <c r="I284" s="7">
        <v>9.0</v>
      </c>
      <c r="J284" s="7">
        <v>4.5</v>
      </c>
      <c r="K284" s="7" t="s">
        <v>35</v>
      </c>
      <c r="L284" s="9" t="str">
        <f>VLOOKUP(K284, 'Alphabetical by species code'!A:B, 2, FALSE)</f>
        <v>Deinandra fasciculata</v>
      </c>
    </row>
    <row r="285">
      <c r="A285" s="7">
        <v>3.0</v>
      </c>
      <c r="B285" s="7">
        <v>2025.0</v>
      </c>
      <c r="C285" s="8">
        <v>45755.0</v>
      </c>
      <c r="D285" s="7" t="s">
        <v>54</v>
      </c>
      <c r="E285" s="7" t="s">
        <v>26</v>
      </c>
      <c r="F285" s="7">
        <v>3.0</v>
      </c>
      <c r="G285" s="7" t="s">
        <v>46</v>
      </c>
      <c r="H285" s="7">
        <v>2.0</v>
      </c>
      <c r="I285" s="7">
        <v>9.0</v>
      </c>
      <c r="J285" s="7">
        <v>4.5</v>
      </c>
      <c r="K285" s="7" t="s">
        <v>31</v>
      </c>
      <c r="L285" s="9" t="str">
        <f>VLOOKUP(K285, 'Alphabetical by species code'!A:B, 2, FALSE)</f>
        <v>Festuca myuros</v>
      </c>
    </row>
    <row r="286">
      <c r="A286" s="7">
        <v>3.0</v>
      </c>
      <c r="B286" s="7">
        <v>2025.0</v>
      </c>
      <c r="C286" s="8">
        <v>45755.0</v>
      </c>
      <c r="D286" s="7" t="s">
        <v>54</v>
      </c>
      <c r="E286" s="7" t="s">
        <v>26</v>
      </c>
      <c r="F286" s="7">
        <v>3.0</v>
      </c>
      <c r="G286" s="7" t="s">
        <v>46</v>
      </c>
      <c r="H286" s="7">
        <v>2.0</v>
      </c>
      <c r="I286" s="7">
        <v>9.0</v>
      </c>
      <c r="J286" s="7">
        <v>4.5</v>
      </c>
      <c r="K286" s="7" t="s">
        <v>58</v>
      </c>
      <c r="L286" s="9" t="str">
        <f>VLOOKUP(K286, 'Alphabetical by species code'!A:B, 2, FALSE)</f>
        <v>Crassula connata</v>
      </c>
    </row>
    <row r="287">
      <c r="A287" s="7">
        <v>3.0</v>
      </c>
      <c r="B287" s="7">
        <v>2025.0</v>
      </c>
      <c r="C287" s="8">
        <v>45755.0</v>
      </c>
      <c r="D287" s="7" t="s">
        <v>54</v>
      </c>
      <c r="E287" s="7" t="s">
        <v>26</v>
      </c>
      <c r="F287" s="7">
        <v>3.0</v>
      </c>
      <c r="G287" s="7" t="s">
        <v>46</v>
      </c>
      <c r="H287" s="7">
        <v>2.0</v>
      </c>
      <c r="I287" s="7">
        <v>10.0</v>
      </c>
      <c r="J287" s="7">
        <v>5.0</v>
      </c>
      <c r="K287" s="7" t="s">
        <v>28</v>
      </c>
      <c r="L287" s="9" t="str">
        <f>VLOOKUP(K287, 'Alphabetical by species code'!A:B, 2, FALSE)</f>
        <v>Litter</v>
      </c>
    </row>
    <row r="288">
      <c r="A288" s="7">
        <v>3.0</v>
      </c>
      <c r="B288" s="7">
        <v>2025.0</v>
      </c>
      <c r="C288" s="8">
        <v>45755.0</v>
      </c>
      <c r="D288" s="7" t="s">
        <v>54</v>
      </c>
      <c r="E288" s="7" t="s">
        <v>26</v>
      </c>
      <c r="F288" s="7">
        <v>3.0</v>
      </c>
      <c r="G288" s="7" t="s">
        <v>46</v>
      </c>
      <c r="H288" s="7">
        <v>2.0</v>
      </c>
      <c r="I288" s="7">
        <v>10.0</v>
      </c>
      <c r="J288" s="7">
        <v>5.0</v>
      </c>
      <c r="K288" s="7" t="s">
        <v>58</v>
      </c>
      <c r="L288" s="9" t="str">
        <f>VLOOKUP(K288, 'Alphabetical by species code'!A:B, 2, FALSE)</f>
        <v>Crassula connata</v>
      </c>
    </row>
    <row r="289">
      <c r="A289" s="7">
        <v>3.0</v>
      </c>
      <c r="B289" s="7">
        <v>2025.0</v>
      </c>
      <c r="C289" s="8">
        <v>45755.0</v>
      </c>
      <c r="D289" s="7" t="s">
        <v>54</v>
      </c>
      <c r="E289" s="7" t="s">
        <v>26</v>
      </c>
      <c r="F289" s="7">
        <v>3.0</v>
      </c>
      <c r="G289" s="7" t="s">
        <v>46</v>
      </c>
      <c r="H289" s="7">
        <v>2.0</v>
      </c>
      <c r="I289" s="7">
        <v>10.0</v>
      </c>
      <c r="J289" s="7">
        <v>5.0</v>
      </c>
      <c r="K289" s="7" t="s">
        <v>34</v>
      </c>
      <c r="L289" s="9" t="str">
        <f>VLOOKUP(K289, 'Alphabetical by species code'!A:B, 2, FALSE)</f>
        <v>Erodium cicutarium</v>
      </c>
    </row>
    <row r="290">
      <c r="A290" s="7">
        <v>3.0</v>
      </c>
      <c r="B290" s="7">
        <v>2025.0</v>
      </c>
      <c r="C290" s="8">
        <v>45755.0</v>
      </c>
      <c r="D290" s="7" t="s">
        <v>54</v>
      </c>
      <c r="E290" s="7" t="s">
        <v>26</v>
      </c>
      <c r="F290" s="7">
        <v>3.0</v>
      </c>
      <c r="G290" s="7" t="s">
        <v>46</v>
      </c>
      <c r="H290" s="7">
        <v>2.0</v>
      </c>
      <c r="I290" s="7">
        <v>10.0</v>
      </c>
      <c r="J290" s="7">
        <v>5.0</v>
      </c>
      <c r="K290" s="7" t="s">
        <v>55</v>
      </c>
      <c r="L290" s="9" t="str">
        <f>VLOOKUP(K290, 'Alphabetical by species code'!A:B, 2, FALSE)</f>
        <v>Daucus pusillus</v>
      </c>
    </row>
    <row r="291">
      <c r="A291" s="7">
        <v>3.0</v>
      </c>
      <c r="B291" s="7">
        <v>2025.0</v>
      </c>
      <c r="C291" s="8">
        <v>45755.0</v>
      </c>
      <c r="D291" s="7" t="s">
        <v>54</v>
      </c>
      <c r="E291" s="7" t="s">
        <v>26</v>
      </c>
      <c r="F291" s="7">
        <v>3.0</v>
      </c>
      <c r="G291" s="7" t="s">
        <v>46</v>
      </c>
      <c r="H291" s="7">
        <v>2.0</v>
      </c>
      <c r="I291" s="7">
        <v>10.0</v>
      </c>
      <c r="J291" s="7">
        <v>5.0</v>
      </c>
      <c r="K291" s="7" t="s">
        <v>35</v>
      </c>
      <c r="L291" s="9" t="str">
        <f>VLOOKUP(K291, 'Alphabetical by species code'!A:B, 2, FALSE)</f>
        <v>Deinandra fasciculata</v>
      </c>
    </row>
    <row r="292">
      <c r="A292" s="7">
        <v>3.0</v>
      </c>
      <c r="B292" s="7">
        <v>2025.0</v>
      </c>
      <c r="C292" s="8">
        <v>45755.0</v>
      </c>
      <c r="D292" s="7" t="s">
        <v>54</v>
      </c>
      <c r="E292" s="7" t="s">
        <v>26</v>
      </c>
      <c r="F292" s="7">
        <v>3.0</v>
      </c>
      <c r="G292" s="7" t="s">
        <v>46</v>
      </c>
      <c r="H292" s="7">
        <v>2.0</v>
      </c>
      <c r="I292" s="7">
        <v>11.0</v>
      </c>
      <c r="J292" s="7">
        <v>5.5</v>
      </c>
      <c r="K292" s="7" t="s">
        <v>41</v>
      </c>
      <c r="L292" s="9" t="str">
        <f>VLOOKUP(K292, 'Alphabetical by species code'!A:B, 2, FALSE)</f>
        <v>Stem</v>
      </c>
    </row>
    <row r="293">
      <c r="A293" s="7">
        <v>3.0</v>
      </c>
      <c r="B293" s="7">
        <v>2025.0</v>
      </c>
      <c r="C293" s="8">
        <v>45755.0</v>
      </c>
      <c r="D293" s="7" t="s">
        <v>54</v>
      </c>
      <c r="E293" s="7" t="s">
        <v>26</v>
      </c>
      <c r="F293" s="7">
        <v>3.0</v>
      </c>
      <c r="G293" s="7" t="s">
        <v>46</v>
      </c>
      <c r="H293" s="7">
        <v>2.0</v>
      </c>
      <c r="I293" s="7">
        <v>11.0</v>
      </c>
      <c r="J293" s="7">
        <v>5.5</v>
      </c>
      <c r="K293" s="7" t="s">
        <v>34</v>
      </c>
      <c r="L293" s="9" t="str">
        <f>VLOOKUP(K293, 'Alphabetical by species code'!A:B, 2, FALSE)</f>
        <v>Erodium cicutarium</v>
      </c>
    </row>
    <row r="294">
      <c r="A294" s="7">
        <v>3.0</v>
      </c>
      <c r="B294" s="7">
        <v>2025.0</v>
      </c>
      <c r="C294" s="8">
        <v>45755.0</v>
      </c>
      <c r="D294" s="7" t="s">
        <v>54</v>
      </c>
      <c r="E294" s="7" t="s">
        <v>26</v>
      </c>
      <c r="F294" s="7">
        <v>3.0</v>
      </c>
      <c r="G294" s="7" t="s">
        <v>46</v>
      </c>
      <c r="H294" s="7">
        <v>2.0</v>
      </c>
      <c r="I294" s="7">
        <v>11.0</v>
      </c>
      <c r="J294" s="7">
        <v>5.5</v>
      </c>
      <c r="K294" s="7" t="s">
        <v>55</v>
      </c>
      <c r="L294" s="9" t="str">
        <f>VLOOKUP(K294, 'Alphabetical by species code'!A:B, 2, FALSE)</f>
        <v>Daucus pusillus</v>
      </c>
    </row>
    <row r="295">
      <c r="A295" s="7">
        <v>3.0</v>
      </c>
      <c r="B295" s="7">
        <v>2025.0</v>
      </c>
      <c r="C295" s="8">
        <v>45755.0</v>
      </c>
      <c r="D295" s="7" t="s">
        <v>54</v>
      </c>
      <c r="E295" s="7" t="s">
        <v>26</v>
      </c>
      <c r="F295" s="7">
        <v>3.0</v>
      </c>
      <c r="G295" s="7" t="s">
        <v>46</v>
      </c>
      <c r="H295" s="7">
        <v>2.0</v>
      </c>
      <c r="I295" s="7">
        <v>11.0</v>
      </c>
      <c r="J295" s="7">
        <v>5.5</v>
      </c>
      <c r="K295" s="7" t="s">
        <v>35</v>
      </c>
      <c r="L295" s="9" t="str">
        <f>VLOOKUP(K295, 'Alphabetical by species code'!A:B, 2, FALSE)</f>
        <v>Deinandra fasciculata</v>
      </c>
    </row>
    <row r="296">
      <c r="A296" s="7">
        <v>3.0</v>
      </c>
      <c r="B296" s="7">
        <v>2025.0</v>
      </c>
      <c r="C296" s="8">
        <v>45755.0</v>
      </c>
      <c r="D296" s="7" t="s">
        <v>54</v>
      </c>
      <c r="E296" s="7" t="s">
        <v>26</v>
      </c>
      <c r="F296" s="7">
        <v>3.0</v>
      </c>
      <c r="G296" s="7" t="s">
        <v>46</v>
      </c>
      <c r="H296" s="7">
        <v>2.0</v>
      </c>
      <c r="I296" s="7">
        <v>11.0</v>
      </c>
      <c r="J296" s="7">
        <v>5.5</v>
      </c>
      <c r="K296" s="7" t="s">
        <v>32</v>
      </c>
      <c r="L296" s="9" t="str">
        <f>VLOOKUP(K296, 'Alphabetical by species code'!A:B, 2, FALSE)</f>
        <v>Medicago polymorpha</v>
      </c>
    </row>
    <row r="297">
      <c r="A297" s="7">
        <v>3.0</v>
      </c>
      <c r="B297" s="7">
        <v>2025.0</v>
      </c>
      <c r="C297" s="8">
        <v>45755.0</v>
      </c>
      <c r="D297" s="7" t="s">
        <v>54</v>
      </c>
      <c r="E297" s="7" t="s">
        <v>26</v>
      </c>
      <c r="F297" s="7">
        <v>3.0</v>
      </c>
      <c r="G297" s="7" t="s">
        <v>46</v>
      </c>
      <c r="H297" s="7">
        <v>2.0</v>
      </c>
      <c r="I297" s="7">
        <v>12.0</v>
      </c>
      <c r="J297" s="7">
        <v>6.0</v>
      </c>
      <c r="K297" s="7" t="s">
        <v>28</v>
      </c>
      <c r="L297" s="9" t="str">
        <f>VLOOKUP(K297, 'Alphabetical by species code'!A:B, 2, FALSE)</f>
        <v>Litter</v>
      </c>
    </row>
    <row r="298">
      <c r="A298" s="7">
        <v>3.0</v>
      </c>
      <c r="B298" s="7">
        <v>2025.0</v>
      </c>
      <c r="C298" s="8">
        <v>45755.0</v>
      </c>
      <c r="D298" s="7" t="s">
        <v>54</v>
      </c>
      <c r="E298" s="7" t="s">
        <v>26</v>
      </c>
      <c r="F298" s="7">
        <v>3.0</v>
      </c>
      <c r="G298" s="7" t="s">
        <v>46</v>
      </c>
      <c r="H298" s="7">
        <v>2.0</v>
      </c>
      <c r="I298" s="7">
        <v>12.0</v>
      </c>
      <c r="J298" s="7">
        <v>6.0</v>
      </c>
      <c r="K298" s="7" t="s">
        <v>58</v>
      </c>
      <c r="L298" s="9" t="str">
        <f>VLOOKUP(K298, 'Alphabetical by species code'!A:B, 2, FALSE)</f>
        <v>Crassula connata</v>
      </c>
    </row>
    <row r="299">
      <c r="A299" s="7">
        <v>3.0</v>
      </c>
      <c r="B299" s="7">
        <v>2025.0</v>
      </c>
      <c r="C299" s="8">
        <v>45755.0</v>
      </c>
      <c r="D299" s="7" t="s">
        <v>54</v>
      </c>
      <c r="E299" s="7" t="s">
        <v>26</v>
      </c>
      <c r="F299" s="7">
        <v>3.0</v>
      </c>
      <c r="G299" s="7" t="s">
        <v>46</v>
      </c>
      <c r="H299" s="7">
        <v>2.0</v>
      </c>
      <c r="I299" s="7">
        <v>12.0</v>
      </c>
      <c r="J299" s="7">
        <v>6.0</v>
      </c>
      <c r="K299" s="7" t="s">
        <v>35</v>
      </c>
      <c r="L299" s="9" t="str">
        <f>VLOOKUP(K299, 'Alphabetical by species code'!A:B, 2, FALSE)</f>
        <v>Deinandra fasciculata</v>
      </c>
    </row>
    <row r="300">
      <c r="A300" s="7">
        <v>3.0</v>
      </c>
      <c r="B300" s="7">
        <v>2025.0</v>
      </c>
      <c r="C300" s="8">
        <v>45755.0</v>
      </c>
      <c r="D300" s="7" t="s">
        <v>54</v>
      </c>
      <c r="E300" s="7" t="s">
        <v>26</v>
      </c>
      <c r="F300" s="7">
        <v>3.0</v>
      </c>
      <c r="G300" s="7" t="s">
        <v>46</v>
      </c>
      <c r="H300" s="7">
        <v>2.0</v>
      </c>
      <c r="I300" s="7">
        <v>12.0</v>
      </c>
      <c r="J300" s="7">
        <v>6.0</v>
      </c>
      <c r="K300" s="7" t="s">
        <v>31</v>
      </c>
      <c r="L300" s="9" t="str">
        <f>VLOOKUP(K300, 'Alphabetical by species code'!A:B, 2, FALSE)</f>
        <v>Festuca myuros</v>
      </c>
    </row>
    <row r="301">
      <c r="A301" s="7">
        <v>3.0</v>
      </c>
      <c r="B301" s="7">
        <v>2025.0</v>
      </c>
      <c r="C301" s="8">
        <v>45755.0</v>
      </c>
      <c r="D301" s="7" t="s">
        <v>54</v>
      </c>
      <c r="E301" s="7" t="s">
        <v>26</v>
      </c>
      <c r="F301" s="7">
        <v>3.0</v>
      </c>
      <c r="G301" s="7" t="s">
        <v>46</v>
      </c>
      <c r="H301" s="7">
        <v>2.0</v>
      </c>
      <c r="I301" s="7">
        <v>13.0</v>
      </c>
      <c r="J301" s="7">
        <v>6.5</v>
      </c>
      <c r="K301" s="7" t="s">
        <v>51</v>
      </c>
      <c r="L301" s="9" t="str">
        <f>VLOOKUP(K301, 'Alphabetical by species code'!A:B, 2, FALSE)</f>
        <v>Bareground</v>
      </c>
    </row>
    <row r="302">
      <c r="A302" s="7">
        <v>3.0</v>
      </c>
      <c r="B302" s="7">
        <v>2025.0</v>
      </c>
      <c r="C302" s="8">
        <v>45755.0</v>
      </c>
      <c r="D302" s="7" t="s">
        <v>54</v>
      </c>
      <c r="E302" s="7" t="s">
        <v>26</v>
      </c>
      <c r="F302" s="7">
        <v>3.0</v>
      </c>
      <c r="G302" s="7" t="s">
        <v>46</v>
      </c>
      <c r="H302" s="7">
        <v>2.0</v>
      </c>
      <c r="I302" s="7">
        <v>13.0</v>
      </c>
      <c r="J302" s="7">
        <v>6.5</v>
      </c>
      <c r="K302" s="7" t="s">
        <v>31</v>
      </c>
      <c r="L302" s="9" t="str">
        <f>VLOOKUP(K302, 'Alphabetical by species code'!A:B, 2, FALSE)</f>
        <v>Festuca myuros</v>
      </c>
    </row>
    <row r="303">
      <c r="A303" s="7">
        <v>3.0</v>
      </c>
      <c r="B303" s="7">
        <v>2025.0</v>
      </c>
      <c r="C303" s="8">
        <v>45755.0</v>
      </c>
      <c r="D303" s="7" t="s">
        <v>54</v>
      </c>
      <c r="E303" s="7" t="s">
        <v>26</v>
      </c>
      <c r="F303" s="7">
        <v>3.0</v>
      </c>
      <c r="G303" s="7" t="s">
        <v>46</v>
      </c>
      <c r="H303" s="7">
        <v>2.0</v>
      </c>
      <c r="I303" s="7">
        <v>14.0</v>
      </c>
      <c r="J303" s="7">
        <v>7.0</v>
      </c>
      <c r="K303" s="7" t="s">
        <v>41</v>
      </c>
      <c r="L303" s="9" t="str">
        <f>VLOOKUP(K303, 'Alphabetical by species code'!A:B, 2, FALSE)</f>
        <v>Stem</v>
      </c>
    </row>
    <row r="304">
      <c r="A304" s="7">
        <v>3.0</v>
      </c>
      <c r="B304" s="7">
        <v>2025.0</v>
      </c>
      <c r="C304" s="8">
        <v>45755.0</v>
      </c>
      <c r="D304" s="7" t="s">
        <v>54</v>
      </c>
      <c r="E304" s="7" t="s">
        <v>26</v>
      </c>
      <c r="F304" s="7">
        <v>3.0</v>
      </c>
      <c r="G304" s="7" t="s">
        <v>46</v>
      </c>
      <c r="H304" s="7">
        <v>2.0</v>
      </c>
      <c r="I304" s="7">
        <v>14.0</v>
      </c>
      <c r="J304" s="7">
        <v>7.0</v>
      </c>
      <c r="K304" s="7" t="s">
        <v>29</v>
      </c>
      <c r="L304" s="9" t="str">
        <f>VLOOKUP(K304, 'Alphabetical by species code'!A:B, 2, FALSE)</f>
        <v>Opuntia littoralis</v>
      </c>
    </row>
    <row r="305">
      <c r="A305" s="7">
        <v>3.0</v>
      </c>
      <c r="B305" s="7">
        <v>2025.0</v>
      </c>
      <c r="C305" s="8">
        <v>45755.0</v>
      </c>
      <c r="D305" s="7" t="s">
        <v>54</v>
      </c>
      <c r="E305" s="7" t="s">
        <v>26</v>
      </c>
      <c r="F305" s="7">
        <v>3.0</v>
      </c>
      <c r="G305" s="7" t="s">
        <v>46</v>
      </c>
      <c r="H305" s="7">
        <v>2.0</v>
      </c>
      <c r="I305" s="7">
        <v>15.0</v>
      </c>
      <c r="J305" s="7">
        <v>7.5</v>
      </c>
      <c r="K305" s="7" t="s">
        <v>60</v>
      </c>
      <c r="L305" s="9" t="str">
        <f>VLOOKUP(K305, 'Alphabetical by species code'!A:B, 2, FALSE)</f>
        <v>Moss</v>
      </c>
    </row>
    <row r="306">
      <c r="A306" s="7">
        <v>3.0</v>
      </c>
      <c r="B306" s="7">
        <v>2025.0</v>
      </c>
      <c r="C306" s="8">
        <v>45755.0</v>
      </c>
      <c r="D306" s="7" t="s">
        <v>54</v>
      </c>
      <c r="E306" s="7" t="s">
        <v>26</v>
      </c>
      <c r="F306" s="7">
        <v>3.0</v>
      </c>
      <c r="G306" s="7" t="s">
        <v>46</v>
      </c>
      <c r="H306" s="7">
        <v>2.0</v>
      </c>
      <c r="I306" s="7">
        <v>15.0</v>
      </c>
      <c r="J306" s="7">
        <v>7.5</v>
      </c>
      <c r="K306" s="7" t="s">
        <v>50</v>
      </c>
      <c r="L306" s="9" t="str">
        <f>VLOOKUP(K306, 'Alphabetical by species code'!A:B, 2, FALSE)</f>
        <v>Crypantha maritima</v>
      </c>
    </row>
    <row r="307">
      <c r="A307" s="7">
        <v>3.0</v>
      </c>
      <c r="B307" s="7">
        <v>2025.0</v>
      </c>
      <c r="C307" s="8">
        <v>45755.0</v>
      </c>
      <c r="D307" s="7" t="s">
        <v>54</v>
      </c>
      <c r="E307" s="7" t="s">
        <v>26</v>
      </c>
      <c r="F307" s="7">
        <v>3.0</v>
      </c>
      <c r="G307" s="7" t="s">
        <v>46</v>
      </c>
      <c r="H307" s="7">
        <v>2.0</v>
      </c>
      <c r="I307" s="7">
        <v>15.0</v>
      </c>
      <c r="J307" s="7">
        <v>7.5</v>
      </c>
      <c r="K307" s="7" t="s">
        <v>55</v>
      </c>
      <c r="L307" s="9" t="str">
        <f>VLOOKUP(K307, 'Alphabetical by species code'!A:B, 2, FALSE)</f>
        <v>Daucus pusillus</v>
      </c>
    </row>
    <row r="308">
      <c r="A308" s="7">
        <v>4.0</v>
      </c>
      <c r="B308" s="7">
        <v>2025.0</v>
      </c>
      <c r="C308" s="8">
        <v>45755.0</v>
      </c>
      <c r="D308" s="7" t="s">
        <v>54</v>
      </c>
      <c r="E308" s="7" t="s">
        <v>26</v>
      </c>
      <c r="F308" s="7">
        <v>3.0</v>
      </c>
      <c r="G308" s="7" t="s">
        <v>27</v>
      </c>
      <c r="H308" s="7">
        <v>1.0</v>
      </c>
      <c r="I308" s="7">
        <v>1.0</v>
      </c>
      <c r="J308" s="7">
        <v>0.0</v>
      </c>
      <c r="K308" s="7" t="s">
        <v>51</v>
      </c>
      <c r="L308" s="9" t="str">
        <f>VLOOKUP(K308, 'Alphabetical by species code'!A:B, 2, FALSE)</f>
        <v>Bareground</v>
      </c>
    </row>
    <row r="309">
      <c r="A309" s="7">
        <v>4.0</v>
      </c>
      <c r="B309" s="7">
        <v>2025.0</v>
      </c>
      <c r="C309" s="8">
        <v>45755.0</v>
      </c>
      <c r="D309" s="7" t="s">
        <v>54</v>
      </c>
      <c r="E309" s="7" t="s">
        <v>26</v>
      </c>
      <c r="F309" s="7">
        <v>3.0</v>
      </c>
      <c r="G309" s="7" t="s">
        <v>27</v>
      </c>
      <c r="H309" s="7">
        <v>1.0</v>
      </c>
      <c r="I309" s="7">
        <v>1.0</v>
      </c>
      <c r="J309" s="7">
        <v>0.0</v>
      </c>
      <c r="K309" s="7" t="s">
        <v>49</v>
      </c>
      <c r="L309" s="9" t="str">
        <f>VLOOKUP(K309, 'Alphabetical by species code'!A:B, 2, FALSE)</f>
        <v>Anagallis arvensis</v>
      </c>
    </row>
    <row r="310">
      <c r="A310" s="7">
        <v>4.0</v>
      </c>
      <c r="B310" s="7">
        <v>2025.0</v>
      </c>
      <c r="C310" s="8">
        <v>45755.0</v>
      </c>
      <c r="D310" s="7" t="s">
        <v>54</v>
      </c>
      <c r="E310" s="7" t="s">
        <v>26</v>
      </c>
      <c r="F310" s="7">
        <v>3.0</v>
      </c>
      <c r="G310" s="7" t="s">
        <v>27</v>
      </c>
      <c r="H310" s="7">
        <v>1.0</v>
      </c>
      <c r="I310" s="7">
        <v>1.0</v>
      </c>
      <c r="J310" s="7">
        <v>0.0</v>
      </c>
      <c r="K310" s="7" t="s">
        <v>29</v>
      </c>
      <c r="L310" s="9" t="str">
        <f>VLOOKUP(K310, 'Alphabetical by species code'!A:B, 2, FALSE)</f>
        <v>Opuntia littoralis</v>
      </c>
    </row>
    <row r="311">
      <c r="A311" s="7">
        <v>4.0</v>
      </c>
      <c r="B311" s="7">
        <v>2025.0</v>
      </c>
      <c r="C311" s="8">
        <v>45755.0</v>
      </c>
      <c r="D311" s="7" t="s">
        <v>54</v>
      </c>
      <c r="E311" s="7" t="s">
        <v>26</v>
      </c>
      <c r="F311" s="7">
        <v>3.0</v>
      </c>
      <c r="G311" s="7" t="s">
        <v>27</v>
      </c>
      <c r="H311" s="7">
        <v>1.0</v>
      </c>
      <c r="I311" s="7">
        <v>1.0</v>
      </c>
      <c r="J311" s="7">
        <v>0.0</v>
      </c>
      <c r="K311" s="7" t="s">
        <v>37</v>
      </c>
      <c r="L311" s="9" t="str">
        <f>VLOOKUP(K311, 'Alphabetical by species code'!A:B, 2, FALSE)</f>
        <v>Sonchus oleraceus</v>
      </c>
    </row>
    <row r="312">
      <c r="A312" s="7">
        <v>4.0</v>
      </c>
      <c r="B312" s="7">
        <v>2025.0</v>
      </c>
      <c r="C312" s="8">
        <v>45755.0</v>
      </c>
      <c r="D312" s="7" t="s">
        <v>54</v>
      </c>
      <c r="E312" s="7" t="s">
        <v>26</v>
      </c>
      <c r="F312" s="7">
        <v>3.0</v>
      </c>
      <c r="G312" s="7" t="s">
        <v>27</v>
      </c>
      <c r="H312" s="7">
        <v>1.0</v>
      </c>
      <c r="I312" s="7">
        <v>1.0</v>
      </c>
      <c r="J312" s="7">
        <v>0.0</v>
      </c>
      <c r="K312" s="7" t="s">
        <v>35</v>
      </c>
      <c r="L312" s="9" t="str">
        <f>VLOOKUP(K312, 'Alphabetical by species code'!A:B, 2, FALSE)</f>
        <v>Deinandra fasciculata</v>
      </c>
    </row>
    <row r="313">
      <c r="A313" s="7">
        <v>4.0</v>
      </c>
      <c r="B313" s="7">
        <v>2025.0</v>
      </c>
      <c r="C313" s="8">
        <v>45755.0</v>
      </c>
      <c r="D313" s="7" t="s">
        <v>54</v>
      </c>
      <c r="E313" s="7" t="s">
        <v>26</v>
      </c>
      <c r="F313" s="7">
        <v>3.0</v>
      </c>
      <c r="G313" s="7" t="s">
        <v>27</v>
      </c>
      <c r="H313" s="7">
        <v>1.0</v>
      </c>
      <c r="I313" s="7">
        <v>2.0</v>
      </c>
      <c r="J313" s="7">
        <v>0.5</v>
      </c>
      <c r="K313" s="7" t="s">
        <v>28</v>
      </c>
      <c r="L313" s="9" t="str">
        <f>VLOOKUP(K313, 'Alphabetical by species code'!A:B, 2, FALSE)</f>
        <v>Litter</v>
      </c>
    </row>
    <row r="314">
      <c r="A314" s="7">
        <v>4.0</v>
      </c>
      <c r="B314" s="7">
        <v>2025.0</v>
      </c>
      <c r="C314" s="8">
        <v>45755.0</v>
      </c>
      <c r="D314" s="7" t="s">
        <v>54</v>
      </c>
      <c r="E314" s="7" t="s">
        <v>26</v>
      </c>
      <c r="F314" s="7">
        <v>3.0</v>
      </c>
      <c r="G314" s="7" t="s">
        <v>27</v>
      </c>
      <c r="H314" s="7">
        <v>1.0</v>
      </c>
      <c r="I314" s="7">
        <v>2.0</v>
      </c>
      <c r="J314" s="7">
        <v>0.5</v>
      </c>
      <c r="K314" s="7" t="s">
        <v>31</v>
      </c>
      <c r="L314" s="9" t="str">
        <f>VLOOKUP(K314, 'Alphabetical by species code'!A:B, 2, FALSE)</f>
        <v>Festuca myuros</v>
      </c>
    </row>
    <row r="315">
      <c r="A315" s="7">
        <v>4.0</v>
      </c>
      <c r="B315" s="7">
        <v>2025.0</v>
      </c>
      <c r="C315" s="8">
        <v>45755.0</v>
      </c>
      <c r="D315" s="7" t="s">
        <v>54</v>
      </c>
      <c r="E315" s="7" t="s">
        <v>26</v>
      </c>
      <c r="F315" s="7">
        <v>3.0</v>
      </c>
      <c r="G315" s="7" t="s">
        <v>27</v>
      </c>
      <c r="H315" s="7">
        <v>1.0</v>
      </c>
      <c r="I315" s="7">
        <v>3.0</v>
      </c>
      <c r="J315" s="7">
        <v>1.0</v>
      </c>
      <c r="K315" s="7" t="s">
        <v>28</v>
      </c>
      <c r="L315" s="9" t="str">
        <f>VLOOKUP(K315, 'Alphabetical by species code'!A:B, 2, FALSE)</f>
        <v>Litter</v>
      </c>
    </row>
    <row r="316">
      <c r="A316" s="7">
        <v>4.0</v>
      </c>
      <c r="B316" s="7">
        <v>2025.0</v>
      </c>
      <c r="C316" s="8">
        <v>45755.0</v>
      </c>
      <c r="D316" s="7" t="s">
        <v>54</v>
      </c>
      <c r="E316" s="7" t="s">
        <v>26</v>
      </c>
      <c r="F316" s="7">
        <v>3.0</v>
      </c>
      <c r="G316" s="7" t="s">
        <v>27</v>
      </c>
      <c r="H316" s="7">
        <v>1.0</v>
      </c>
      <c r="I316" s="7">
        <v>3.0</v>
      </c>
      <c r="J316" s="7">
        <v>1.0</v>
      </c>
      <c r="K316" s="7" t="s">
        <v>31</v>
      </c>
      <c r="L316" s="9" t="str">
        <f>VLOOKUP(K316, 'Alphabetical by species code'!A:B, 2, FALSE)</f>
        <v>Festuca myuros</v>
      </c>
    </row>
    <row r="317">
      <c r="A317" s="7">
        <v>4.0</v>
      </c>
      <c r="B317" s="7">
        <v>2025.0</v>
      </c>
      <c r="C317" s="8">
        <v>45755.0</v>
      </c>
      <c r="D317" s="7" t="s">
        <v>54</v>
      </c>
      <c r="E317" s="7" t="s">
        <v>26</v>
      </c>
      <c r="F317" s="7">
        <v>3.0</v>
      </c>
      <c r="G317" s="7" t="s">
        <v>27</v>
      </c>
      <c r="H317" s="7">
        <v>1.0</v>
      </c>
      <c r="I317" s="7">
        <v>3.0</v>
      </c>
      <c r="J317" s="7">
        <v>1.0</v>
      </c>
      <c r="K317" s="7" t="s">
        <v>36</v>
      </c>
      <c r="L317" s="9" t="str">
        <f>VLOOKUP(K317, 'Alphabetical by species code'!A:B, 2, FALSE)</f>
        <v>Bromus madritensis</v>
      </c>
    </row>
    <row r="318">
      <c r="A318" s="7">
        <v>4.0</v>
      </c>
      <c r="B318" s="7">
        <v>2025.0</v>
      </c>
      <c r="C318" s="8">
        <v>45755.0</v>
      </c>
      <c r="D318" s="7" t="s">
        <v>54</v>
      </c>
      <c r="E318" s="7" t="s">
        <v>26</v>
      </c>
      <c r="F318" s="7">
        <v>3.0</v>
      </c>
      <c r="G318" s="7" t="s">
        <v>27</v>
      </c>
      <c r="H318" s="7">
        <v>1.0</v>
      </c>
      <c r="I318" s="7">
        <v>3.0</v>
      </c>
      <c r="J318" s="7">
        <v>1.0</v>
      </c>
      <c r="K318" s="7" t="s">
        <v>34</v>
      </c>
      <c r="L318" s="9" t="str">
        <f>VLOOKUP(K318, 'Alphabetical by species code'!A:B, 2, FALSE)</f>
        <v>Erodium cicutarium</v>
      </c>
    </row>
    <row r="319">
      <c r="A319" s="7">
        <v>4.0</v>
      </c>
      <c r="B319" s="7">
        <v>2025.0</v>
      </c>
      <c r="C319" s="8">
        <v>45755.0</v>
      </c>
      <c r="D319" s="7" t="s">
        <v>54</v>
      </c>
      <c r="E319" s="7" t="s">
        <v>26</v>
      </c>
      <c r="F319" s="7">
        <v>3.0</v>
      </c>
      <c r="G319" s="7" t="s">
        <v>27</v>
      </c>
      <c r="H319" s="7">
        <v>1.0</v>
      </c>
      <c r="I319" s="7">
        <v>4.0</v>
      </c>
      <c r="J319" s="7">
        <v>1.5</v>
      </c>
      <c r="K319" s="7" t="s">
        <v>51</v>
      </c>
      <c r="L319" s="9" t="str">
        <f>VLOOKUP(K319, 'Alphabetical by species code'!A:B, 2, FALSE)</f>
        <v>Bareground</v>
      </c>
    </row>
    <row r="320">
      <c r="A320" s="7">
        <v>4.0</v>
      </c>
      <c r="B320" s="7">
        <v>2025.0</v>
      </c>
      <c r="C320" s="8">
        <v>45755.0</v>
      </c>
      <c r="D320" s="7" t="s">
        <v>54</v>
      </c>
      <c r="E320" s="7" t="s">
        <v>26</v>
      </c>
      <c r="F320" s="7">
        <v>3.0</v>
      </c>
      <c r="G320" s="7" t="s">
        <v>27</v>
      </c>
      <c r="H320" s="7">
        <v>1.0</v>
      </c>
      <c r="I320" s="7">
        <v>4.0</v>
      </c>
      <c r="J320" s="7">
        <v>1.5</v>
      </c>
      <c r="K320" s="7" t="s">
        <v>37</v>
      </c>
      <c r="L320" s="9" t="str">
        <f>VLOOKUP(K320, 'Alphabetical by species code'!A:B, 2, FALSE)</f>
        <v>Sonchus oleraceus</v>
      </c>
    </row>
    <row r="321">
      <c r="A321" s="7">
        <v>4.0</v>
      </c>
      <c r="B321" s="7">
        <v>2025.0</v>
      </c>
      <c r="C321" s="8">
        <v>45755.0</v>
      </c>
      <c r="D321" s="7" t="s">
        <v>54</v>
      </c>
      <c r="E321" s="7" t="s">
        <v>26</v>
      </c>
      <c r="F321" s="7">
        <v>3.0</v>
      </c>
      <c r="G321" s="7" t="s">
        <v>27</v>
      </c>
      <c r="H321" s="7">
        <v>1.0</v>
      </c>
      <c r="I321" s="7">
        <v>4.0</v>
      </c>
      <c r="J321" s="7">
        <v>1.5</v>
      </c>
      <c r="K321" s="7" t="s">
        <v>32</v>
      </c>
      <c r="L321" s="9" t="str">
        <f>VLOOKUP(K321, 'Alphabetical by species code'!A:B, 2, FALSE)</f>
        <v>Medicago polymorpha</v>
      </c>
    </row>
    <row r="322">
      <c r="A322" s="7">
        <v>4.0</v>
      </c>
      <c r="B322" s="7">
        <v>2025.0</v>
      </c>
      <c r="C322" s="8">
        <v>45755.0</v>
      </c>
      <c r="D322" s="7" t="s">
        <v>54</v>
      </c>
      <c r="E322" s="7" t="s">
        <v>26</v>
      </c>
      <c r="F322" s="7">
        <v>3.0</v>
      </c>
      <c r="G322" s="7" t="s">
        <v>27</v>
      </c>
      <c r="H322" s="7">
        <v>1.0</v>
      </c>
      <c r="I322" s="7">
        <v>4.0</v>
      </c>
      <c r="J322" s="7">
        <v>1.5</v>
      </c>
      <c r="K322" s="7" t="s">
        <v>31</v>
      </c>
      <c r="L322" s="9" t="str">
        <f>VLOOKUP(K322, 'Alphabetical by species code'!A:B, 2, FALSE)</f>
        <v>Festuca myuros</v>
      </c>
    </row>
    <row r="323">
      <c r="A323" s="7">
        <v>4.0</v>
      </c>
      <c r="B323" s="7">
        <v>2025.0</v>
      </c>
      <c r="C323" s="8">
        <v>45755.0</v>
      </c>
      <c r="D323" s="7" t="s">
        <v>54</v>
      </c>
      <c r="E323" s="7" t="s">
        <v>26</v>
      </c>
      <c r="F323" s="7">
        <v>3.0</v>
      </c>
      <c r="G323" s="7" t="s">
        <v>27</v>
      </c>
      <c r="H323" s="7">
        <v>1.0</v>
      </c>
      <c r="I323" s="7">
        <v>5.0</v>
      </c>
      <c r="J323" s="7">
        <v>2.0</v>
      </c>
      <c r="K323" s="7" t="s">
        <v>51</v>
      </c>
      <c r="L323" s="9" t="str">
        <f>VLOOKUP(K323, 'Alphabetical by species code'!A:B, 2, FALSE)</f>
        <v>Bareground</v>
      </c>
    </row>
    <row r="324">
      <c r="A324" s="7">
        <v>4.0</v>
      </c>
      <c r="B324" s="7">
        <v>2025.0</v>
      </c>
      <c r="C324" s="8">
        <v>45755.0</v>
      </c>
      <c r="D324" s="7" t="s">
        <v>54</v>
      </c>
      <c r="E324" s="7" t="s">
        <v>26</v>
      </c>
      <c r="F324" s="7">
        <v>3.0</v>
      </c>
      <c r="G324" s="7" t="s">
        <v>27</v>
      </c>
      <c r="H324" s="7">
        <v>1.0</v>
      </c>
      <c r="I324" s="7">
        <v>5.0</v>
      </c>
      <c r="J324" s="7">
        <v>2.0</v>
      </c>
      <c r="K324" s="7" t="s">
        <v>31</v>
      </c>
      <c r="L324" s="9" t="str">
        <f>VLOOKUP(K324, 'Alphabetical by species code'!A:B, 2, FALSE)</f>
        <v>Festuca myuros</v>
      </c>
    </row>
    <row r="325">
      <c r="A325" s="7">
        <v>4.0</v>
      </c>
      <c r="B325" s="7">
        <v>2025.0</v>
      </c>
      <c r="C325" s="8">
        <v>45755.0</v>
      </c>
      <c r="D325" s="7" t="s">
        <v>54</v>
      </c>
      <c r="E325" s="7" t="s">
        <v>26</v>
      </c>
      <c r="F325" s="7">
        <v>3.0</v>
      </c>
      <c r="G325" s="7" t="s">
        <v>27</v>
      </c>
      <c r="H325" s="7">
        <v>1.0</v>
      </c>
      <c r="I325" s="7">
        <v>5.0</v>
      </c>
      <c r="J325" s="7">
        <v>2.0</v>
      </c>
      <c r="K325" s="7" t="s">
        <v>37</v>
      </c>
      <c r="L325" s="9" t="str">
        <f>VLOOKUP(K325, 'Alphabetical by species code'!A:B, 2, FALSE)</f>
        <v>Sonchus oleraceus</v>
      </c>
    </row>
    <row r="326">
      <c r="A326" s="7">
        <v>4.0</v>
      </c>
      <c r="B326" s="7">
        <v>2025.0</v>
      </c>
      <c r="C326" s="8">
        <v>45755.0</v>
      </c>
      <c r="D326" s="7" t="s">
        <v>54</v>
      </c>
      <c r="E326" s="7" t="s">
        <v>26</v>
      </c>
      <c r="F326" s="7">
        <v>3.0</v>
      </c>
      <c r="G326" s="7" t="s">
        <v>27</v>
      </c>
      <c r="H326" s="7">
        <v>1.0</v>
      </c>
      <c r="I326" s="7">
        <v>6.0</v>
      </c>
      <c r="J326" s="7">
        <v>2.5</v>
      </c>
      <c r="K326" s="7" t="s">
        <v>41</v>
      </c>
      <c r="L326" s="9" t="str">
        <f>VLOOKUP(K326, 'Alphabetical by species code'!A:B, 2, FALSE)</f>
        <v>Stem</v>
      </c>
    </row>
    <row r="327">
      <c r="A327" s="7">
        <v>4.0</v>
      </c>
      <c r="B327" s="7">
        <v>2025.0</v>
      </c>
      <c r="C327" s="8">
        <v>45755.0</v>
      </c>
      <c r="D327" s="7" t="s">
        <v>54</v>
      </c>
      <c r="E327" s="7" t="s">
        <v>26</v>
      </c>
      <c r="F327" s="7">
        <v>3.0</v>
      </c>
      <c r="G327" s="7" t="s">
        <v>27</v>
      </c>
      <c r="H327" s="7">
        <v>1.0</v>
      </c>
      <c r="I327" s="7">
        <v>6.0</v>
      </c>
      <c r="J327" s="7">
        <v>2.5</v>
      </c>
      <c r="K327" s="7" t="s">
        <v>29</v>
      </c>
      <c r="L327" s="9" t="str">
        <f>VLOOKUP(K327, 'Alphabetical by species code'!A:B, 2, FALSE)</f>
        <v>Opuntia littoralis</v>
      </c>
    </row>
    <row r="328">
      <c r="A328" s="7">
        <v>4.0</v>
      </c>
      <c r="B328" s="7">
        <v>2025.0</v>
      </c>
      <c r="C328" s="8">
        <v>45755.0</v>
      </c>
      <c r="D328" s="7" t="s">
        <v>54</v>
      </c>
      <c r="E328" s="7" t="s">
        <v>26</v>
      </c>
      <c r="F328" s="7">
        <v>3.0</v>
      </c>
      <c r="G328" s="7" t="s">
        <v>27</v>
      </c>
      <c r="H328" s="7">
        <v>1.0</v>
      </c>
      <c r="I328" s="7">
        <v>7.0</v>
      </c>
      <c r="J328" s="7">
        <v>3.0</v>
      </c>
      <c r="K328" s="7" t="s">
        <v>51</v>
      </c>
      <c r="L328" s="9" t="str">
        <f>VLOOKUP(K328, 'Alphabetical by species code'!A:B, 2, FALSE)</f>
        <v>Bareground</v>
      </c>
    </row>
    <row r="329">
      <c r="A329" s="7">
        <v>4.0</v>
      </c>
      <c r="B329" s="7">
        <v>2025.0</v>
      </c>
      <c r="C329" s="8">
        <v>45755.0</v>
      </c>
      <c r="D329" s="7" t="s">
        <v>54</v>
      </c>
      <c r="E329" s="7" t="s">
        <v>26</v>
      </c>
      <c r="F329" s="7">
        <v>3.0</v>
      </c>
      <c r="G329" s="7" t="s">
        <v>27</v>
      </c>
      <c r="H329" s="7">
        <v>1.0</v>
      </c>
      <c r="I329" s="7">
        <v>7.0</v>
      </c>
      <c r="J329" s="7">
        <v>3.0</v>
      </c>
      <c r="K329" s="7" t="s">
        <v>31</v>
      </c>
      <c r="L329" s="9" t="str">
        <f>VLOOKUP(K329, 'Alphabetical by species code'!A:B, 2, FALSE)</f>
        <v>Festuca myuros</v>
      </c>
    </row>
    <row r="330">
      <c r="A330" s="7">
        <v>4.0</v>
      </c>
      <c r="B330" s="7">
        <v>2025.0</v>
      </c>
      <c r="C330" s="8">
        <v>45755.0</v>
      </c>
      <c r="D330" s="7" t="s">
        <v>54</v>
      </c>
      <c r="E330" s="7" t="s">
        <v>26</v>
      </c>
      <c r="F330" s="7">
        <v>3.0</v>
      </c>
      <c r="G330" s="7" t="s">
        <v>27</v>
      </c>
      <c r="H330" s="7">
        <v>1.0</v>
      </c>
      <c r="I330" s="7">
        <v>7.0</v>
      </c>
      <c r="J330" s="7">
        <v>3.0</v>
      </c>
      <c r="K330" s="7" t="s">
        <v>37</v>
      </c>
      <c r="L330" s="9" t="str">
        <f>VLOOKUP(K330, 'Alphabetical by species code'!A:B, 2, FALSE)</f>
        <v>Sonchus oleraceus</v>
      </c>
    </row>
    <row r="331">
      <c r="A331" s="7">
        <v>4.0</v>
      </c>
      <c r="B331" s="7">
        <v>2025.0</v>
      </c>
      <c r="C331" s="8">
        <v>45755.0</v>
      </c>
      <c r="D331" s="7" t="s">
        <v>54</v>
      </c>
      <c r="E331" s="7" t="s">
        <v>26</v>
      </c>
      <c r="F331" s="7">
        <v>3.0</v>
      </c>
      <c r="G331" s="7" t="s">
        <v>27</v>
      </c>
      <c r="H331" s="7">
        <v>1.0</v>
      </c>
      <c r="I331" s="7">
        <v>8.0</v>
      </c>
      <c r="J331" s="7">
        <v>3.5</v>
      </c>
      <c r="K331" s="7" t="s">
        <v>28</v>
      </c>
      <c r="L331" s="9" t="str">
        <f>VLOOKUP(K331, 'Alphabetical by species code'!A:B, 2, FALSE)</f>
        <v>Litter</v>
      </c>
    </row>
    <row r="332">
      <c r="A332" s="7">
        <v>4.0</v>
      </c>
      <c r="B332" s="7">
        <v>2025.0</v>
      </c>
      <c r="C332" s="8">
        <v>45755.0</v>
      </c>
      <c r="D332" s="7" t="s">
        <v>54</v>
      </c>
      <c r="E332" s="7" t="s">
        <v>26</v>
      </c>
      <c r="F332" s="7">
        <v>3.0</v>
      </c>
      <c r="G332" s="7" t="s">
        <v>27</v>
      </c>
      <c r="H332" s="7">
        <v>1.0</v>
      </c>
      <c r="I332" s="7">
        <v>8.0</v>
      </c>
      <c r="J332" s="7">
        <v>3.5</v>
      </c>
      <c r="K332" s="7" t="s">
        <v>31</v>
      </c>
      <c r="L332" s="9" t="str">
        <f>VLOOKUP(K332, 'Alphabetical by species code'!A:B, 2, FALSE)</f>
        <v>Festuca myuros</v>
      </c>
    </row>
    <row r="333">
      <c r="A333" s="7">
        <v>4.0</v>
      </c>
      <c r="B333" s="7">
        <v>2025.0</v>
      </c>
      <c r="C333" s="8">
        <v>45755.0</v>
      </c>
      <c r="D333" s="7" t="s">
        <v>54</v>
      </c>
      <c r="E333" s="7" t="s">
        <v>26</v>
      </c>
      <c r="F333" s="7">
        <v>3.0</v>
      </c>
      <c r="G333" s="7" t="s">
        <v>27</v>
      </c>
      <c r="H333" s="7">
        <v>1.0</v>
      </c>
      <c r="I333" s="7">
        <v>8.0</v>
      </c>
      <c r="J333" s="7">
        <v>3.5</v>
      </c>
      <c r="K333" s="7" t="s">
        <v>35</v>
      </c>
      <c r="L333" s="9" t="str">
        <f>VLOOKUP(K333, 'Alphabetical by species code'!A:B, 2, FALSE)</f>
        <v>Deinandra fasciculata</v>
      </c>
    </row>
    <row r="334">
      <c r="A334" s="7">
        <v>4.0</v>
      </c>
      <c r="B334" s="7">
        <v>2025.0</v>
      </c>
      <c r="C334" s="8">
        <v>45755.0</v>
      </c>
      <c r="D334" s="7" t="s">
        <v>54</v>
      </c>
      <c r="E334" s="7" t="s">
        <v>26</v>
      </c>
      <c r="F334" s="7">
        <v>3.0</v>
      </c>
      <c r="G334" s="7" t="s">
        <v>27</v>
      </c>
      <c r="H334" s="7">
        <v>1.0</v>
      </c>
      <c r="I334" s="7">
        <v>8.0</v>
      </c>
      <c r="J334" s="7">
        <v>3.5</v>
      </c>
      <c r="K334" s="7" t="s">
        <v>32</v>
      </c>
      <c r="L334" s="9" t="str">
        <f>VLOOKUP(K334, 'Alphabetical by species code'!A:B, 2, FALSE)</f>
        <v>Medicago polymorpha</v>
      </c>
    </row>
    <row r="335">
      <c r="A335" s="7">
        <v>4.0</v>
      </c>
      <c r="B335" s="7">
        <v>2025.0</v>
      </c>
      <c r="C335" s="8">
        <v>45755.0</v>
      </c>
      <c r="D335" s="7" t="s">
        <v>54</v>
      </c>
      <c r="E335" s="7" t="s">
        <v>26</v>
      </c>
      <c r="F335" s="7">
        <v>3.0</v>
      </c>
      <c r="G335" s="7" t="s">
        <v>27</v>
      </c>
      <c r="H335" s="7">
        <v>1.0</v>
      </c>
      <c r="I335" s="7">
        <v>9.0</v>
      </c>
      <c r="J335" s="7">
        <v>4.0</v>
      </c>
      <c r="K335" s="7" t="s">
        <v>28</v>
      </c>
      <c r="L335" s="9" t="str">
        <f>VLOOKUP(K335, 'Alphabetical by species code'!A:B, 2, FALSE)</f>
        <v>Litter</v>
      </c>
    </row>
    <row r="336">
      <c r="A336" s="7">
        <v>4.0</v>
      </c>
      <c r="B336" s="7">
        <v>2025.0</v>
      </c>
      <c r="C336" s="8">
        <v>45755.0</v>
      </c>
      <c r="D336" s="7" t="s">
        <v>54</v>
      </c>
      <c r="E336" s="7" t="s">
        <v>26</v>
      </c>
      <c r="F336" s="7">
        <v>3.0</v>
      </c>
      <c r="G336" s="7" t="s">
        <v>27</v>
      </c>
      <c r="H336" s="7">
        <v>1.0</v>
      </c>
      <c r="I336" s="7">
        <v>9.0</v>
      </c>
      <c r="J336" s="7">
        <v>4.0</v>
      </c>
      <c r="K336" s="7" t="s">
        <v>32</v>
      </c>
      <c r="L336" s="9" t="str">
        <f>VLOOKUP(K336, 'Alphabetical by species code'!A:B, 2, FALSE)</f>
        <v>Medicago polymorpha</v>
      </c>
    </row>
    <row r="337">
      <c r="A337" s="7">
        <v>4.0</v>
      </c>
      <c r="B337" s="7">
        <v>2025.0</v>
      </c>
      <c r="C337" s="8">
        <v>45755.0</v>
      </c>
      <c r="D337" s="7" t="s">
        <v>54</v>
      </c>
      <c r="E337" s="7" t="s">
        <v>26</v>
      </c>
      <c r="F337" s="7">
        <v>3.0</v>
      </c>
      <c r="G337" s="7" t="s">
        <v>27</v>
      </c>
      <c r="H337" s="7">
        <v>1.0</v>
      </c>
      <c r="I337" s="7">
        <v>10.0</v>
      </c>
      <c r="J337" s="7">
        <v>4.5</v>
      </c>
      <c r="K337" s="7" t="s">
        <v>28</v>
      </c>
      <c r="L337" s="9" t="str">
        <f>VLOOKUP(K337, 'Alphabetical by species code'!A:B, 2, FALSE)</f>
        <v>Litter</v>
      </c>
    </row>
    <row r="338">
      <c r="A338" s="7">
        <v>4.0</v>
      </c>
      <c r="B338" s="7">
        <v>2025.0</v>
      </c>
      <c r="C338" s="8">
        <v>45755.0</v>
      </c>
      <c r="D338" s="7" t="s">
        <v>54</v>
      </c>
      <c r="E338" s="7" t="s">
        <v>26</v>
      </c>
      <c r="F338" s="7">
        <v>3.0</v>
      </c>
      <c r="G338" s="7" t="s">
        <v>27</v>
      </c>
      <c r="H338" s="7">
        <v>1.0</v>
      </c>
      <c r="I338" s="7">
        <v>10.0</v>
      </c>
      <c r="J338" s="7">
        <v>4.5</v>
      </c>
      <c r="K338" s="7" t="s">
        <v>55</v>
      </c>
      <c r="L338" s="9" t="str">
        <f>VLOOKUP(K338, 'Alphabetical by species code'!A:B, 2, FALSE)</f>
        <v>Daucus pusillus</v>
      </c>
    </row>
    <row r="339">
      <c r="A339" s="7">
        <v>4.0</v>
      </c>
      <c r="B339" s="7">
        <v>2025.0</v>
      </c>
      <c r="C339" s="8">
        <v>45755.0</v>
      </c>
      <c r="D339" s="7" t="s">
        <v>54</v>
      </c>
      <c r="E339" s="7" t="s">
        <v>26</v>
      </c>
      <c r="F339" s="7">
        <v>3.0</v>
      </c>
      <c r="G339" s="7" t="s">
        <v>27</v>
      </c>
      <c r="H339" s="7">
        <v>1.0</v>
      </c>
      <c r="I339" s="7">
        <v>10.0</v>
      </c>
      <c r="J339" s="7">
        <v>4.5</v>
      </c>
      <c r="K339" s="7" t="s">
        <v>35</v>
      </c>
      <c r="L339" s="9" t="str">
        <f>VLOOKUP(K339, 'Alphabetical by species code'!A:B, 2, FALSE)</f>
        <v>Deinandra fasciculata</v>
      </c>
    </row>
    <row r="340">
      <c r="A340" s="7">
        <v>4.0</v>
      </c>
      <c r="B340" s="7">
        <v>2025.0</v>
      </c>
      <c r="C340" s="8">
        <v>45755.0</v>
      </c>
      <c r="D340" s="7" t="s">
        <v>54</v>
      </c>
      <c r="E340" s="7" t="s">
        <v>26</v>
      </c>
      <c r="F340" s="7">
        <v>3.0</v>
      </c>
      <c r="G340" s="7" t="s">
        <v>27</v>
      </c>
      <c r="H340" s="7">
        <v>1.0</v>
      </c>
      <c r="I340" s="7">
        <v>10.0</v>
      </c>
      <c r="J340" s="7">
        <v>4.5</v>
      </c>
      <c r="K340" s="7" t="s">
        <v>31</v>
      </c>
      <c r="L340" s="9" t="str">
        <f>VLOOKUP(K340, 'Alphabetical by species code'!A:B, 2, FALSE)</f>
        <v>Festuca myuros</v>
      </c>
    </row>
    <row r="341">
      <c r="A341" s="7">
        <v>4.0</v>
      </c>
      <c r="B341" s="7">
        <v>2025.0</v>
      </c>
      <c r="C341" s="8">
        <v>45755.0</v>
      </c>
      <c r="D341" s="7" t="s">
        <v>54</v>
      </c>
      <c r="E341" s="7" t="s">
        <v>26</v>
      </c>
      <c r="F341" s="7">
        <v>3.0</v>
      </c>
      <c r="G341" s="7" t="s">
        <v>27</v>
      </c>
      <c r="H341" s="7">
        <v>1.0</v>
      </c>
      <c r="I341" s="7">
        <v>11.0</v>
      </c>
      <c r="J341" s="7">
        <v>5.0</v>
      </c>
      <c r="K341" s="7" t="s">
        <v>28</v>
      </c>
      <c r="L341" s="9" t="str">
        <f>VLOOKUP(K341, 'Alphabetical by species code'!A:B, 2, FALSE)</f>
        <v>Litter</v>
      </c>
    </row>
    <row r="342">
      <c r="A342" s="7">
        <v>4.0</v>
      </c>
      <c r="B342" s="7">
        <v>2025.0</v>
      </c>
      <c r="C342" s="8">
        <v>45755.0</v>
      </c>
      <c r="D342" s="7" t="s">
        <v>54</v>
      </c>
      <c r="E342" s="7" t="s">
        <v>26</v>
      </c>
      <c r="F342" s="7">
        <v>3.0</v>
      </c>
      <c r="G342" s="7" t="s">
        <v>27</v>
      </c>
      <c r="H342" s="7">
        <v>1.0</v>
      </c>
      <c r="I342" s="7">
        <v>11.0</v>
      </c>
      <c r="J342" s="7">
        <v>5.0</v>
      </c>
      <c r="K342" s="7" t="s">
        <v>31</v>
      </c>
      <c r="L342" s="9" t="str">
        <f>VLOOKUP(K342, 'Alphabetical by species code'!A:B, 2, FALSE)</f>
        <v>Festuca myuros</v>
      </c>
    </row>
    <row r="343">
      <c r="A343" s="7">
        <v>4.0</v>
      </c>
      <c r="B343" s="7">
        <v>2025.0</v>
      </c>
      <c r="C343" s="8">
        <v>45755.0</v>
      </c>
      <c r="D343" s="7" t="s">
        <v>54</v>
      </c>
      <c r="E343" s="7" t="s">
        <v>26</v>
      </c>
      <c r="F343" s="7">
        <v>3.0</v>
      </c>
      <c r="G343" s="7" t="s">
        <v>27</v>
      </c>
      <c r="H343" s="7">
        <v>1.0</v>
      </c>
      <c r="I343" s="7">
        <v>11.0</v>
      </c>
      <c r="J343" s="7">
        <v>5.0</v>
      </c>
      <c r="K343" s="7" t="s">
        <v>37</v>
      </c>
      <c r="L343" s="9" t="str">
        <f>VLOOKUP(K343, 'Alphabetical by species code'!A:B, 2, FALSE)</f>
        <v>Sonchus oleraceus</v>
      </c>
    </row>
    <row r="344">
      <c r="A344" s="7">
        <v>4.0</v>
      </c>
      <c r="B344" s="7">
        <v>2025.0</v>
      </c>
      <c r="C344" s="8">
        <v>45755.0</v>
      </c>
      <c r="D344" s="7" t="s">
        <v>54</v>
      </c>
      <c r="E344" s="7" t="s">
        <v>26</v>
      </c>
      <c r="F344" s="7">
        <v>3.0</v>
      </c>
      <c r="G344" s="7" t="s">
        <v>27</v>
      </c>
      <c r="H344" s="7">
        <v>1.0</v>
      </c>
      <c r="I344" s="7">
        <v>11.0</v>
      </c>
      <c r="J344" s="7">
        <v>5.0</v>
      </c>
      <c r="K344" s="7" t="s">
        <v>39</v>
      </c>
      <c r="L344" s="9" t="str">
        <f>VLOOKUP(K344, 'Alphabetical by species code'!A:B, 2, FALSE)</f>
        <v>Stephanomeria diegensis</v>
      </c>
    </row>
    <row r="345">
      <c r="A345" s="7">
        <v>4.0</v>
      </c>
      <c r="B345" s="7">
        <v>2025.0</v>
      </c>
      <c r="C345" s="8">
        <v>45755.0</v>
      </c>
      <c r="D345" s="7" t="s">
        <v>54</v>
      </c>
      <c r="E345" s="7" t="s">
        <v>26</v>
      </c>
      <c r="F345" s="7">
        <v>3.0</v>
      </c>
      <c r="G345" s="7" t="s">
        <v>27</v>
      </c>
      <c r="H345" s="7">
        <v>1.0</v>
      </c>
      <c r="I345" s="7">
        <v>12.0</v>
      </c>
      <c r="J345" s="7">
        <v>5.5</v>
      </c>
      <c r="K345" s="7" t="s">
        <v>38</v>
      </c>
      <c r="L345" s="9" t="str">
        <f>VLOOKUP(K345, 'Alphabetical by species code'!A:B, 2, FALSE)</f>
        <v>Thatch</v>
      </c>
    </row>
    <row r="346">
      <c r="A346" s="7">
        <v>4.0</v>
      </c>
      <c r="B346" s="7">
        <v>2025.0</v>
      </c>
      <c r="C346" s="8">
        <v>45755.0</v>
      </c>
      <c r="D346" s="7" t="s">
        <v>54</v>
      </c>
      <c r="E346" s="7" t="s">
        <v>26</v>
      </c>
      <c r="F346" s="7">
        <v>3.0</v>
      </c>
      <c r="G346" s="7" t="s">
        <v>27</v>
      </c>
      <c r="H346" s="7">
        <v>1.0</v>
      </c>
      <c r="I346" s="7">
        <v>13.0</v>
      </c>
      <c r="J346" s="7">
        <v>6.5</v>
      </c>
      <c r="K346" s="7" t="s">
        <v>38</v>
      </c>
      <c r="L346" s="9" t="str">
        <f>VLOOKUP(K346, 'Alphabetical by species code'!A:B, 2, FALSE)</f>
        <v>Thatch</v>
      </c>
    </row>
    <row r="347">
      <c r="A347" s="7">
        <v>4.0</v>
      </c>
      <c r="B347" s="7">
        <v>2025.0</v>
      </c>
      <c r="C347" s="8">
        <v>45755.0</v>
      </c>
      <c r="D347" s="7" t="s">
        <v>54</v>
      </c>
      <c r="E347" s="7" t="s">
        <v>26</v>
      </c>
      <c r="F347" s="7">
        <v>3.0</v>
      </c>
      <c r="G347" s="7" t="s">
        <v>27</v>
      </c>
      <c r="H347" s="7">
        <v>1.0</v>
      </c>
      <c r="I347" s="7">
        <v>13.0</v>
      </c>
      <c r="J347" s="7">
        <v>6.5</v>
      </c>
      <c r="K347" s="7" t="s">
        <v>43</v>
      </c>
      <c r="L347" s="9" t="str">
        <f>VLOOKUP(K347, 'Alphabetical by species code'!A:B, 2, FALSE)</f>
        <v>Uropappus lindleyi</v>
      </c>
    </row>
    <row r="348">
      <c r="A348" s="7">
        <v>4.0</v>
      </c>
      <c r="B348" s="7">
        <v>2025.0</v>
      </c>
      <c r="C348" s="8">
        <v>45755.0</v>
      </c>
      <c r="D348" s="7" t="s">
        <v>54</v>
      </c>
      <c r="E348" s="7" t="s">
        <v>26</v>
      </c>
      <c r="F348" s="7">
        <v>3.0</v>
      </c>
      <c r="G348" s="7" t="s">
        <v>27</v>
      </c>
      <c r="H348" s="7">
        <v>1.0</v>
      </c>
      <c r="I348" s="7">
        <v>14.0</v>
      </c>
      <c r="J348" s="7">
        <v>7.0</v>
      </c>
      <c r="K348" s="7" t="s">
        <v>28</v>
      </c>
      <c r="L348" s="9" t="str">
        <f>VLOOKUP(K348, 'Alphabetical by species code'!A:B, 2, FALSE)</f>
        <v>Litter</v>
      </c>
    </row>
    <row r="349">
      <c r="A349" s="7">
        <v>4.0</v>
      </c>
      <c r="B349" s="7">
        <v>2025.0</v>
      </c>
      <c r="C349" s="8">
        <v>45755.0</v>
      </c>
      <c r="D349" s="7" t="s">
        <v>54</v>
      </c>
      <c r="E349" s="7" t="s">
        <v>26</v>
      </c>
      <c r="F349" s="7">
        <v>3.0</v>
      </c>
      <c r="G349" s="7" t="s">
        <v>27</v>
      </c>
      <c r="H349" s="7">
        <v>1.0</v>
      </c>
      <c r="I349" s="7">
        <v>14.0</v>
      </c>
      <c r="J349" s="7">
        <v>7.0</v>
      </c>
      <c r="K349" s="7" t="s">
        <v>32</v>
      </c>
      <c r="L349" s="9" t="str">
        <f>VLOOKUP(K349, 'Alphabetical by species code'!A:B, 2, FALSE)</f>
        <v>Medicago polymorpha</v>
      </c>
    </row>
    <row r="350">
      <c r="A350" s="7">
        <v>4.0</v>
      </c>
      <c r="B350" s="7">
        <v>2025.0</v>
      </c>
      <c r="C350" s="8">
        <v>45755.0</v>
      </c>
      <c r="D350" s="7" t="s">
        <v>54</v>
      </c>
      <c r="E350" s="7" t="s">
        <v>26</v>
      </c>
      <c r="F350" s="7">
        <v>3.0</v>
      </c>
      <c r="G350" s="7" t="s">
        <v>27</v>
      </c>
      <c r="H350" s="7">
        <v>1.0</v>
      </c>
      <c r="I350" s="7">
        <v>14.0</v>
      </c>
      <c r="J350" s="7">
        <v>7.0</v>
      </c>
      <c r="K350" s="7" t="s">
        <v>42</v>
      </c>
      <c r="L350" s="9" t="str">
        <f>VLOOKUP(K350, 'Alphabetical by species code'!A:B, 2, FALSE)</f>
        <v>Centaurea melitensis</v>
      </c>
    </row>
    <row r="351">
      <c r="A351" s="7">
        <v>4.0</v>
      </c>
      <c r="B351" s="7">
        <v>2025.0</v>
      </c>
      <c r="C351" s="8">
        <v>45755.0</v>
      </c>
      <c r="D351" s="7" t="s">
        <v>54</v>
      </c>
      <c r="E351" s="7" t="s">
        <v>26</v>
      </c>
      <c r="F351" s="7">
        <v>3.0</v>
      </c>
      <c r="G351" s="7" t="s">
        <v>27</v>
      </c>
      <c r="H351" s="7">
        <v>1.0</v>
      </c>
      <c r="I351" s="7">
        <v>14.0</v>
      </c>
      <c r="J351" s="7">
        <v>7.0</v>
      </c>
      <c r="K351" s="7" t="s">
        <v>31</v>
      </c>
      <c r="L351" s="9" t="str">
        <f>VLOOKUP(K351, 'Alphabetical by species code'!A:B, 2, FALSE)</f>
        <v>Festuca myuros</v>
      </c>
    </row>
    <row r="352">
      <c r="A352" s="7">
        <v>4.0</v>
      </c>
      <c r="B352" s="7">
        <v>2025.0</v>
      </c>
      <c r="C352" s="8">
        <v>45755.0</v>
      </c>
      <c r="D352" s="7" t="s">
        <v>54</v>
      </c>
      <c r="E352" s="7" t="s">
        <v>26</v>
      </c>
      <c r="F352" s="7">
        <v>3.0</v>
      </c>
      <c r="G352" s="7" t="s">
        <v>27</v>
      </c>
      <c r="H352" s="7">
        <v>1.0</v>
      </c>
      <c r="I352" s="7">
        <v>15.0</v>
      </c>
      <c r="J352" s="7">
        <v>7.5</v>
      </c>
      <c r="K352" s="7" t="s">
        <v>41</v>
      </c>
      <c r="L352" s="9" t="str">
        <f>VLOOKUP(K352, 'Alphabetical by species code'!A:B, 2, FALSE)</f>
        <v>Stem</v>
      </c>
    </row>
    <row r="353">
      <c r="A353" s="7">
        <v>4.0</v>
      </c>
      <c r="B353" s="7">
        <v>2025.0</v>
      </c>
      <c r="C353" s="8">
        <v>45755.0</v>
      </c>
      <c r="D353" s="7" t="s">
        <v>54</v>
      </c>
      <c r="E353" s="7" t="s">
        <v>26</v>
      </c>
      <c r="F353" s="7">
        <v>3.0</v>
      </c>
      <c r="G353" s="7" t="s">
        <v>27</v>
      </c>
      <c r="H353" s="7">
        <v>1.0</v>
      </c>
      <c r="I353" s="7">
        <v>15.0</v>
      </c>
      <c r="J353" s="7">
        <v>7.5</v>
      </c>
      <c r="K353" s="7" t="s">
        <v>29</v>
      </c>
      <c r="L353" s="9" t="str">
        <f>VLOOKUP(K353, 'Alphabetical by species code'!A:B, 2, FALSE)</f>
        <v>Opuntia littoralis</v>
      </c>
    </row>
    <row r="354">
      <c r="A354" s="7">
        <v>4.0</v>
      </c>
      <c r="B354" s="7">
        <v>2025.0</v>
      </c>
      <c r="C354" s="8">
        <v>45755.0</v>
      </c>
      <c r="D354" s="7" t="s">
        <v>54</v>
      </c>
      <c r="E354" s="7" t="s">
        <v>26</v>
      </c>
      <c r="F354" s="7">
        <v>3.0</v>
      </c>
      <c r="G354" s="7" t="s">
        <v>27</v>
      </c>
      <c r="H354" s="7">
        <v>2.0</v>
      </c>
      <c r="I354" s="7">
        <v>1.0</v>
      </c>
      <c r="J354" s="7">
        <v>0.0</v>
      </c>
      <c r="K354" s="7" t="s">
        <v>28</v>
      </c>
      <c r="L354" s="9" t="str">
        <f>VLOOKUP(K354, 'Alphabetical by species code'!A:B, 2, FALSE)</f>
        <v>Litter</v>
      </c>
    </row>
    <row r="355">
      <c r="A355" s="7">
        <v>4.0</v>
      </c>
      <c r="B355" s="7">
        <v>2025.0</v>
      </c>
      <c r="C355" s="8">
        <v>45755.0</v>
      </c>
      <c r="D355" s="7" t="s">
        <v>54</v>
      </c>
      <c r="E355" s="7" t="s">
        <v>26</v>
      </c>
      <c r="F355" s="7">
        <v>3.0</v>
      </c>
      <c r="G355" s="7" t="s">
        <v>27</v>
      </c>
      <c r="H355" s="7">
        <v>2.0</v>
      </c>
      <c r="I355" s="7">
        <v>1.0</v>
      </c>
      <c r="J355" s="7">
        <v>0.0</v>
      </c>
      <c r="K355" s="7" t="s">
        <v>48</v>
      </c>
      <c r="L355" s="9" t="str">
        <f>VLOOKUP(K355, 'Alphabetical by species code'!A:B, 2, FALSE)</f>
        <v>Sonchus asper</v>
      </c>
    </row>
    <row r="356">
      <c r="A356" s="7">
        <v>4.0</v>
      </c>
      <c r="B356" s="7">
        <v>2025.0</v>
      </c>
      <c r="C356" s="8">
        <v>45755.0</v>
      </c>
      <c r="D356" s="7" t="s">
        <v>54</v>
      </c>
      <c r="E356" s="7" t="s">
        <v>26</v>
      </c>
      <c r="F356" s="7">
        <v>3.0</v>
      </c>
      <c r="G356" s="7" t="s">
        <v>27</v>
      </c>
      <c r="H356" s="7">
        <v>2.0</v>
      </c>
      <c r="I356" s="7">
        <v>1.0</v>
      </c>
      <c r="J356" s="7">
        <v>0.0</v>
      </c>
      <c r="K356" s="7" t="s">
        <v>31</v>
      </c>
      <c r="L356" s="9" t="str">
        <f>VLOOKUP(K356, 'Alphabetical by species code'!A:B, 2, FALSE)</f>
        <v>Festuca myuros</v>
      </c>
    </row>
    <row r="357">
      <c r="A357" s="7">
        <v>4.0</v>
      </c>
      <c r="B357" s="7">
        <v>2025.0</v>
      </c>
      <c r="C357" s="8">
        <v>45755.0</v>
      </c>
      <c r="D357" s="7" t="s">
        <v>54</v>
      </c>
      <c r="E357" s="7" t="s">
        <v>26</v>
      </c>
      <c r="F357" s="7">
        <v>3.0</v>
      </c>
      <c r="G357" s="7" t="s">
        <v>27</v>
      </c>
      <c r="H357" s="7">
        <v>2.0</v>
      </c>
      <c r="I357" s="7">
        <v>1.0</v>
      </c>
      <c r="J357" s="7">
        <v>0.0</v>
      </c>
      <c r="K357" s="7" t="s">
        <v>49</v>
      </c>
      <c r="L357" s="9" t="str">
        <f>VLOOKUP(K357, 'Alphabetical by species code'!A:B, 2, FALSE)</f>
        <v>Anagallis arvensis</v>
      </c>
    </row>
    <row r="358">
      <c r="A358" s="7">
        <v>4.0</v>
      </c>
      <c r="B358" s="7">
        <v>2025.0</v>
      </c>
      <c r="C358" s="8">
        <v>45755.0</v>
      </c>
      <c r="D358" s="7" t="s">
        <v>54</v>
      </c>
      <c r="E358" s="7" t="s">
        <v>26</v>
      </c>
      <c r="F358" s="7">
        <v>3.0</v>
      </c>
      <c r="G358" s="7" t="s">
        <v>27</v>
      </c>
      <c r="H358" s="7">
        <v>2.0</v>
      </c>
      <c r="I358" s="7">
        <v>1.0</v>
      </c>
      <c r="J358" s="7">
        <v>0.0</v>
      </c>
      <c r="K358" s="7" t="s">
        <v>55</v>
      </c>
      <c r="L358" s="9" t="str">
        <f>VLOOKUP(K358, 'Alphabetical by species code'!A:B, 2, FALSE)</f>
        <v>Daucus pusillus</v>
      </c>
    </row>
    <row r="359">
      <c r="A359" s="7">
        <v>4.0</v>
      </c>
      <c r="B359" s="7">
        <v>2025.0</v>
      </c>
      <c r="C359" s="8">
        <v>45755.0</v>
      </c>
      <c r="D359" s="7" t="s">
        <v>54</v>
      </c>
      <c r="E359" s="7" t="s">
        <v>26</v>
      </c>
      <c r="F359" s="7">
        <v>3.0</v>
      </c>
      <c r="G359" s="7" t="s">
        <v>27</v>
      </c>
      <c r="H359" s="7">
        <v>2.0</v>
      </c>
      <c r="I359" s="7">
        <v>2.0</v>
      </c>
      <c r="J359" s="7">
        <v>0.5</v>
      </c>
      <c r="K359" s="7" t="s">
        <v>51</v>
      </c>
      <c r="L359" s="9" t="str">
        <f>VLOOKUP(K359, 'Alphabetical by species code'!A:B, 2, FALSE)</f>
        <v>Bareground</v>
      </c>
    </row>
    <row r="360">
      <c r="A360" s="7">
        <v>4.0</v>
      </c>
      <c r="B360" s="7">
        <v>2025.0</v>
      </c>
      <c r="C360" s="8">
        <v>45755.0</v>
      </c>
      <c r="D360" s="7" t="s">
        <v>54</v>
      </c>
      <c r="E360" s="7" t="s">
        <v>26</v>
      </c>
      <c r="F360" s="7">
        <v>3.0</v>
      </c>
      <c r="G360" s="7" t="s">
        <v>27</v>
      </c>
      <c r="H360" s="7">
        <v>2.0</v>
      </c>
      <c r="I360" s="7">
        <v>2.0</v>
      </c>
      <c r="J360" s="7">
        <v>0.5</v>
      </c>
      <c r="K360" s="7" t="s">
        <v>31</v>
      </c>
      <c r="L360" s="9" t="str">
        <f>VLOOKUP(K360, 'Alphabetical by species code'!A:B, 2, FALSE)</f>
        <v>Festuca myuros</v>
      </c>
    </row>
    <row r="361">
      <c r="A361" s="7">
        <v>4.0</v>
      </c>
      <c r="B361" s="7">
        <v>2025.0</v>
      </c>
      <c r="C361" s="8">
        <v>45755.0</v>
      </c>
      <c r="D361" s="7" t="s">
        <v>54</v>
      </c>
      <c r="E361" s="7" t="s">
        <v>26</v>
      </c>
      <c r="F361" s="7">
        <v>3.0</v>
      </c>
      <c r="G361" s="7" t="s">
        <v>27</v>
      </c>
      <c r="H361" s="7">
        <v>2.0</v>
      </c>
      <c r="I361" s="7">
        <v>3.0</v>
      </c>
      <c r="J361" s="7">
        <v>1.0</v>
      </c>
      <c r="K361" s="7" t="s">
        <v>41</v>
      </c>
      <c r="L361" s="9" t="str">
        <f>VLOOKUP(K361, 'Alphabetical by species code'!A:B, 2, FALSE)</f>
        <v>Stem</v>
      </c>
    </row>
    <row r="362">
      <c r="A362" s="7">
        <v>4.0</v>
      </c>
      <c r="B362" s="7">
        <v>2025.0</v>
      </c>
      <c r="C362" s="8">
        <v>45755.0</v>
      </c>
      <c r="D362" s="7" t="s">
        <v>54</v>
      </c>
      <c r="E362" s="7" t="s">
        <v>26</v>
      </c>
      <c r="F362" s="7">
        <v>3.0</v>
      </c>
      <c r="G362" s="7" t="s">
        <v>27</v>
      </c>
      <c r="H362" s="7">
        <v>2.0</v>
      </c>
      <c r="I362" s="7">
        <v>3.0</v>
      </c>
      <c r="J362" s="7">
        <v>1.0</v>
      </c>
      <c r="K362" s="7" t="s">
        <v>29</v>
      </c>
      <c r="L362" s="9" t="str">
        <f>VLOOKUP(K362, 'Alphabetical by species code'!A:B, 2, FALSE)</f>
        <v>Opuntia littoralis</v>
      </c>
    </row>
    <row r="363">
      <c r="A363" s="7">
        <v>4.0</v>
      </c>
      <c r="B363" s="7">
        <v>2025.0</v>
      </c>
      <c r="C363" s="8">
        <v>45755.0</v>
      </c>
      <c r="D363" s="7" t="s">
        <v>54</v>
      </c>
      <c r="E363" s="7" t="s">
        <v>26</v>
      </c>
      <c r="F363" s="7">
        <v>3.0</v>
      </c>
      <c r="G363" s="7" t="s">
        <v>27</v>
      </c>
      <c r="H363" s="7">
        <v>2.0</v>
      </c>
      <c r="I363" s="7">
        <v>4.0</v>
      </c>
      <c r="J363" s="7">
        <v>1.5</v>
      </c>
      <c r="K363" s="7" t="s">
        <v>41</v>
      </c>
      <c r="L363" s="9" t="str">
        <f>VLOOKUP(K363, 'Alphabetical by species code'!A:B, 2, FALSE)</f>
        <v>Stem</v>
      </c>
    </row>
    <row r="364">
      <c r="A364" s="7">
        <v>4.0</v>
      </c>
      <c r="B364" s="7">
        <v>2025.0</v>
      </c>
      <c r="C364" s="8">
        <v>45755.0</v>
      </c>
      <c r="D364" s="7" t="s">
        <v>54</v>
      </c>
      <c r="E364" s="7" t="s">
        <v>26</v>
      </c>
      <c r="F364" s="7">
        <v>3.0</v>
      </c>
      <c r="G364" s="7" t="s">
        <v>27</v>
      </c>
      <c r="H364" s="7">
        <v>2.0</v>
      </c>
      <c r="I364" s="7">
        <v>4.0</v>
      </c>
      <c r="J364" s="7">
        <v>1.5</v>
      </c>
      <c r="K364" s="7" t="s">
        <v>29</v>
      </c>
      <c r="L364" s="9" t="str">
        <f>VLOOKUP(K364, 'Alphabetical by species code'!A:B, 2, FALSE)</f>
        <v>Opuntia littoralis</v>
      </c>
    </row>
    <row r="365">
      <c r="A365" s="7">
        <v>4.0</v>
      </c>
      <c r="B365" s="7">
        <v>2025.0</v>
      </c>
      <c r="C365" s="8">
        <v>45755.0</v>
      </c>
      <c r="D365" s="7" t="s">
        <v>54</v>
      </c>
      <c r="E365" s="7" t="s">
        <v>26</v>
      </c>
      <c r="F365" s="7">
        <v>3.0</v>
      </c>
      <c r="G365" s="7" t="s">
        <v>27</v>
      </c>
      <c r="H365" s="7">
        <v>2.0</v>
      </c>
      <c r="I365" s="7">
        <v>4.0</v>
      </c>
      <c r="J365" s="7">
        <v>1.5</v>
      </c>
      <c r="K365" s="7" t="s">
        <v>31</v>
      </c>
      <c r="L365" s="9" t="str">
        <f>VLOOKUP(K365, 'Alphabetical by species code'!A:B, 2, FALSE)</f>
        <v>Festuca myuros</v>
      </c>
    </row>
    <row r="366">
      <c r="A366" s="7">
        <v>4.0</v>
      </c>
      <c r="B366" s="7">
        <v>2025.0</v>
      </c>
      <c r="C366" s="8">
        <v>45755.0</v>
      </c>
      <c r="D366" s="7" t="s">
        <v>54</v>
      </c>
      <c r="E366" s="7" t="s">
        <v>26</v>
      </c>
      <c r="F366" s="7">
        <v>3.0</v>
      </c>
      <c r="G366" s="7" t="s">
        <v>27</v>
      </c>
      <c r="H366" s="7">
        <v>2.0</v>
      </c>
      <c r="I366" s="7">
        <v>5.0</v>
      </c>
      <c r="J366" s="7">
        <v>2.5</v>
      </c>
      <c r="K366" s="7" t="s">
        <v>51</v>
      </c>
      <c r="L366" s="9" t="str">
        <f>VLOOKUP(K366, 'Alphabetical by species code'!A:B, 2, FALSE)</f>
        <v>Bareground</v>
      </c>
    </row>
    <row r="367">
      <c r="A367" s="7">
        <v>4.0</v>
      </c>
      <c r="B367" s="7">
        <v>2025.0</v>
      </c>
      <c r="C367" s="8">
        <v>45755.0</v>
      </c>
      <c r="D367" s="7" t="s">
        <v>54</v>
      </c>
      <c r="E367" s="7" t="s">
        <v>26</v>
      </c>
      <c r="F367" s="7">
        <v>3.0</v>
      </c>
      <c r="G367" s="7" t="s">
        <v>27</v>
      </c>
      <c r="H367" s="7">
        <v>2.0</v>
      </c>
      <c r="I367" s="7">
        <v>5.0</v>
      </c>
      <c r="J367" s="7">
        <v>2.5</v>
      </c>
      <c r="K367" s="7" t="s">
        <v>31</v>
      </c>
      <c r="L367" s="9" t="str">
        <f>VLOOKUP(K367, 'Alphabetical by species code'!A:B, 2, FALSE)</f>
        <v>Festuca myuros</v>
      </c>
    </row>
    <row r="368">
      <c r="A368" s="7">
        <v>4.0</v>
      </c>
      <c r="B368" s="7">
        <v>2025.0</v>
      </c>
      <c r="C368" s="8">
        <v>45755.0</v>
      </c>
      <c r="D368" s="7" t="s">
        <v>54</v>
      </c>
      <c r="E368" s="7" t="s">
        <v>26</v>
      </c>
      <c r="F368" s="7">
        <v>3.0</v>
      </c>
      <c r="G368" s="7" t="s">
        <v>27</v>
      </c>
      <c r="H368" s="7">
        <v>2.0</v>
      </c>
      <c r="I368" s="7">
        <v>5.0</v>
      </c>
      <c r="J368" s="7">
        <v>2.5</v>
      </c>
      <c r="K368" s="7" t="s">
        <v>32</v>
      </c>
      <c r="L368" s="9" t="str">
        <f>VLOOKUP(K368, 'Alphabetical by species code'!A:B, 2, FALSE)</f>
        <v>Medicago polymorpha</v>
      </c>
    </row>
    <row r="369">
      <c r="A369" s="7">
        <v>4.0</v>
      </c>
      <c r="B369" s="7">
        <v>2025.0</v>
      </c>
      <c r="C369" s="8">
        <v>45755.0</v>
      </c>
      <c r="D369" s="7" t="s">
        <v>54</v>
      </c>
      <c r="E369" s="7" t="s">
        <v>26</v>
      </c>
      <c r="F369" s="7">
        <v>3.0</v>
      </c>
      <c r="G369" s="7" t="s">
        <v>27</v>
      </c>
      <c r="H369" s="7">
        <v>2.0</v>
      </c>
      <c r="I369" s="7">
        <v>6.0</v>
      </c>
      <c r="J369" s="7">
        <v>3.0</v>
      </c>
      <c r="K369" s="7" t="s">
        <v>52</v>
      </c>
      <c r="L369" s="9" t="str">
        <f>VLOOKUP(K369, 'Alphabetical by species code'!A:B, 2, FALSE)</f>
        <v>Rock</v>
      </c>
    </row>
    <row r="370">
      <c r="A370" s="7">
        <v>4.0</v>
      </c>
      <c r="B370" s="7">
        <v>2025.0</v>
      </c>
      <c r="C370" s="8">
        <v>45755.0</v>
      </c>
      <c r="D370" s="7" t="s">
        <v>54</v>
      </c>
      <c r="E370" s="7" t="s">
        <v>26</v>
      </c>
      <c r="F370" s="7">
        <v>3.0</v>
      </c>
      <c r="G370" s="7" t="s">
        <v>27</v>
      </c>
      <c r="H370" s="7">
        <v>2.0</v>
      </c>
      <c r="I370" s="7">
        <v>6.0</v>
      </c>
      <c r="J370" s="7">
        <v>3.0</v>
      </c>
      <c r="K370" s="7" t="s">
        <v>31</v>
      </c>
      <c r="L370" s="9" t="str">
        <f>VLOOKUP(K370, 'Alphabetical by species code'!A:B, 2, FALSE)</f>
        <v>Festuca myuros</v>
      </c>
    </row>
    <row r="371">
      <c r="A371" s="7">
        <v>4.0</v>
      </c>
      <c r="B371" s="7">
        <v>2025.0</v>
      </c>
      <c r="C371" s="8">
        <v>45755.0</v>
      </c>
      <c r="D371" s="7" t="s">
        <v>54</v>
      </c>
      <c r="E371" s="7" t="s">
        <v>26</v>
      </c>
      <c r="F371" s="7">
        <v>3.0</v>
      </c>
      <c r="G371" s="7" t="s">
        <v>27</v>
      </c>
      <c r="H371" s="7">
        <v>2.0</v>
      </c>
      <c r="I371" s="7">
        <v>7.0</v>
      </c>
      <c r="J371" s="7">
        <v>3.5</v>
      </c>
      <c r="K371" s="7" t="s">
        <v>28</v>
      </c>
      <c r="L371" s="9" t="str">
        <f>VLOOKUP(K371, 'Alphabetical by species code'!A:B, 2, FALSE)</f>
        <v>Litter</v>
      </c>
    </row>
    <row r="372">
      <c r="A372" s="7">
        <v>4.0</v>
      </c>
      <c r="B372" s="7">
        <v>2025.0</v>
      </c>
      <c r="C372" s="8">
        <v>45755.0</v>
      </c>
      <c r="D372" s="7" t="s">
        <v>54</v>
      </c>
      <c r="E372" s="7" t="s">
        <v>26</v>
      </c>
      <c r="F372" s="7">
        <v>3.0</v>
      </c>
      <c r="G372" s="7" t="s">
        <v>27</v>
      </c>
      <c r="H372" s="7">
        <v>2.0</v>
      </c>
      <c r="I372" s="7">
        <v>7.0</v>
      </c>
      <c r="J372" s="7">
        <v>3.5</v>
      </c>
      <c r="K372" s="7" t="s">
        <v>32</v>
      </c>
      <c r="L372" s="9" t="str">
        <f>VLOOKUP(K372, 'Alphabetical by species code'!A:B, 2, FALSE)</f>
        <v>Medicago polymorpha</v>
      </c>
    </row>
    <row r="373">
      <c r="A373" s="7">
        <v>4.0</v>
      </c>
      <c r="B373" s="7">
        <v>2025.0</v>
      </c>
      <c r="C373" s="8">
        <v>45755.0</v>
      </c>
      <c r="D373" s="7" t="s">
        <v>54</v>
      </c>
      <c r="E373" s="7" t="s">
        <v>26</v>
      </c>
      <c r="F373" s="7">
        <v>3.0</v>
      </c>
      <c r="G373" s="7" t="s">
        <v>27</v>
      </c>
      <c r="H373" s="7">
        <v>2.0</v>
      </c>
      <c r="I373" s="7">
        <v>7.0</v>
      </c>
      <c r="J373" s="7">
        <v>3.5</v>
      </c>
      <c r="K373" s="7" t="s">
        <v>31</v>
      </c>
      <c r="L373" s="9" t="str">
        <f>VLOOKUP(K373, 'Alphabetical by species code'!A:B, 2, FALSE)</f>
        <v>Festuca myuros</v>
      </c>
    </row>
    <row r="374">
      <c r="A374" s="7">
        <v>4.0</v>
      </c>
      <c r="B374" s="7">
        <v>2025.0</v>
      </c>
      <c r="C374" s="8">
        <v>45755.0</v>
      </c>
      <c r="D374" s="7" t="s">
        <v>54</v>
      </c>
      <c r="E374" s="7" t="s">
        <v>26</v>
      </c>
      <c r="F374" s="7">
        <v>3.0</v>
      </c>
      <c r="G374" s="7" t="s">
        <v>27</v>
      </c>
      <c r="H374" s="7">
        <v>2.0</v>
      </c>
      <c r="I374" s="7">
        <v>7.0</v>
      </c>
      <c r="J374" s="7">
        <v>3.5</v>
      </c>
      <c r="K374" s="7" t="s">
        <v>48</v>
      </c>
      <c r="L374" s="9" t="str">
        <f>VLOOKUP(K374, 'Alphabetical by species code'!A:B, 2, FALSE)</f>
        <v>Sonchus asper</v>
      </c>
    </row>
    <row r="375">
      <c r="A375" s="7">
        <v>4.0</v>
      </c>
      <c r="B375" s="7">
        <v>2025.0</v>
      </c>
      <c r="C375" s="8">
        <v>45755.0</v>
      </c>
      <c r="D375" s="7" t="s">
        <v>54</v>
      </c>
      <c r="E375" s="7" t="s">
        <v>26</v>
      </c>
      <c r="F375" s="7">
        <v>3.0</v>
      </c>
      <c r="G375" s="7" t="s">
        <v>27</v>
      </c>
      <c r="H375" s="7">
        <v>2.0</v>
      </c>
      <c r="I375" s="7">
        <v>8.0</v>
      </c>
      <c r="J375" s="7">
        <v>4.0</v>
      </c>
      <c r="K375" s="7" t="s">
        <v>28</v>
      </c>
      <c r="L375" s="9" t="str">
        <f>VLOOKUP(K375, 'Alphabetical by species code'!A:B, 2, FALSE)</f>
        <v>Litter</v>
      </c>
    </row>
    <row r="376">
      <c r="A376" s="7">
        <v>4.0</v>
      </c>
      <c r="B376" s="7">
        <v>2025.0</v>
      </c>
      <c r="C376" s="8">
        <v>45755.0</v>
      </c>
      <c r="D376" s="7" t="s">
        <v>54</v>
      </c>
      <c r="E376" s="7" t="s">
        <v>26</v>
      </c>
      <c r="F376" s="7">
        <v>3.0</v>
      </c>
      <c r="G376" s="7" t="s">
        <v>27</v>
      </c>
      <c r="H376" s="7">
        <v>2.0</v>
      </c>
      <c r="I376" s="7">
        <v>8.0</v>
      </c>
      <c r="J376" s="7">
        <v>4.0</v>
      </c>
      <c r="K376" s="7" t="s">
        <v>55</v>
      </c>
      <c r="L376" s="9" t="str">
        <f>VLOOKUP(K376, 'Alphabetical by species code'!A:B, 2, FALSE)</f>
        <v>Daucus pusillus</v>
      </c>
    </row>
    <row r="377">
      <c r="A377" s="7">
        <v>4.0</v>
      </c>
      <c r="B377" s="7">
        <v>2025.0</v>
      </c>
      <c r="C377" s="8">
        <v>45755.0</v>
      </c>
      <c r="D377" s="7" t="s">
        <v>54</v>
      </c>
      <c r="E377" s="7" t="s">
        <v>26</v>
      </c>
      <c r="F377" s="7">
        <v>3.0</v>
      </c>
      <c r="G377" s="7" t="s">
        <v>27</v>
      </c>
      <c r="H377" s="7">
        <v>2.0</v>
      </c>
      <c r="I377" s="7">
        <v>8.0</v>
      </c>
      <c r="J377" s="7">
        <v>4.0</v>
      </c>
      <c r="K377" s="7" t="s">
        <v>35</v>
      </c>
      <c r="L377" s="9" t="str">
        <f>VLOOKUP(K377, 'Alphabetical by species code'!A:B, 2, FALSE)</f>
        <v>Deinandra fasciculata</v>
      </c>
    </row>
    <row r="378">
      <c r="A378" s="7">
        <v>4.0</v>
      </c>
      <c r="B378" s="7">
        <v>2025.0</v>
      </c>
      <c r="C378" s="8">
        <v>45755.0</v>
      </c>
      <c r="D378" s="7" t="s">
        <v>54</v>
      </c>
      <c r="E378" s="7" t="s">
        <v>26</v>
      </c>
      <c r="F378" s="7">
        <v>3.0</v>
      </c>
      <c r="G378" s="7" t="s">
        <v>27</v>
      </c>
      <c r="H378" s="7">
        <v>2.0</v>
      </c>
      <c r="I378" s="7">
        <v>8.0</v>
      </c>
      <c r="J378" s="7">
        <v>4.0</v>
      </c>
      <c r="K378" s="7" t="s">
        <v>31</v>
      </c>
      <c r="L378" s="9" t="str">
        <f>VLOOKUP(K378, 'Alphabetical by species code'!A:B, 2, FALSE)</f>
        <v>Festuca myuros</v>
      </c>
    </row>
    <row r="379">
      <c r="A379" s="7">
        <v>4.0</v>
      </c>
      <c r="B379" s="7">
        <v>2025.0</v>
      </c>
      <c r="C379" s="8">
        <v>45755.0</v>
      </c>
      <c r="D379" s="7" t="s">
        <v>54</v>
      </c>
      <c r="E379" s="7" t="s">
        <v>26</v>
      </c>
      <c r="F379" s="7">
        <v>3.0</v>
      </c>
      <c r="G379" s="7" t="s">
        <v>27</v>
      </c>
      <c r="H379" s="7">
        <v>2.0</v>
      </c>
      <c r="I379" s="7">
        <v>8.0</v>
      </c>
      <c r="J379" s="7">
        <v>4.0</v>
      </c>
      <c r="K379" s="7" t="s">
        <v>42</v>
      </c>
      <c r="L379" s="9" t="str">
        <f>VLOOKUP(K379, 'Alphabetical by species code'!A:B, 2, FALSE)</f>
        <v>Centaurea melitensis</v>
      </c>
    </row>
    <row r="380">
      <c r="A380" s="7">
        <v>4.0</v>
      </c>
      <c r="B380" s="7">
        <v>2025.0</v>
      </c>
      <c r="C380" s="8">
        <v>45755.0</v>
      </c>
      <c r="D380" s="7" t="s">
        <v>54</v>
      </c>
      <c r="E380" s="7" t="s">
        <v>26</v>
      </c>
      <c r="F380" s="7">
        <v>3.0</v>
      </c>
      <c r="G380" s="7" t="s">
        <v>27</v>
      </c>
      <c r="H380" s="7">
        <v>2.0</v>
      </c>
      <c r="I380" s="7">
        <v>9.0</v>
      </c>
      <c r="J380" s="7">
        <v>4.5</v>
      </c>
      <c r="K380" s="7" t="s">
        <v>51</v>
      </c>
      <c r="L380" s="9" t="str">
        <f>VLOOKUP(K380, 'Alphabetical by species code'!A:B, 2, FALSE)</f>
        <v>Bareground</v>
      </c>
    </row>
    <row r="381">
      <c r="A381" s="7">
        <v>4.0</v>
      </c>
      <c r="B381" s="7">
        <v>2025.0</v>
      </c>
      <c r="C381" s="8">
        <v>45755.0</v>
      </c>
      <c r="D381" s="7" t="s">
        <v>54</v>
      </c>
      <c r="E381" s="7" t="s">
        <v>26</v>
      </c>
      <c r="F381" s="7">
        <v>3.0</v>
      </c>
      <c r="G381" s="7" t="s">
        <v>27</v>
      </c>
      <c r="H381" s="7">
        <v>2.0</v>
      </c>
      <c r="I381" s="7">
        <v>9.0</v>
      </c>
      <c r="J381" s="7">
        <v>4.5</v>
      </c>
      <c r="K381" s="7" t="s">
        <v>32</v>
      </c>
      <c r="L381" s="9" t="str">
        <f>VLOOKUP(K381, 'Alphabetical by species code'!A:B, 2, FALSE)</f>
        <v>Medicago polymorpha</v>
      </c>
    </row>
    <row r="382">
      <c r="A382" s="7">
        <v>4.0</v>
      </c>
      <c r="B382" s="7">
        <v>2025.0</v>
      </c>
      <c r="C382" s="8">
        <v>45755.0</v>
      </c>
      <c r="D382" s="7" t="s">
        <v>54</v>
      </c>
      <c r="E382" s="7" t="s">
        <v>26</v>
      </c>
      <c r="F382" s="7">
        <v>3.0</v>
      </c>
      <c r="G382" s="7" t="s">
        <v>27</v>
      </c>
      <c r="H382" s="7">
        <v>2.0</v>
      </c>
      <c r="I382" s="7">
        <v>9.0</v>
      </c>
      <c r="J382" s="7">
        <v>4.5</v>
      </c>
      <c r="K382" s="7" t="s">
        <v>31</v>
      </c>
      <c r="L382" s="9" t="str">
        <f>VLOOKUP(K382, 'Alphabetical by species code'!A:B, 2, FALSE)</f>
        <v>Festuca myuros</v>
      </c>
    </row>
    <row r="383">
      <c r="A383" s="7">
        <v>4.0</v>
      </c>
      <c r="B383" s="7">
        <v>2025.0</v>
      </c>
      <c r="C383" s="8">
        <v>45755.0</v>
      </c>
      <c r="D383" s="7" t="s">
        <v>54</v>
      </c>
      <c r="E383" s="7" t="s">
        <v>26</v>
      </c>
      <c r="F383" s="7">
        <v>3.0</v>
      </c>
      <c r="G383" s="7" t="s">
        <v>27</v>
      </c>
      <c r="H383" s="7">
        <v>2.0</v>
      </c>
      <c r="I383" s="7">
        <v>9.0</v>
      </c>
      <c r="J383" s="7">
        <v>4.5</v>
      </c>
      <c r="K383" s="7" t="s">
        <v>57</v>
      </c>
      <c r="L383" s="9" t="str">
        <f>VLOOKUP(K383, 'Alphabetical by species code'!A:B, 2, FALSE)</f>
        <v>Stipa pulchra</v>
      </c>
    </row>
    <row r="384">
      <c r="A384" s="7">
        <v>4.0</v>
      </c>
      <c r="B384" s="7">
        <v>2025.0</v>
      </c>
      <c r="C384" s="8">
        <v>45755.0</v>
      </c>
      <c r="D384" s="7" t="s">
        <v>54</v>
      </c>
      <c r="E384" s="7" t="s">
        <v>26</v>
      </c>
      <c r="F384" s="7">
        <v>3.0</v>
      </c>
      <c r="G384" s="7" t="s">
        <v>27</v>
      </c>
      <c r="H384" s="7">
        <v>2.0</v>
      </c>
      <c r="I384" s="7">
        <v>10.0</v>
      </c>
      <c r="J384" s="7">
        <v>5.0</v>
      </c>
      <c r="K384" s="7" t="s">
        <v>28</v>
      </c>
      <c r="L384" s="9" t="str">
        <f>VLOOKUP(K384, 'Alphabetical by species code'!A:B, 2, FALSE)</f>
        <v>Litter</v>
      </c>
    </row>
    <row r="385">
      <c r="A385" s="7">
        <v>4.0</v>
      </c>
      <c r="B385" s="7">
        <v>2025.0</v>
      </c>
      <c r="C385" s="8">
        <v>45755.0</v>
      </c>
      <c r="D385" s="7" t="s">
        <v>54</v>
      </c>
      <c r="E385" s="7" t="s">
        <v>26</v>
      </c>
      <c r="F385" s="7">
        <v>3.0</v>
      </c>
      <c r="G385" s="7" t="s">
        <v>27</v>
      </c>
      <c r="H385" s="7">
        <v>2.0</v>
      </c>
      <c r="I385" s="7">
        <v>10.0</v>
      </c>
      <c r="J385" s="7">
        <v>5.0</v>
      </c>
      <c r="K385" s="7" t="s">
        <v>49</v>
      </c>
      <c r="L385" s="9" t="str">
        <f>VLOOKUP(K385, 'Alphabetical by species code'!A:B, 2, FALSE)</f>
        <v>Anagallis arvensis</v>
      </c>
    </row>
    <row r="386">
      <c r="A386" s="7">
        <v>4.0</v>
      </c>
      <c r="B386" s="7">
        <v>2025.0</v>
      </c>
      <c r="C386" s="8">
        <v>45755.0</v>
      </c>
      <c r="D386" s="7" t="s">
        <v>54</v>
      </c>
      <c r="E386" s="7" t="s">
        <v>26</v>
      </c>
      <c r="F386" s="7">
        <v>3.0</v>
      </c>
      <c r="G386" s="7" t="s">
        <v>27</v>
      </c>
      <c r="H386" s="7">
        <v>2.0</v>
      </c>
      <c r="I386" s="7">
        <v>10.0</v>
      </c>
      <c r="J386" s="7">
        <v>5.0</v>
      </c>
      <c r="K386" s="7" t="s">
        <v>31</v>
      </c>
      <c r="L386" s="9" t="str">
        <f>VLOOKUP(K386, 'Alphabetical by species code'!A:B, 2, FALSE)</f>
        <v>Festuca myuros</v>
      </c>
    </row>
    <row r="387">
      <c r="A387" s="7">
        <v>4.0</v>
      </c>
      <c r="B387" s="7">
        <v>2025.0</v>
      </c>
      <c r="C387" s="8">
        <v>45755.0</v>
      </c>
      <c r="D387" s="7" t="s">
        <v>54</v>
      </c>
      <c r="E387" s="7" t="s">
        <v>26</v>
      </c>
      <c r="F387" s="7">
        <v>3.0</v>
      </c>
      <c r="G387" s="7" t="s">
        <v>27</v>
      </c>
      <c r="H387" s="7">
        <v>2.0</v>
      </c>
      <c r="I387" s="7">
        <v>11.0</v>
      </c>
      <c r="J387" s="7">
        <v>5.5</v>
      </c>
      <c r="K387" s="7" t="s">
        <v>38</v>
      </c>
      <c r="L387" s="9" t="str">
        <f>VLOOKUP(K387, 'Alphabetical by species code'!A:B, 2, FALSE)</f>
        <v>Thatch</v>
      </c>
    </row>
    <row r="388">
      <c r="A388" s="7">
        <v>4.0</v>
      </c>
      <c r="B388" s="7">
        <v>2025.0</v>
      </c>
      <c r="C388" s="8">
        <v>45755.0</v>
      </c>
      <c r="D388" s="7" t="s">
        <v>54</v>
      </c>
      <c r="E388" s="7" t="s">
        <v>26</v>
      </c>
      <c r="F388" s="7">
        <v>3.0</v>
      </c>
      <c r="G388" s="7" t="s">
        <v>27</v>
      </c>
      <c r="H388" s="7">
        <v>2.0</v>
      </c>
      <c r="I388" s="7">
        <v>11.0</v>
      </c>
      <c r="J388" s="7">
        <v>5.5</v>
      </c>
      <c r="K388" s="7" t="s">
        <v>35</v>
      </c>
      <c r="L388" s="9" t="str">
        <f>VLOOKUP(K388, 'Alphabetical by species code'!A:B, 2, FALSE)</f>
        <v>Deinandra fasciculata</v>
      </c>
    </row>
    <row r="389">
      <c r="A389" s="7">
        <v>4.0</v>
      </c>
      <c r="B389" s="7">
        <v>2025.0</v>
      </c>
      <c r="C389" s="8">
        <v>45755.0</v>
      </c>
      <c r="D389" s="7" t="s">
        <v>54</v>
      </c>
      <c r="E389" s="7" t="s">
        <v>26</v>
      </c>
      <c r="F389" s="7">
        <v>3.0</v>
      </c>
      <c r="G389" s="7" t="s">
        <v>27</v>
      </c>
      <c r="H389" s="7">
        <v>2.0</v>
      </c>
      <c r="I389" s="7">
        <v>11.0</v>
      </c>
      <c r="J389" s="7">
        <v>5.5</v>
      </c>
      <c r="K389" s="7" t="s">
        <v>42</v>
      </c>
      <c r="L389" s="9" t="str">
        <f>VLOOKUP(K389, 'Alphabetical by species code'!A:B, 2, FALSE)</f>
        <v>Centaurea melitensis</v>
      </c>
    </row>
    <row r="390">
      <c r="A390" s="7">
        <v>4.0</v>
      </c>
      <c r="B390" s="7">
        <v>2025.0</v>
      </c>
      <c r="C390" s="8">
        <v>45755.0</v>
      </c>
      <c r="D390" s="7" t="s">
        <v>54</v>
      </c>
      <c r="E390" s="7" t="s">
        <v>26</v>
      </c>
      <c r="F390" s="7">
        <v>3.0</v>
      </c>
      <c r="G390" s="7" t="s">
        <v>27</v>
      </c>
      <c r="H390" s="7">
        <v>2.0</v>
      </c>
      <c r="I390" s="7">
        <v>11.0</v>
      </c>
      <c r="J390" s="7">
        <v>5.5</v>
      </c>
      <c r="K390" s="7" t="s">
        <v>31</v>
      </c>
      <c r="L390" s="9" t="str">
        <f>VLOOKUP(K390, 'Alphabetical by species code'!A:B, 2, FALSE)</f>
        <v>Festuca myuros</v>
      </c>
    </row>
    <row r="391">
      <c r="A391" s="7">
        <v>4.0</v>
      </c>
      <c r="B391" s="7">
        <v>2025.0</v>
      </c>
      <c r="C391" s="8">
        <v>45755.0</v>
      </c>
      <c r="D391" s="7" t="s">
        <v>54</v>
      </c>
      <c r="E391" s="7" t="s">
        <v>26</v>
      </c>
      <c r="F391" s="7">
        <v>3.0</v>
      </c>
      <c r="G391" s="7" t="s">
        <v>27</v>
      </c>
      <c r="H391" s="7">
        <v>2.0</v>
      </c>
      <c r="I391" s="7">
        <v>12.0</v>
      </c>
      <c r="J391" s="7">
        <v>6.0</v>
      </c>
      <c r="K391" s="7" t="s">
        <v>28</v>
      </c>
      <c r="L391" s="9" t="str">
        <f>VLOOKUP(K391, 'Alphabetical by species code'!A:B, 2, FALSE)</f>
        <v>Litter</v>
      </c>
    </row>
    <row r="392">
      <c r="A392" s="7">
        <v>4.0</v>
      </c>
      <c r="B392" s="7">
        <v>2025.0</v>
      </c>
      <c r="C392" s="8">
        <v>45755.0</v>
      </c>
      <c r="D392" s="7" t="s">
        <v>54</v>
      </c>
      <c r="E392" s="7" t="s">
        <v>26</v>
      </c>
      <c r="F392" s="7">
        <v>3.0</v>
      </c>
      <c r="G392" s="7" t="s">
        <v>27</v>
      </c>
      <c r="H392" s="7">
        <v>2.0</v>
      </c>
      <c r="I392" s="7">
        <v>12.0</v>
      </c>
      <c r="J392" s="7">
        <v>6.0</v>
      </c>
      <c r="K392" s="7" t="s">
        <v>43</v>
      </c>
      <c r="L392" s="9" t="str">
        <f>VLOOKUP(K392, 'Alphabetical by species code'!A:B, 2, FALSE)</f>
        <v>Uropappus lindleyi</v>
      </c>
    </row>
    <row r="393">
      <c r="A393" s="7">
        <v>4.0</v>
      </c>
      <c r="B393" s="7">
        <v>2025.0</v>
      </c>
      <c r="C393" s="8">
        <v>45755.0</v>
      </c>
      <c r="D393" s="7" t="s">
        <v>54</v>
      </c>
      <c r="E393" s="7" t="s">
        <v>26</v>
      </c>
      <c r="F393" s="7">
        <v>3.0</v>
      </c>
      <c r="G393" s="7" t="s">
        <v>27</v>
      </c>
      <c r="H393" s="7">
        <v>2.0</v>
      </c>
      <c r="I393" s="7">
        <v>12.0</v>
      </c>
      <c r="J393" s="7">
        <v>6.0</v>
      </c>
      <c r="K393" s="7" t="s">
        <v>31</v>
      </c>
      <c r="L393" s="9" t="str">
        <f>VLOOKUP(K393, 'Alphabetical by species code'!A:B, 2, FALSE)</f>
        <v>Festuca myuros</v>
      </c>
    </row>
    <row r="394">
      <c r="A394" s="7">
        <v>4.0</v>
      </c>
      <c r="B394" s="7">
        <v>2025.0</v>
      </c>
      <c r="C394" s="8">
        <v>45755.0</v>
      </c>
      <c r="D394" s="7" t="s">
        <v>54</v>
      </c>
      <c r="E394" s="7" t="s">
        <v>26</v>
      </c>
      <c r="F394" s="7">
        <v>3.0</v>
      </c>
      <c r="G394" s="7" t="s">
        <v>27</v>
      </c>
      <c r="H394" s="7">
        <v>2.0</v>
      </c>
      <c r="I394" s="7">
        <v>13.0</v>
      </c>
      <c r="J394" s="7">
        <v>6.5</v>
      </c>
      <c r="K394" s="7" t="s">
        <v>28</v>
      </c>
      <c r="L394" s="9" t="str">
        <f>VLOOKUP(K394, 'Alphabetical by species code'!A:B, 2, FALSE)</f>
        <v>Litter</v>
      </c>
    </row>
    <row r="395">
      <c r="A395" s="7">
        <v>4.0</v>
      </c>
      <c r="B395" s="7">
        <v>2025.0</v>
      </c>
      <c r="C395" s="8">
        <v>45755.0</v>
      </c>
      <c r="D395" s="7" t="s">
        <v>54</v>
      </c>
      <c r="E395" s="7" t="s">
        <v>26</v>
      </c>
      <c r="F395" s="7">
        <v>3.0</v>
      </c>
      <c r="G395" s="7" t="s">
        <v>27</v>
      </c>
      <c r="H395" s="7">
        <v>2.0</v>
      </c>
      <c r="I395" s="7">
        <v>13.0</v>
      </c>
      <c r="J395" s="7">
        <v>6.5</v>
      </c>
      <c r="K395" s="7" t="s">
        <v>35</v>
      </c>
      <c r="L395" s="9" t="str">
        <f>VLOOKUP(K395, 'Alphabetical by species code'!A:B, 2, FALSE)</f>
        <v>Deinandra fasciculata</v>
      </c>
    </row>
    <row r="396">
      <c r="A396" s="7">
        <v>4.0</v>
      </c>
      <c r="B396" s="7">
        <v>2025.0</v>
      </c>
      <c r="C396" s="8">
        <v>45755.0</v>
      </c>
      <c r="D396" s="7" t="s">
        <v>54</v>
      </c>
      <c r="E396" s="7" t="s">
        <v>26</v>
      </c>
      <c r="F396" s="7">
        <v>3.0</v>
      </c>
      <c r="G396" s="7" t="s">
        <v>27</v>
      </c>
      <c r="H396" s="7">
        <v>2.0</v>
      </c>
      <c r="I396" s="7">
        <v>14.0</v>
      </c>
      <c r="J396" s="7">
        <v>7.0</v>
      </c>
      <c r="K396" s="7" t="s">
        <v>28</v>
      </c>
      <c r="L396" s="9" t="str">
        <f>VLOOKUP(K396, 'Alphabetical by species code'!A:B, 2, FALSE)</f>
        <v>Litter</v>
      </c>
    </row>
    <row r="397">
      <c r="A397" s="7">
        <v>4.0</v>
      </c>
      <c r="B397" s="7">
        <v>2025.0</v>
      </c>
      <c r="C397" s="8">
        <v>45755.0</v>
      </c>
      <c r="D397" s="7" t="s">
        <v>54</v>
      </c>
      <c r="E397" s="7" t="s">
        <v>26</v>
      </c>
      <c r="F397" s="7">
        <v>3.0</v>
      </c>
      <c r="G397" s="7" t="s">
        <v>27</v>
      </c>
      <c r="H397" s="7">
        <v>2.0</v>
      </c>
      <c r="I397" s="7">
        <v>14.0</v>
      </c>
      <c r="J397" s="7">
        <v>7.0</v>
      </c>
      <c r="K397" s="7" t="s">
        <v>42</v>
      </c>
      <c r="L397" s="9" t="str">
        <f>VLOOKUP(K397, 'Alphabetical by species code'!A:B, 2, FALSE)</f>
        <v>Centaurea melitensis</v>
      </c>
    </row>
    <row r="398">
      <c r="A398" s="7">
        <v>4.0</v>
      </c>
      <c r="B398" s="7">
        <v>2025.0</v>
      </c>
      <c r="C398" s="8">
        <v>45755.0</v>
      </c>
      <c r="D398" s="7" t="s">
        <v>54</v>
      </c>
      <c r="E398" s="7" t="s">
        <v>26</v>
      </c>
      <c r="F398" s="7">
        <v>3.0</v>
      </c>
      <c r="G398" s="7" t="s">
        <v>27</v>
      </c>
      <c r="H398" s="7">
        <v>2.0</v>
      </c>
      <c r="I398" s="7">
        <v>14.0</v>
      </c>
      <c r="J398" s="7">
        <v>7.0</v>
      </c>
      <c r="K398" s="7" t="s">
        <v>29</v>
      </c>
      <c r="L398" s="9" t="str">
        <f>VLOOKUP(K398, 'Alphabetical by species code'!A:B, 2, FALSE)</f>
        <v>Opuntia littoralis</v>
      </c>
    </row>
    <row r="399">
      <c r="A399" s="7">
        <v>4.0</v>
      </c>
      <c r="B399" s="7">
        <v>2025.0</v>
      </c>
      <c r="C399" s="8">
        <v>45755.0</v>
      </c>
      <c r="D399" s="7" t="s">
        <v>54</v>
      </c>
      <c r="E399" s="7" t="s">
        <v>26</v>
      </c>
      <c r="F399" s="7">
        <v>3.0</v>
      </c>
      <c r="G399" s="7" t="s">
        <v>27</v>
      </c>
      <c r="H399" s="7">
        <v>2.0</v>
      </c>
      <c r="I399" s="7">
        <v>14.0</v>
      </c>
      <c r="J399" s="7">
        <v>7.0</v>
      </c>
      <c r="K399" s="7" t="s">
        <v>61</v>
      </c>
      <c r="L399" s="9" t="str">
        <f>VLOOKUP(K399, 'Alphabetical by species code'!A:B, 2, FALSE)</f>
        <v>Phacelia cicutaria</v>
      </c>
    </row>
    <row r="400">
      <c r="A400" s="7">
        <v>4.0</v>
      </c>
      <c r="B400" s="7">
        <v>2025.0</v>
      </c>
      <c r="C400" s="8">
        <v>45755.0</v>
      </c>
      <c r="D400" s="7" t="s">
        <v>54</v>
      </c>
      <c r="E400" s="7" t="s">
        <v>26</v>
      </c>
      <c r="F400" s="7">
        <v>3.0</v>
      </c>
      <c r="G400" s="7" t="s">
        <v>27</v>
      </c>
      <c r="H400" s="7">
        <v>2.0</v>
      </c>
      <c r="I400" s="7">
        <v>15.0</v>
      </c>
      <c r="J400" s="7">
        <v>7.5</v>
      </c>
      <c r="K400" s="7" t="s">
        <v>28</v>
      </c>
      <c r="L400" s="9" t="str">
        <f>VLOOKUP(K400, 'Alphabetical by species code'!A:B, 2, FALSE)</f>
        <v>Litter</v>
      </c>
    </row>
    <row r="401">
      <c r="A401" s="7">
        <v>4.0</v>
      </c>
      <c r="B401" s="7">
        <v>2025.0</v>
      </c>
      <c r="C401" s="8">
        <v>45755.0</v>
      </c>
      <c r="D401" s="7" t="s">
        <v>54</v>
      </c>
      <c r="E401" s="7" t="s">
        <v>26</v>
      </c>
      <c r="F401" s="7">
        <v>3.0</v>
      </c>
      <c r="G401" s="7" t="s">
        <v>27</v>
      </c>
      <c r="H401" s="7">
        <v>2.0</v>
      </c>
      <c r="I401" s="7">
        <v>15.0</v>
      </c>
      <c r="J401" s="7">
        <v>7.5</v>
      </c>
      <c r="K401" s="7" t="s">
        <v>35</v>
      </c>
      <c r="L401" s="9" t="str">
        <f>VLOOKUP(K401, 'Alphabetical by species code'!A:B, 2, FALSE)</f>
        <v>Deinandra fasciculata</v>
      </c>
    </row>
    <row r="402">
      <c r="A402" s="7">
        <v>4.0</v>
      </c>
      <c r="B402" s="7">
        <v>2025.0</v>
      </c>
      <c r="C402" s="8">
        <v>45755.0</v>
      </c>
      <c r="D402" s="7" t="s">
        <v>54</v>
      </c>
      <c r="E402" s="7" t="s">
        <v>26</v>
      </c>
      <c r="F402" s="7">
        <v>3.0</v>
      </c>
      <c r="G402" s="7" t="s">
        <v>27</v>
      </c>
      <c r="H402" s="7">
        <v>2.0</v>
      </c>
      <c r="I402" s="7">
        <v>15.0</v>
      </c>
      <c r="J402" s="7">
        <v>7.5</v>
      </c>
      <c r="K402" s="7" t="s">
        <v>42</v>
      </c>
      <c r="L402" s="9" t="str">
        <f>VLOOKUP(K402, 'Alphabetical by species code'!A:B, 2, FALSE)</f>
        <v>Centaurea melitensis</v>
      </c>
    </row>
    <row r="403">
      <c r="A403" s="7">
        <v>5.0</v>
      </c>
      <c r="B403" s="7">
        <v>2025.0</v>
      </c>
      <c r="C403" s="8">
        <v>45755.0</v>
      </c>
      <c r="D403" s="7" t="s">
        <v>62</v>
      </c>
      <c r="E403" s="7" t="s">
        <v>26</v>
      </c>
      <c r="F403" s="7">
        <v>3.0</v>
      </c>
      <c r="G403" s="7" t="s">
        <v>63</v>
      </c>
      <c r="H403" s="7">
        <v>1.0</v>
      </c>
      <c r="I403" s="7">
        <v>1.0</v>
      </c>
      <c r="J403" s="7">
        <v>0.0</v>
      </c>
      <c r="K403" s="7" t="s">
        <v>28</v>
      </c>
      <c r="L403" s="9" t="str">
        <f>VLOOKUP(K403, 'Alphabetical by species code'!A:B, 2, FALSE)</f>
        <v>Litter</v>
      </c>
    </row>
    <row r="404">
      <c r="A404" s="7">
        <v>5.0</v>
      </c>
      <c r="B404" s="7">
        <v>2025.0</v>
      </c>
      <c r="C404" s="8">
        <v>45755.0</v>
      </c>
      <c r="D404" s="7" t="s">
        <v>62</v>
      </c>
      <c r="E404" s="7" t="s">
        <v>26</v>
      </c>
      <c r="F404" s="7">
        <v>3.0</v>
      </c>
      <c r="G404" s="7" t="s">
        <v>63</v>
      </c>
      <c r="H404" s="7">
        <v>1.0</v>
      </c>
      <c r="I404" s="7">
        <v>1.0</v>
      </c>
      <c r="J404" s="7">
        <v>0.0</v>
      </c>
      <c r="K404" s="7" t="s">
        <v>31</v>
      </c>
      <c r="L404" s="9" t="str">
        <f>VLOOKUP(K404, 'Alphabetical by species code'!A:B, 2, FALSE)</f>
        <v>Festuca myuros</v>
      </c>
    </row>
    <row r="405">
      <c r="A405" s="7">
        <v>5.0</v>
      </c>
      <c r="B405" s="7">
        <v>2025.0</v>
      </c>
      <c r="C405" s="8">
        <v>45755.0</v>
      </c>
      <c r="D405" s="7" t="s">
        <v>62</v>
      </c>
      <c r="E405" s="7" t="s">
        <v>26</v>
      </c>
      <c r="F405" s="7">
        <v>3.0</v>
      </c>
      <c r="G405" s="7" t="s">
        <v>63</v>
      </c>
      <c r="H405" s="7">
        <v>1.0</v>
      </c>
      <c r="I405" s="7">
        <v>1.0</v>
      </c>
      <c r="J405" s="7">
        <v>0.0</v>
      </c>
      <c r="K405" s="7" t="s">
        <v>32</v>
      </c>
      <c r="L405" s="9" t="str">
        <f>VLOOKUP(K405, 'Alphabetical by species code'!A:B, 2, FALSE)</f>
        <v>Medicago polymorpha</v>
      </c>
    </row>
    <row r="406">
      <c r="A406" s="7">
        <v>5.0</v>
      </c>
      <c r="B406" s="7">
        <v>2025.0</v>
      </c>
      <c r="C406" s="8">
        <v>45755.0</v>
      </c>
      <c r="D406" s="7" t="s">
        <v>62</v>
      </c>
      <c r="E406" s="7" t="s">
        <v>26</v>
      </c>
      <c r="F406" s="7">
        <v>3.0</v>
      </c>
      <c r="G406" s="7" t="s">
        <v>63</v>
      </c>
      <c r="H406" s="7">
        <v>1.0</v>
      </c>
      <c r="I406" s="7">
        <v>1.0</v>
      </c>
      <c r="J406" s="7">
        <v>0.0</v>
      </c>
      <c r="K406" s="7" t="s">
        <v>42</v>
      </c>
      <c r="L406" s="9" t="str">
        <f>VLOOKUP(K406, 'Alphabetical by species code'!A:B, 2, FALSE)</f>
        <v>Centaurea melitensis</v>
      </c>
    </row>
    <row r="407">
      <c r="A407" s="7">
        <v>5.0</v>
      </c>
      <c r="B407" s="7">
        <v>2025.0</v>
      </c>
      <c r="C407" s="8">
        <v>45755.0</v>
      </c>
      <c r="D407" s="7" t="s">
        <v>62</v>
      </c>
      <c r="E407" s="7" t="s">
        <v>26</v>
      </c>
      <c r="F407" s="7">
        <v>3.0</v>
      </c>
      <c r="G407" s="7" t="s">
        <v>63</v>
      </c>
      <c r="H407" s="7">
        <v>1.0</v>
      </c>
      <c r="I407" s="7">
        <v>2.0</v>
      </c>
      <c r="J407" s="7">
        <v>1.0</v>
      </c>
      <c r="K407" s="7" t="s">
        <v>28</v>
      </c>
      <c r="L407" s="9" t="str">
        <f>VLOOKUP(K407, 'Alphabetical by species code'!A:B, 2, FALSE)</f>
        <v>Litter</v>
      </c>
    </row>
    <row r="408">
      <c r="A408" s="7">
        <v>5.0</v>
      </c>
      <c r="B408" s="7">
        <v>2025.0</v>
      </c>
      <c r="C408" s="8">
        <v>45755.0</v>
      </c>
      <c r="D408" s="7" t="s">
        <v>62</v>
      </c>
      <c r="E408" s="7" t="s">
        <v>26</v>
      </c>
      <c r="F408" s="7">
        <v>3.0</v>
      </c>
      <c r="G408" s="7" t="s">
        <v>63</v>
      </c>
      <c r="H408" s="7">
        <v>1.0</v>
      </c>
      <c r="I408" s="7">
        <v>2.0</v>
      </c>
      <c r="J408" s="7">
        <v>1.0</v>
      </c>
      <c r="K408" s="7" t="s">
        <v>31</v>
      </c>
      <c r="L408" s="9" t="str">
        <f>VLOOKUP(K408, 'Alphabetical by species code'!A:B, 2, FALSE)</f>
        <v>Festuca myuros</v>
      </c>
    </row>
    <row r="409">
      <c r="A409" s="7">
        <v>5.0</v>
      </c>
      <c r="B409" s="7">
        <v>2025.0</v>
      </c>
      <c r="C409" s="8">
        <v>45755.0</v>
      </c>
      <c r="D409" s="7" t="s">
        <v>62</v>
      </c>
      <c r="E409" s="7" t="s">
        <v>26</v>
      </c>
      <c r="F409" s="7">
        <v>3.0</v>
      </c>
      <c r="G409" s="7" t="s">
        <v>63</v>
      </c>
      <c r="H409" s="7">
        <v>1.0</v>
      </c>
      <c r="I409" s="7">
        <v>2.0</v>
      </c>
      <c r="J409" s="7">
        <v>1.0</v>
      </c>
      <c r="K409" s="7" t="s">
        <v>39</v>
      </c>
      <c r="L409" s="9" t="str">
        <f>VLOOKUP(K409, 'Alphabetical by species code'!A:B, 2, FALSE)</f>
        <v>Stephanomeria diegensis</v>
      </c>
    </row>
    <row r="410">
      <c r="A410" s="7">
        <v>5.0</v>
      </c>
      <c r="B410" s="7">
        <v>2025.0</v>
      </c>
      <c r="C410" s="8">
        <v>45755.0</v>
      </c>
      <c r="D410" s="7" t="s">
        <v>62</v>
      </c>
      <c r="E410" s="7" t="s">
        <v>26</v>
      </c>
      <c r="F410" s="7">
        <v>3.0</v>
      </c>
      <c r="G410" s="7" t="s">
        <v>63</v>
      </c>
      <c r="H410" s="7">
        <v>1.0</v>
      </c>
      <c r="I410" s="7">
        <v>3.0</v>
      </c>
      <c r="J410" s="7">
        <v>1.5</v>
      </c>
      <c r="K410" s="7" t="s">
        <v>28</v>
      </c>
      <c r="L410" s="9" t="str">
        <f>VLOOKUP(K410, 'Alphabetical by species code'!A:B, 2, FALSE)</f>
        <v>Litter</v>
      </c>
    </row>
    <row r="411">
      <c r="A411" s="7">
        <v>5.0</v>
      </c>
      <c r="B411" s="7">
        <v>2025.0</v>
      </c>
      <c r="C411" s="8">
        <v>45755.0</v>
      </c>
      <c r="D411" s="7" t="s">
        <v>62</v>
      </c>
      <c r="E411" s="7" t="s">
        <v>26</v>
      </c>
      <c r="F411" s="7">
        <v>3.0</v>
      </c>
      <c r="G411" s="7" t="s">
        <v>63</v>
      </c>
      <c r="H411" s="7">
        <v>1.0</v>
      </c>
      <c r="I411" s="7">
        <v>3.0</v>
      </c>
      <c r="J411" s="7">
        <v>1.5</v>
      </c>
      <c r="K411" s="7" t="s">
        <v>55</v>
      </c>
      <c r="L411" s="9" t="str">
        <f>VLOOKUP(K411, 'Alphabetical by species code'!A:B, 2, FALSE)</f>
        <v>Daucus pusillus</v>
      </c>
    </row>
    <row r="412">
      <c r="A412" s="7">
        <v>5.0</v>
      </c>
      <c r="B412" s="7">
        <v>2025.0</v>
      </c>
      <c r="C412" s="8">
        <v>45755.0</v>
      </c>
      <c r="D412" s="7" t="s">
        <v>62</v>
      </c>
      <c r="E412" s="7" t="s">
        <v>26</v>
      </c>
      <c r="F412" s="7">
        <v>3.0</v>
      </c>
      <c r="G412" s="7" t="s">
        <v>63</v>
      </c>
      <c r="H412" s="7">
        <v>1.0</v>
      </c>
      <c r="I412" s="7">
        <v>3.0</v>
      </c>
      <c r="J412" s="7">
        <v>1.5</v>
      </c>
      <c r="K412" s="7" t="s">
        <v>49</v>
      </c>
      <c r="L412" s="9" t="str">
        <f>VLOOKUP(K412, 'Alphabetical by species code'!A:B, 2, FALSE)</f>
        <v>Anagallis arvensis</v>
      </c>
    </row>
    <row r="413">
      <c r="A413" s="7">
        <v>5.0</v>
      </c>
      <c r="B413" s="7">
        <v>2025.0</v>
      </c>
      <c r="C413" s="8">
        <v>45755.0</v>
      </c>
      <c r="D413" s="7" t="s">
        <v>62</v>
      </c>
      <c r="E413" s="7" t="s">
        <v>26</v>
      </c>
      <c r="F413" s="7">
        <v>3.0</v>
      </c>
      <c r="G413" s="7" t="s">
        <v>63</v>
      </c>
      <c r="H413" s="7">
        <v>1.0</v>
      </c>
      <c r="I413" s="7">
        <v>3.0</v>
      </c>
      <c r="J413" s="7">
        <v>1.5</v>
      </c>
      <c r="K413" s="7" t="s">
        <v>31</v>
      </c>
      <c r="L413" s="9" t="str">
        <f>VLOOKUP(K413, 'Alphabetical by species code'!A:B, 2, FALSE)</f>
        <v>Festuca myuros</v>
      </c>
    </row>
    <row r="414">
      <c r="A414" s="7">
        <v>5.0</v>
      </c>
      <c r="B414" s="7">
        <v>2025.0</v>
      </c>
      <c r="C414" s="8">
        <v>45755.0</v>
      </c>
      <c r="D414" s="7" t="s">
        <v>62</v>
      </c>
      <c r="E414" s="7" t="s">
        <v>26</v>
      </c>
      <c r="F414" s="7">
        <v>3.0</v>
      </c>
      <c r="G414" s="7" t="s">
        <v>63</v>
      </c>
      <c r="H414" s="7">
        <v>1.0</v>
      </c>
      <c r="I414" s="7">
        <v>4.0</v>
      </c>
      <c r="J414" s="7">
        <v>2.0</v>
      </c>
      <c r="K414" s="7" t="s">
        <v>28</v>
      </c>
      <c r="L414" s="9" t="str">
        <f>VLOOKUP(K414, 'Alphabetical by species code'!A:B, 2, FALSE)</f>
        <v>Litter</v>
      </c>
    </row>
    <row r="415">
      <c r="A415" s="7">
        <v>5.0</v>
      </c>
      <c r="B415" s="7">
        <v>2025.0</v>
      </c>
      <c r="C415" s="8">
        <v>45755.0</v>
      </c>
      <c r="D415" s="7" t="s">
        <v>62</v>
      </c>
      <c r="E415" s="7" t="s">
        <v>26</v>
      </c>
      <c r="F415" s="7">
        <v>3.0</v>
      </c>
      <c r="G415" s="7" t="s">
        <v>63</v>
      </c>
      <c r="H415" s="7">
        <v>1.0</v>
      </c>
      <c r="I415" s="7">
        <v>4.0</v>
      </c>
      <c r="J415" s="7">
        <v>2.0</v>
      </c>
      <c r="K415" s="7" t="s">
        <v>32</v>
      </c>
      <c r="L415" s="9" t="str">
        <f>VLOOKUP(K415, 'Alphabetical by species code'!A:B, 2, FALSE)</f>
        <v>Medicago polymorpha</v>
      </c>
    </row>
    <row r="416">
      <c r="A416" s="7">
        <v>5.0</v>
      </c>
      <c r="B416" s="7">
        <v>2025.0</v>
      </c>
      <c r="C416" s="8">
        <v>45755.0</v>
      </c>
      <c r="D416" s="7" t="s">
        <v>62</v>
      </c>
      <c r="E416" s="7" t="s">
        <v>26</v>
      </c>
      <c r="F416" s="7">
        <v>3.0</v>
      </c>
      <c r="G416" s="7" t="s">
        <v>63</v>
      </c>
      <c r="H416" s="7">
        <v>1.0</v>
      </c>
      <c r="I416" s="7">
        <v>4.0</v>
      </c>
      <c r="J416" s="7">
        <v>2.0</v>
      </c>
      <c r="K416" s="7" t="s">
        <v>31</v>
      </c>
      <c r="L416" s="9" t="str">
        <f>VLOOKUP(K416, 'Alphabetical by species code'!A:B, 2, FALSE)</f>
        <v>Festuca myuros</v>
      </c>
    </row>
    <row r="417">
      <c r="A417" s="7">
        <v>5.0</v>
      </c>
      <c r="B417" s="7">
        <v>2025.0</v>
      </c>
      <c r="C417" s="8">
        <v>45755.0</v>
      </c>
      <c r="D417" s="7" t="s">
        <v>62</v>
      </c>
      <c r="E417" s="7" t="s">
        <v>26</v>
      </c>
      <c r="F417" s="7">
        <v>3.0</v>
      </c>
      <c r="G417" s="7" t="s">
        <v>63</v>
      </c>
      <c r="H417" s="7">
        <v>1.0</v>
      </c>
      <c r="I417" s="7">
        <v>4.0</v>
      </c>
      <c r="J417" s="7">
        <v>2.0</v>
      </c>
      <c r="K417" s="7" t="s">
        <v>64</v>
      </c>
      <c r="L417" s="9" t="str">
        <f>VLOOKUP(K417, 'Alphabetical by species code'!A:B, 2, FALSE)</f>
        <v>Brassica nigra</v>
      </c>
    </row>
    <row r="418">
      <c r="A418" s="7">
        <v>5.0</v>
      </c>
      <c r="B418" s="7">
        <v>2025.0</v>
      </c>
      <c r="C418" s="8">
        <v>45755.0</v>
      </c>
      <c r="D418" s="7" t="s">
        <v>62</v>
      </c>
      <c r="E418" s="7" t="s">
        <v>26</v>
      </c>
      <c r="F418" s="7">
        <v>3.0</v>
      </c>
      <c r="G418" s="7" t="s">
        <v>63</v>
      </c>
      <c r="H418" s="7">
        <v>1.0</v>
      </c>
      <c r="I418" s="7">
        <v>5.0</v>
      </c>
      <c r="J418" s="7">
        <v>3.0</v>
      </c>
      <c r="K418" s="7" t="s">
        <v>28</v>
      </c>
      <c r="L418" s="9" t="str">
        <f>VLOOKUP(K418, 'Alphabetical by species code'!A:B, 2, FALSE)</f>
        <v>Litter</v>
      </c>
    </row>
    <row r="419">
      <c r="A419" s="7">
        <v>5.0</v>
      </c>
      <c r="B419" s="7">
        <v>2025.0</v>
      </c>
      <c r="C419" s="8">
        <v>45755.0</v>
      </c>
      <c r="D419" s="7" t="s">
        <v>62</v>
      </c>
      <c r="E419" s="7" t="s">
        <v>26</v>
      </c>
      <c r="F419" s="7">
        <v>3.0</v>
      </c>
      <c r="G419" s="7" t="s">
        <v>63</v>
      </c>
      <c r="H419" s="7">
        <v>1.0</v>
      </c>
      <c r="I419" s="7">
        <v>5.0</v>
      </c>
      <c r="J419" s="7">
        <v>3.0</v>
      </c>
      <c r="K419" s="7" t="s">
        <v>49</v>
      </c>
      <c r="L419" s="9" t="str">
        <f>VLOOKUP(K419, 'Alphabetical by species code'!A:B, 2, FALSE)</f>
        <v>Anagallis arvensis</v>
      </c>
    </row>
    <row r="420">
      <c r="A420" s="7">
        <v>5.0</v>
      </c>
      <c r="B420" s="7">
        <v>2025.0</v>
      </c>
      <c r="C420" s="8">
        <v>45755.0</v>
      </c>
      <c r="D420" s="7" t="s">
        <v>62</v>
      </c>
      <c r="E420" s="7" t="s">
        <v>26</v>
      </c>
      <c r="F420" s="7">
        <v>3.0</v>
      </c>
      <c r="G420" s="7" t="s">
        <v>63</v>
      </c>
      <c r="H420" s="7">
        <v>1.0</v>
      </c>
      <c r="I420" s="7">
        <v>5.0</v>
      </c>
      <c r="J420" s="7">
        <v>3.0</v>
      </c>
      <c r="K420" s="7" t="s">
        <v>32</v>
      </c>
      <c r="L420" s="9" t="str">
        <f>VLOOKUP(K420, 'Alphabetical by species code'!A:B, 2, FALSE)</f>
        <v>Medicago polymorpha</v>
      </c>
    </row>
    <row r="421">
      <c r="A421" s="7">
        <v>5.0</v>
      </c>
      <c r="B421" s="7">
        <v>2025.0</v>
      </c>
      <c r="C421" s="8">
        <v>45755.0</v>
      </c>
      <c r="D421" s="7" t="s">
        <v>62</v>
      </c>
      <c r="E421" s="7" t="s">
        <v>26</v>
      </c>
      <c r="F421" s="7">
        <v>3.0</v>
      </c>
      <c r="G421" s="7" t="s">
        <v>63</v>
      </c>
      <c r="H421" s="7">
        <v>1.0</v>
      </c>
      <c r="I421" s="7">
        <v>5.0</v>
      </c>
      <c r="J421" s="7">
        <v>3.0</v>
      </c>
      <c r="K421" s="7" t="s">
        <v>42</v>
      </c>
      <c r="L421" s="9" t="str">
        <f>VLOOKUP(K421, 'Alphabetical by species code'!A:B, 2, FALSE)</f>
        <v>Centaurea melitensis</v>
      </c>
    </row>
    <row r="422">
      <c r="A422" s="7">
        <v>5.0</v>
      </c>
      <c r="B422" s="7">
        <v>2025.0</v>
      </c>
      <c r="C422" s="8">
        <v>45755.0</v>
      </c>
      <c r="D422" s="7" t="s">
        <v>62</v>
      </c>
      <c r="E422" s="7" t="s">
        <v>26</v>
      </c>
      <c r="F422" s="7">
        <v>3.0</v>
      </c>
      <c r="G422" s="7" t="s">
        <v>63</v>
      </c>
      <c r="H422" s="7">
        <v>1.0</v>
      </c>
      <c r="I422" s="7">
        <v>6.0</v>
      </c>
      <c r="J422" s="7">
        <v>3.5</v>
      </c>
      <c r="K422" s="7" t="s">
        <v>28</v>
      </c>
      <c r="L422" s="9" t="str">
        <f>VLOOKUP(K422, 'Alphabetical by species code'!A:B, 2, FALSE)</f>
        <v>Litter</v>
      </c>
    </row>
    <row r="423">
      <c r="A423" s="7">
        <v>5.0</v>
      </c>
      <c r="B423" s="7">
        <v>2025.0</v>
      </c>
      <c r="C423" s="8">
        <v>45755.0</v>
      </c>
      <c r="D423" s="7" t="s">
        <v>62</v>
      </c>
      <c r="E423" s="7" t="s">
        <v>26</v>
      </c>
      <c r="F423" s="7">
        <v>3.0</v>
      </c>
      <c r="G423" s="7" t="s">
        <v>63</v>
      </c>
      <c r="H423" s="7">
        <v>1.0</v>
      </c>
      <c r="I423" s="7">
        <v>6.0</v>
      </c>
      <c r="J423" s="7">
        <v>3.5</v>
      </c>
      <c r="K423" s="7" t="s">
        <v>32</v>
      </c>
      <c r="L423" s="9" t="str">
        <f>VLOOKUP(K423, 'Alphabetical by species code'!A:B, 2, FALSE)</f>
        <v>Medicago polymorpha</v>
      </c>
    </row>
    <row r="424">
      <c r="A424" s="7">
        <v>5.0</v>
      </c>
      <c r="B424" s="7">
        <v>2025.0</v>
      </c>
      <c r="C424" s="8">
        <v>45755.0</v>
      </c>
      <c r="D424" s="7" t="s">
        <v>62</v>
      </c>
      <c r="E424" s="7" t="s">
        <v>26</v>
      </c>
      <c r="F424" s="7">
        <v>3.0</v>
      </c>
      <c r="G424" s="7" t="s">
        <v>63</v>
      </c>
      <c r="H424" s="7">
        <v>1.0</v>
      </c>
      <c r="I424" s="7">
        <v>6.0</v>
      </c>
      <c r="J424" s="7">
        <v>3.5</v>
      </c>
      <c r="K424" s="7" t="s">
        <v>31</v>
      </c>
      <c r="L424" s="9" t="str">
        <f>VLOOKUP(K424, 'Alphabetical by species code'!A:B, 2, FALSE)</f>
        <v>Festuca myuros</v>
      </c>
    </row>
    <row r="425">
      <c r="A425" s="7">
        <v>5.0</v>
      </c>
      <c r="B425" s="7">
        <v>2025.0</v>
      </c>
      <c r="C425" s="8">
        <v>45755.0</v>
      </c>
      <c r="D425" s="7" t="s">
        <v>62</v>
      </c>
      <c r="E425" s="7" t="s">
        <v>26</v>
      </c>
      <c r="F425" s="7">
        <v>3.0</v>
      </c>
      <c r="G425" s="7" t="s">
        <v>63</v>
      </c>
      <c r="H425" s="7">
        <v>1.0</v>
      </c>
      <c r="I425" s="7">
        <v>6.0</v>
      </c>
      <c r="J425" s="7">
        <v>3.5</v>
      </c>
      <c r="K425" s="7" t="s">
        <v>42</v>
      </c>
      <c r="L425" s="9" t="str">
        <f>VLOOKUP(K425, 'Alphabetical by species code'!A:B, 2, FALSE)</f>
        <v>Centaurea melitensis</v>
      </c>
    </row>
    <row r="426">
      <c r="A426" s="7">
        <v>5.0</v>
      </c>
      <c r="B426" s="7">
        <v>2025.0</v>
      </c>
      <c r="C426" s="8">
        <v>45755.0</v>
      </c>
      <c r="D426" s="7" t="s">
        <v>62</v>
      </c>
      <c r="E426" s="7" t="s">
        <v>26</v>
      </c>
      <c r="F426" s="7">
        <v>3.0</v>
      </c>
      <c r="G426" s="7" t="s">
        <v>63</v>
      </c>
      <c r="H426" s="7">
        <v>1.0</v>
      </c>
      <c r="I426" s="7">
        <v>6.0</v>
      </c>
      <c r="J426" s="7">
        <v>3.5</v>
      </c>
      <c r="K426" s="7" t="s">
        <v>48</v>
      </c>
      <c r="L426" s="9" t="str">
        <f>VLOOKUP(K426, 'Alphabetical by species code'!A:B, 2, FALSE)</f>
        <v>Sonchus asper</v>
      </c>
    </row>
    <row r="427">
      <c r="A427" s="7">
        <v>5.0</v>
      </c>
      <c r="B427" s="7">
        <v>2025.0</v>
      </c>
      <c r="C427" s="8">
        <v>45755.0</v>
      </c>
      <c r="D427" s="7" t="s">
        <v>62</v>
      </c>
      <c r="E427" s="7" t="s">
        <v>26</v>
      </c>
      <c r="F427" s="7">
        <v>3.0</v>
      </c>
      <c r="G427" s="7" t="s">
        <v>63</v>
      </c>
      <c r="H427" s="7">
        <v>1.0</v>
      </c>
      <c r="I427" s="7">
        <v>7.0</v>
      </c>
      <c r="J427" s="7">
        <v>4.0</v>
      </c>
      <c r="K427" s="7" t="s">
        <v>28</v>
      </c>
      <c r="L427" s="9" t="str">
        <f>VLOOKUP(K427, 'Alphabetical by species code'!A:B, 2, FALSE)</f>
        <v>Litter</v>
      </c>
    </row>
    <row r="428">
      <c r="A428" s="7">
        <v>5.0</v>
      </c>
      <c r="B428" s="7">
        <v>2025.0</v>
      </c>
      <c r="C428" s="8">
        <v>45755.0</v>
      </c>
      <c r="D428" s="7" t="s">
        <v>62</v>
      </c>
      <c r="E428" s="7" t="s">
        <v>26</v>
      </c>
      <c r="F428" s="7">
        <v>3.0</v>
      </c>
      <c r="G428" s="7" t="s">
        <v>63</v>
      </c>
      <c r="H428" s="7">
        <v>1.0</v>
      </c>
      <c r="I428" s="7">
        <v>7.0</v>
      </c>
      <c r="J428" s="7">
        <v>4.0</v>
      </c>
      <c r="K428" s="7" t="s">
        <v>32</v>
      </c>
      <c r="L428" s="9" t="str">
        <f>VLOOKUP(K428, 'Alphabetical by species code'!A:B, 2, FALSE)</f>
        <v>Medicago polymorpha</v>
      </c>
    </row>
    <row r="429">
      <c r="A429" s="7">
        <v>5.0</v>
      </c>
      <c r="B429" s="7">
        <v>2025.0</v>
      </c>
      <c r="C429" s="8">
        <v>45755.0</v>
      </c>
      <c r="D429" s="7" t="s">
        <v>62</v>
      </c>
      <c r="E429" s="7" t="s">
        <v>26</v>
      </c>
      <c r="F429" s="7">
        <v>3.0</v>
      </c>
      <c r="G429" s="7" t="s">
        <v>63</v>
      </c>
      <c r="H429" s="7">
        <v>1.0</v>
      </c>
      <c r="I429" s="7">
        <v>7.0</v>
      </c>
      <c r="J429" s="7">
        <v>4.0</v>
      </c>
      <c r="K429" s="7" t="s">
        <v>42</v>
      </c>
      <c r="L429" s="9" t="str">
        <f>VLOOKUP(K429, 'Alphabetical by species code'!A:B, 2, FALSE)</f>
        <v>Centaurea melitensis</v>
      </c>
    </row>
    <row r="430">
      <c r="A430" s="7">
        <v>5.0</v>
      </c>
      <c r="B430" s="7">
        <v>2025.0</v>
      </c>
      <c r="C430" s="8">
        <v>45755.0</v>
      </c>
      <c r="D430" s="7" t="s">
        <v>62</v>
      </c>
      <c r="E430" s="7" t="s">
        <v>26</v>
      </c>
      <c r="F430" s="7">
        <v>3.0</v>
      </c>
      <c r="G430" s="7" t="s">
        <v>63</v>
      </c>
      <c r="H430" s="7">
        <v>1.0</v>
      </c>
      <c r="I430" s="7">
        <v>7.0</v>
      </c>
      <c r="J430" s="7">
        <v>4.0</v>
      </c>
      <c r="K430" s="7" t="s">
        <v>31</v>
      </c>
      <c r="L430" s="9" t="str">
        <f>VLOOKUP(K430, 'Alphabetical by species code'!A:B, 2, FALSE)</f>
        <v>Festuca myuros</v>
      </c>
    </row>
    <row r="431">
      <c r="A431" s="7">
        <v>5.0</v>
      </c>
      <c r="B431" s="7">
        <v>2025.0</v>
      </c>
      <c r="C431" s="8">
        <v>45755.0</v>
      </c>
      <c r="D431" s="7" t="s">
        <v>62</v>
      </c>
      <c r="E431" s="7" t="s">
        <v>26</v>
      </c>
      <c r="F431" s="7">
        <v>3.0</v>
      </c>
      <c r="G431" s="7" t="s">
        <v>63</v>
      </c>
      <c r="H431" s="7">
        <v>1.0</v>
      </c>
      <c r="I431" s="7">
        <v>8.0</v>
      </c>
      <c r="J431" s="7">
        <v>5.0</v>
      </c>
      <c r="K431" s="7" t="s">
        <v>28</v>
      </c>
      <c r="L431" s="9" t="str">
        <f>VLOOKUP(K431, 'Alphabetical by species code'!A:B, 2, FALSE)</f>
        <v>Litter</v>
      </c>
    </row>
    <row r="432">
      <c r="A432" s="7">
        <v>5.0</v>
      </c>
      <c r="B432" s="7">
        <v>2025.0</v>
      </c>
      <c r="C432" s="8">
        <v>45755.0</v>
      </c>
      <c r="D432" s="7" t="s">
        <v>62</v>
      </c>
      <c r="E432" s="7" t="s">
        <v>26</v>
      </c>
      <c r="F432" s="7">
        <v>3.0</v>
      </c>
      <c r="G432" s="7" t="s">
        <v>63</v>
      </c>
      <c r="H432" s="7">
        <v>1.0</v>
      </c>
      <c r="I432" s="7">
        <v>8.0</v>
      </c>
      <c r="J432" s="7">
        <v>5.0</v>
      </c>
      <c r="K432" s="7" t="s">
        <v>35</v>
      </c>
      <c r="L432" s="9" t="str">
        <f>VLOOKUP(K432, 'Alphabetical by species code'!A:B, 2, FALSE)</f>
        <v>Deinandra fasciculata</v>
      </c>
    </row>
    <row r="433">
      <c r="A433" s="7">
        <v>5.0</v>
      </c>
      <c r="B433" s="7">
        <v>2025.0</v>
      </c>
      <c r="C433" s="8">
        <v>45755.0</v>
      </c>
      <c r="D433" s="7" t="s">
        <v>62</v>
      </c>
      <c r="E433" s="7" t="s">
        <v>26</v>
      </c>
      <c r="F433" s="7">
        <v>3.0</v>
      </c>
      <c r="G433" s="7" t="s">
        <v>63</v>
      </c>
      <c r="H433" s="7">
        <v>1.0</v>
      </c>
      <c r="I433" s="7">
        <v>8.0</v>
      </c>
      <c r="J433" s="7">
        <v>5.0</v>
      </c>
      <c r="K433" s="7" t="s">
        <v>31</v>
      </c>
      <c r="L433" s="9" t="str">
        <f>VLOOKUP(K433, 'Alphabetical by species code'!A:B, 2, FALSE)</f>
        <v>Festuca myuros</v>
      </c>
    </row>
    <row r="434">
      <c r="A434" s="7">
        <v>5.0</v>
      </c>
      <c r="B434" s="7">
        <v>2025.0</v>
      </c>
      <c r="C434" s="8">
        <v>45755.0</v>
      </c>
      <c r="D434" s="7" t="s">
        <v>62</v>
      </c>
      <c r="E434" s="7" t="s">
        <v>26</v>
      </c>
      <c r="F434" s="7">
        <v>3.0</v>
      </c>
      <c r="G434" s="7" t="s">
        <v>63</v>
      </c>
      <c r="H434" s="7">
        <v>1.0</v>
      </c>
      <c r="I434" s="7">
        <v>8.0</v>
      </c>
      <c r="J434" s="7">
        <v>5.0</v>
      </c>
      <c r="K434" s="7" t="s">
        <v>48</v>
      </c>
      <c r="L434" s="9" t="str">
        <f>VLOOKUP(K434, 'Alphabetical by species code'!A:B, 2, FALSE)</f>
        <v>Sonchus asper</v>
      </c>
    </row>
    <row r="435">
      <c r="A435" s="7">
        <v>5.0</v>
      </c>
      <c r="B435" s="7">
        <v>2025.0</v>
      </c>
      <c r="C435" s="8">
        <v>45755.0</v>
      </c>
      <c r="D435" s="7" t="s">
        <v>62</v>
      </c>
      <c r="E435" s="7" t="s">
        <v>26</v>
      </c>
      <c r="F435" s="7">
        <v>3.0</v>
      </c>
      <c r="G435" s="7" t="s">
        <v>63</v>
      </c>
      <c r="H435" s="7">
        <v>1.0</v>
      </c>
      <c r="I435" s="7">
        <v>8.0</v>
      </c>
      <c r="J435" s="7">
        <v>5.0</v>
      </c>
      <c r="K435" s="7" t="s">
        <v>39</v>
      </c>
      <c r="L435" s="9" t="str">
        <f>VLOOKUP(K435, 'Alphabetical by species code'!A:B, 2, FALSE)</f>
        <v>Stephanomeria diegensis</v>
      </c>
    </row>
    <row r="436">
      <c r="A436" s="7">
        <v>5.0</v>
      </c>
      <c r="B436" s="7">
        <v>2025.0</v>
      </c>
      <c r="C436" s="8">
        <v>45755.0</v>
      </c>
      <c r="D436" s="7" t="s">
        <v>62</v>
      </c>
      <c r="E436" s="7" t="s">
        <v>26</v>
      </c>
      <c r="F436" s="7">
        <v>3.0</v>
      </c>
      <c r="G436" s="7" t="s">
        <v>63</v>
      </c>
      <c r="H436" s="7">
        <v>1.0</v>
      </c>
      <c r="I436" s="7">
        <v>9.0</v>
      </c>
      <c r="J436" s="7">
        <v>7.0</v>
      </c>
      <c r="K436" s="7" t="s">
        <v>28</v>
      </c>
      <c r="L436" s="9" t="str">
        <f>VLOOKUP(K436, 'Alphabetical by species code'!A:B, 2, FALSE)</f>
        <v>Litter</v>
      </c>
    </row>
    <row r="437">
      <c r="A437" s="7">
        <v>5.0</v>
      </c>
      <c r="B437" s="7">
        <v>2025.0</v>
      </c>
      <c r="C437" s="8">
        <v>45755.0</v>
      </c>
      <c r="D437" s="7" t="s">
        <v>62</v>
      </c>
      <c r="E437" s="7" t="s">
        <v>26</v>
      </c>
      <c r="F437" s="7">
        <v>3.0</v>
      </c>
      <c r="G437" s="7" t="s">
        <v>63</v>
      </c>
      <c r="H437" s="7">
        <v>1.0</v>
      </c>
      <c r="I437" s="7">
        <v>9.0</v>
      </c>
      <c r="J437" s="7">
        <v>7.0</v>
      </c>
      <c r="K437" s="7" t="s">
        <v>49</v>
      </c>
      <c r="L437" s="9" t="str">
        <f>VLOOKUP(K437, 'Alphabetical by species code'!A:B, 2, FALSE)</f>
        <v>Anagallis arvensis</v>
      </c>
    </row>
    <row r="438">
      <c r="A438" s="7">
        <v>5.0</v>
      </c>
      <c r="B438" s="7">
        <v>2025.0</v>
      </c>
      <c r="C438" s="8">
        <v>45755.0</v>
      </c>
      <c r="D438" s="7" t="s">
        <v>62</v>
      </c>
      <c r="E438" s="7" t="s">
        <v>26</v>
      </c>
      <c r="F438" s="7">
        <v>3.0</v>
      </c>
      <c r="G438" s="7" t="s">
        <v>63</v>
      </c>
      <c r="H438" s="7">
        <v>1.0</v>
      </c>
      <c r="I438" s="7">
        <v>9.0</v>
      </c>
      <c r="J438" s="7">
        <v>7.0</v>
      </c>
      <c r="K438" s="7" t="s">
        <v>34</v>
      </c>
      <c r="L438" s="9" t="str">
        <f>VLOOKUP(K438, 'Alphabetical by species code'!A:B, 2, FALSE)</f>
        <v>Erodium cicutarium</v>
      </c>
    </row>
    <row r="439">
      <c r="A439" s="7">
        <v>5.0</v>
      </c>
      <c r="B439" s="7">
        <v>2025.0</v>
      </c>
      <c r="C439" s="8">
        <v>45755.0</v>
      </c>
      <c r="D439" s="7" t="s">
        <v>62</v>
      </c>
      <c r="E439" s="7" t="s">
        <v>26</v>
      </c>
      <c r="F439" s="7">
        <v>3.0</v>
      </c>
      <c r="G439" s="7" t="s">
        <v>63</v>
      </c>
      <c r="H439" s="7">
        <v>1.0</v>
      </c>
      <c r="I439" s="7">
        <v>10.0</v>
      </c>
      <c r="J439" s="7">
        <v>8.0</v>
      </c>
      <c r="K439" s="7" t="s">
        <v>28</v>
      </c>
      <c r="L439" s="9" t="str">
        <f>VLOOKUP(K439, 'Alphabetical by species code'!A:B, 2, FALSE)</f>
        <v>Litter</v>
      </c>
    </row>
    <row r="440">
      <c r="A440" s="7">
        <v>5.0</v>
      </c>
      <c r="B440" s="7">
        <v>2025.0</v>
      </c>
      <c r="C440" s="8">
        <v>45755.0</v>
      </c>
      <c r="D440" s="7" t="s">
        <v>62</v>
      </c>
      <c r="E440" s="7" t="s">
        <v>26</v>
      </c>
      <c r="F440" s="7">
        <v>3.0</v>
      </c>
      <c r="G440" s="7" t="s">
        <v>63</v>
      </c>
      <c r="H440" s="7">
        <v>1.0</v>
      </c>
      <c r="I440" s="7">
        <v>10.0</v>
      </c>
      <c r="J440" s="7">
        <v>8.0</v>
      </c>
      <c r="K440" s="7" t="s">
        <v>31</v>
      </c>
      <c r="L440" s="9" t="str">
        <f>VLOOKUP(K440, 'Alphabetical by species code'!A:B, 2, FALSE)</f>
        <v>Festuca myuros</v>
      </c>
    </row>
    <row r="441">
      <c r="A441" s="7">
        <v>5.0</v>
      </c>
      <c r="B441" s="7">
        <v>2025.0</v>
      </c>
      <c r="C441" s="8">
        <v>45755.0</v>
      </c>
      <c r="D441" s="7" t="s">
        <v>62</v>
      </c>
      <c r="E441" s="7" t="s">
        <v>26</v>
      </c>
      <c r="F441" s="7">
        <v>3.0</v>
      </c>
      <c r="G441" s="7" t="s">
        <v>63</v>
      </c>
      <c r="H441" s="7">
        <v>1.0</v>
      </c>
      <c r="I441" s="7">
        <v>10.0</v>
      </c>
      <c r="J441" s="7">
        <v>8.0</v>
      </c>
      <c r="K441" s="7" t="s">
        <v>35</v>
      </c>
      <c r="L441" s="9" t="str">
        <f>VLOOKUP(K441, 'Alphabetical by species code'!A:B, 2, FALSE)</f>
        <v>Deinandra fasciculata</v>
      </c>
    </row>
    <row r="442">
      <c r="A442" s="7">
        <v>5.0</v>
      </c>
      <c r="B442" s="7">
        <v>2025.0</v>
      </c>
      <c r="C442" s="8">
        <v>45755.0</v>
      </c>
      <c r="D442" s="7" t="s">
        <v>62</v>
      </c>
      <c r="E442" s="7" t="s">
        <v>26</v>
      </c>
      <c r="F442" s="7">
        <v>3.0</v>
      </c>
      <c r="G442" s="7" t="s">
        <v>63</v>
      </c>
      <c r="H442" s="7">
        <v>1.0</v>
      </c>
      <c r="I442" s="7">
        <v>10.0</v>
      </c>
      <c r="J442" s="7">
        <v>8.0</v>
      </c>
      <c r="K442" s="7" t="s">
        <v>34</v>
      </c>
      <c r="L442" s="9" t="str">
        <f>VLOOKUP(K442, 'Alphabetical by species code'!A:B, 2, FALSE)</f>
        <v>Erodium cicutarium</v>
      </c>
    </row>
    <row r="443">
      <c r="A443" s="7">
        <v>5.0</v>
      </c>
      <c r="B443" s="7">
        <v>2025.0</v>
      </c>
      <c r="C443" s="8">
        <v>45755.0</v>
      </c>
      <c r="D443" s="7" t="s">
        <v>62</v>
      </c>
      <c r="E443" s="7" t="s">
        <v>26</v>
      </c>
      <c r="F443" s="7">
        <v>3.0</v>
      </c>
      <c r="G443" s="7" t="s">
        <v>63</v>
      </c>
      <c r="H443" s="7">
        <v>1.0</v>
      </c>
      <c r="I443" s="7">
        <v>11.0</v>
      </c>
      <c r="J443" s="7">
        <v>8.5</v>
      </c>
      <c r="K443" s="7" t="s">
        <v>51</v>
      </c>
      <c r="L443" s="9" t="str">
        <f>VLOOKUP(K443, 'Alphabetical by species code'!A:B, 2, FALSE)</f>
        <v>Bareground</v>
      </c>
    </row>
    <row r="444">
      <c r="A444" s="7">
        <v>5.0</v>
      </c>
      <c r="B444" s="7">
        <v>2025.0</v>
      </c>
      <c r="C444" s="8">
        <v>45755.0</v>
      </c>
      <c r="D444" s="7" t="s">
        <v>62</v>
      </c>
      <c r="E444" s="7" t="s">
        <v>26</v>
      </c>
      <c r="F444" s="7">
        <v>3.0</v>
      </c>
      <c r="G444" s="7" t="s">
        <v>63</v>
      </c>
      <c r="H444" s="7">
        <v>1.0</v>
      </c>
      <c r="I444" s="7">
        <v>11.0</v>
      </c>
      <c r="J444" s="7">
        <v>8.5</v>
      </c>
      <c r="K444" s="7" t="s">
        <v>64</v>
      </c>
      <c r="L444" s="9" t="str">
        <f>VLOOKUP(K444, 'Alphabetical by species code'!A:B, 2, FALSE)</f>
        <v>Brassica nigra</v>
      </c>
    </row>
    <row r="445">
      <c r="A445" s="7">
        <v>5.0</v>
      </c>
      <c r="B445" s="7">
        <v>2025.0</v>
      </c>
      <c r="C445" s="8">
        <v>45755.0</v>
      </c>
      <c r="D445" s="7" t="s">
        <v>62</v>
      </c>
      <c r="E445" s="7" t="s">
        <v>26</v>
      </c>
      <c r="F445" s="7">
        <v>3.0</v>
      </c>
      <c r="G445" s="7" t="s">
        <v>63</v>
      </c>
      <c r="H445" s="7">
        <v>1.0</v>
      </c>
      <c r="I445" s="7">
        <v>12.0</v>
      </c>
      <c r="J445" s="7">
        <v>9.0</v>
      </c>
      <c r="K445" s="7" t="s">
        <v>28</v>
      </c>
      <c r="L445" s="9" t="str">
        <f>VLOOKUP(K445, 'Alphabetical by species code'!A:B, 2, FALSE)</f>
        <v>Litter</v>
      </c>
    </row>
    <row r="446">
      <c r="A446" s="7">
        <v>5.0</v>
      </c>
      <c r="B446" s="7">
        <v>2025.0</v>
      </c>
      <c r="C446" s="8">
        <v>45755.0</v>
      </c>
      <c r="D446" s="7" t="s">
        <v>62</v>
      </c>
      <c r="E446" s="7" t="s">
        <v>26</v>
      </c>
      <c r="F446" s="7">
        <v>3.0</v>
      </c>
      <c r="G446" s="7" t="s">
        <v>63</v>
      </c>
      <c r="H446" s="7">
        <v>1.0</v>
      </c>
      <c r="I446" s="7">
        <v>12.0</v>
      </c>
      <c r="J446" s="7">
        <v>9.0</v>
      </c>
      <c r="K446" s="7" t="s">
        <v>48</v>
      </c>
      <c r="L446" s="9" t="str">
        <f>VLOOKUP(K446, 'Alphabetical by species code'!A:B, 2, FALSE)</f>
        <v>Sonchus asper</v>
      </c>
    </row>
    <row r="447">
      <c r="A447" s="7">
        <v>5.0</v>
      </c>
      <c r="B447" s="7">
        <v>2025.0</v>
      </c>
      <c r="C447" s="8">
        <v>45755.0</v>
      </c>
      <c r="D447" s="7" t="s">
        <v>62</v>
      </c>
      <c r="E447" s="7" t="s">
        <v>26</v>
      </c>
      <c r="F447" s="7">
        <v>3.0</v>
      </c>
      <c r="G447" s="7" t="s">
        <v>63</v>
      </c>
      <c r="H447" s="7">
        <v>1.0</v>
      </c>
      <c r="I447" s="7">
        <v>13.0</v>
      </c>
      <c r="J447" s="7">
        <v>10.0</v>
      </c>
      <c r="K447" s="7" t="s">
        <v>28</v>
      </c>
      <c r="L447" s="9" t="str">
        <f>VLOOKUP(K447, 'Alphabetical by species code'!A:B, 2, FALSE)</f>
        <v>Litter</v>
      </c>
    </row>
    <row r="448">
      <c r="A448" s="7">
        <v>5.0</v>
      </c>
      <c r="B448" s="7">
        <v>2025.0</v>
      </c>
      <c r="C448" s="8">
        <v>45755.0</v>
      </c>
      <c r="D448" s="7" t="s">
        <v>62</v>
      </c>
      <c r="E448" s="7" t="s">
        <v>26</v>
      </c>
      <c r="F448" s="7">
        <v>3.0</v>
      </c>
      <c r="G448" s="7" t="s">
        <v>63</v>
      </c>
      <c r="H448" s="7">
        <v>1.0</v>
      </c>
      <c r="I448" s="7">
        <v>13.0</v>
      </c>
      <c r="J448" s="7">
        <v>10.0</v>
      </c>
      <c r="K448" s="7" t="s">
        <v>48</v>
      </c>
      <c r="L448" s="9" t="str">
        <f>VLOOKUP(K448, 'Alphabetical by species code'!A:B, 2, FALSE)</f>
        <v>Sonchus asper</v>
      </c>
    </row>
    <row r="449">
      <c r="A449" s="7">
        <v>5.0</v>
      </c>
      <c r="B449" s="7">
        <v>2025.0</v>
      </c>
      <c r="C449" s="8">
        <v>45755.0</v>
      </c>
      <c r="D449" s="7" t="s">
        <v>62</v>
      </c>
      <c r="E449" s="7" t="s">
        <v>26</v>
      </c>
      <c r="F449" s="7">
        <v>3.0</v>
      </c>
      <c r="G449" s="7" t="s">
        <v>63</v>
      </c>
      <c r="H449" s="7">
        <v>1.0</v>
      </c>
      <c r="I449" s="7">
        <v>14.0</v>
      </c>
      <c r="J449" s="7">
        <v>11.0</v>
      </c>
      <c r="K449" s="7" t="s">
        <v>51</v>
      </c>
      <c r="L449" s="9" t="str">
        <f>VLOOKUP(K449, 'Alphabetical by species code'!A:B, 2, FALSE)</f>
        <v>Bareground</v>
      </c>
    </row>
    <row r="450">
      <c r="A450" s="7">
        <v>5.0</v>
      </c>
      <c r="B450" s="7">
        <v>2025.0</v>
      </c>
      <c r="C450" s="8">
        <v>45755.0</v>
      </c>
      <c r="D450" s="7" t="s">
        <v>62</v>
      </c>
      <c r="E450" s="7" t="s">
        <v>26</v>
      </c>
      <c r="F450" s="7">
        <v>3.0</v>
      </c>
      <c r="G450" s="7" t="s">
        <v>63</v>
      </c>
      <c r="H450" s="7">
        <v>1.0</v>
      </c>
      <c r="I450" s="7">
        <v>15.0</v>
      </c>
      <c r="J450" s="7">
        <v>12.0</v>
      </c>
      <c r="K450" s="7" t="s">
        <v>51</v>
      </c>
      <c r="L450" s="9" t="str">
        <f>VLOOKUP(K450, 'Alphabetical by species code'!A:B, 2, FALSE)</f>
        <v>Bareground</v>
      </c>
    </row>
    <row r="451">
      <c r="A451" s="7">
        <v>5.0</v>
      </c>
      <c r="B451" s="7">
        <v>2025.0</v>
      </c>
      <c r="C451" s="8">
        <v>45755.0</v>
      </c>
      <c r="D451" s="7" t="s">
        <v>62</v>
      </c>
      <c r="E451" s="7" t="s">
        <v>26</v>
      </c>
      <c r="F451" s="7">
        <v>3.0</v>
      </c>
      <c r="G451" s="7" t="s">
        <v>63</v>
      </c>
      <c r="H451" s="7">
        <v>2.0</v>
      </c>
      <c r="I451" s="7">
        <v>1.0</v>
      </c>
      <c r="J451" s="7">
        <v>0.0</v>
      </c>
      <c r="K451" s="7" t="s">
        <v>28</v>
      </c>
      <c r="L451" s="9" t="str">
        <f>VLOOKUP(K451, 'Alphabetical by species code'!A:B, 2, FALSE)</f>
        <v>Litter</v>
      </c>
    </row>
    <row r="452">
      <c r="A452" s="7">
        <v>5.0</v>
      </c>
      <c r="B452" s="7">
        <v>2025.0</v>
      </c>
      <c r="C452" s="8">
        <v>45755.0</v>
      </c>
      <c r="D452" s="7" t="s">
        <v>62</v>
      </c>
      <c r="E452" s="7" t="s">
        <v>26</v>
      </c>
      <c r="F452" s="7">
        <v>3.0</v>
      </c>
      <c r="G452" s="7" t="s">
        <v>63</v>
      </c>
      <c r="H452" s="7">
        <v>2.0</v>
      </c>
      <c r="I452" s="7">
        <v>1.0</v>
      </c>
      <c r="J452" s="7">
        <v>0.0</v>
      </c>
      <c r="K452" s="7" t="s">
        <v>40</v>
      </c>
      <c r="L452" s="9" t="str">
        <f>VLOOKUP(K452, 'Alphabetical by species code'!A:B, 2, FALSE)</f>
        <v>Cylindropuntia prolifera</v>
      </c>
    </row>
    <row r="453">
      <c r="A453" s="7">
        <v>5.0</v>
      </c>
      <c r="B453" s="7">
        <v>2025.0</v>
      </c>
      <c r="C453" s="8">
        <v>45755.0</v>
      </c>
      <c r="D453" s="7" t="s">
        <v>62</v>
      </c>
      <c r="E453" s="7" t="s">
        <v>26</v>
      </c>
      <c r="F453" s="7">
        <v>3.0</v>
      </c>
      <c r="G453" s="7" t="s">
        <v>63</v>
      </c>
      <c r="H453" s="7">
        <v>2.0</v>
      </c>
      <c r="I453" s="7">
        <v>1.0</v>
      </c>
      <c r="J453" s="7">
        <v>0.0</v>
      </c>
      <c r="K453" s="7" t="s">
        <v>32</v>
      </c>
      <c r="L453" s="9" t="str">
        <f>VLOOKUP(K453, 'Alphabetical by species code'!A:B, 2, FALSE)</f>
        <v>Medicago polymorpha</v>
      </c>
    </row>
    <row r="454">
      <c r="A454" s="7">
        <v>5.0</v>
      </c>
      <c r="B454" s="7">
        <v>2025.0</v>
      </c>
      <c r="C454" s="8">
        <v>45755.0</v>
      </c>
      <c r="D454" s="7" t="s">
        <v>62</v>
      </c>
      <c r="E454" s="7" t="s">
        <v>26</v>
      </c>
      <c r="F454" s="7">
        <v>3.0</v>
      </c>
      <c r="G454" s="7" t="s">
        <v>63</v>
      </c>
      <c r="H454" s="7">
        <v>2.0</v>
      </c>
      <c r="I454" s="7">
        <v>1.0</v>
      </c>
      <c r="J454" s="7">
        <v>0.0</v>
      </c>
      <c r="K454" s="7" t="s">
        <v>31</v>
      </c>
      <c r="L454" s="9" t="str">
        <f>VLOOKUP(K454, 'Alphabetical by species code'!A:B, 2, FALSE)</f>
        <v>Festuca myuros</v>
      </c>
    </row>
    <row r="455">
      <c r="A455" s="7">
        <v>5.0</v>
      </c>
      <c r="B455" s="7">
        <v>2025.0</v>
      </c>
      <c r="C455" s="8">
        <v>45755.0</v>
      </c>
      <c r="D455" s="7" t="s">
        <v>62</v>
      </c>
      <c r="E455" s="7" t="s">
        <v>26</v>
      </c>
      <c r="F455" s="7">
        <v>3.0</v>
      </c>
      <c r="G455" s="7" t="s">
        <v>63</v>
      </c>
      <c r="H455" s="7">
        <v>2.0</v>
      </c>
      <c r="I455" s="7">
        <v>1.0</v>
      </c>
      <c r="J455" s="7">
        <v>0.0</v>
      </c>
      <c r="K455" s="7" t="s">
        <v>37</v>
      </c>
      <c r="L455" s="9" t="str">
        <f>VLOOKUP(K455, 'Alphabetical by species code'!A:B, 2, FALSE)</f>
        <v>Sonchus oleraceus</v>
      </c>
    </row>
    <row r="456">
      <c r="A456" s="7">
        <v>5.0</v>
      </c>
      <c r="B456" s="7">
        <v>2025.0</v>
      </c>
      <c r="C456" s="8">
        <v>45755.0</v>
      </c>
      <c r="D456" s="7" t="s">
        <v>62</v>
      </c>
      <c r="E456" s="7" t="s">
        <v>26</v>
      </c>
      <c r="F456" s="7">
        <v>3.0</v>
      </c>
      <c r="G456" s="7" t="s">
        <v>63</v>
      </c>
      <c r="H456" s="7">
        <v>2.0</v>
      </c>
      <c r="I456" s="7">
        <v>2.0</v>
      </c>
      <c r="J456" s="7">
        <v>1.0</v>
      </c>
      <c r="K456" s="7" t="s">
        <v>28</v>
      </c>
      <c r="L456" s="9" t="str">
        <f>VLOOKUP(K456, 'Alphabetical by species code'!A:B, 2, FALSE)</f>
        <v>Litter</v>
      </c>
    </row>
    <row r="457">
      <c r="A457" s="7">
        <v>5.0</v>
      </c>
      <c r="B457" s="7">
        <v>2025.0</v>
      </c>
      <c r="C457" s="8">
        <v>45755.0</v>
      </c>
      <c r="D457" s="7" t="s">
        <v>62</v>
      </c>
      <c r="E457" s="7" t="s">
        <v>26</v>
      </c>
      <c r="F457" s="7">
        <v>3.0</v>
      </c>
      <c r="G457" s="7" t="s">
        <v>63</v>
      </c>
      <c r="H457" s="7">
        <v>2.0</v>
      </c>
      <c r="I457" s="7">
        <v>2.0</v>
      </c>
      <c r="J457" s="7">
        <v>1.0</v>
      </c>
      <c r="K457" s="7" t="s">
        <v>37</v>
      </c>
      <c r="L457" s="9" t="str">
        <f>VLOOKUP(K457, 'Alphabetical by species code'!A:B, 2, FALSE)</f>
        <v>Sonchus oleraceus</v>
      </c>
    </row>
    <row r="458">
      <c r="A458" s="7">
        <v>5.0</v>
      </c>
      <c r="B458" s="7">
        <v>2025.0</v>
      </c>
      <c r="C458" s="8">
        <v>45755.0</v>
      </c>
      <c r="D458" s="7" t="s">
        <v>62</v>
      </c>
      <c r="E458" s="7" t="s">
        <v>26</v>
      </c>
      <c r="F458" s="7">
        <v>3.0</v>
      </c>
      <c r="G458" s="7" t="s">
        <v>63</v>
      </c>
      <c r="H458" s="7">
        <v>2.0</v>
      </c>
      <c r="I458" s="7">
        <v>2.0</v>
      </c>
      <c r="J458" s="7">
        <v>1.0</v>
      </c>
      <c r="K458" s="7" t="s">
        <v>32</v>
      </c>
      <c r="L458" s="9" t="str">
        <f>VLOOKUP(K458, 'Alphabetical by species code'!A:B, 2, FALSE)</f>
        <v>Medicago polymorpha</v>
      </c>
    </row>
    <row r="459">
      <c r="A459" s="7">
        <v>5.0</v>
      </c>
      <c r="B459" s="7">
        <v>2025.0</v>
      </c>
      <c r="C459" s="8">
        <v>45755.0</v>
      </c>
      <c r="D459" s="7" t="s">
        <v>62</v>
      </c>
      <c r="E459" s="7" t="s">
        <v>26</v>
      </c>
      <c r="F459" s="7">
        <v>3.0</v>
      </c>
      <c r="G459" s="7" t="s">
        <v>63</v>
      </c>
      <c r="H459" s="7">
        <v>2.0</v>
      </c>
      <c r="I459" s="7">
        <v>3.0</v>
      </c>
      <c r="J459" s="7">
        <v>1.5</v>
      </c>
      <c r="K459" s="7" t="s">
        <v>28</v>
      </c>
      <c r="L459" s="9" t="str">
        <f>VLOOKUP(K459, 'Alphabetical by species code'!A:B, 2, FALSE)</f>
        <v>Litter</v>
      </c>
    </row>
    <row r="460">
      <c r="A460" s="7">
        <v>5.0</v>
      </c>
      <c r="B460" s="7">
        <v>2025.0</v>
      </c>
      <c r="C460" s="8">
        <v>45755.0</v>
      </c>
      <c r="D460" s="7" t="s">
        <v>62</v>
      </c>
      <c r="E460" s="7" t="s">
        <v>26</v>
      </c>
      <c r="F460" s="7">
        <v>3.0</v>
      </c>
      <c r="G460" s="7" t="s">
        <v>63</v>
      </c>
      <c r="H460" s="7">
        <v>2.0</v>
      </c>
      <c r="I460" s="7">
        <v>3.0</v>
      </c>
      <c r="J460" s="7">
        <v>1.5</v>
      </c>
      <c r="K460" s="7" t="s">
        <v>49</v>
      </c>
      <c r="L460" s="9" t="str">
        <f>VLOOKUP(K460, 'Alphabetical by species code'!A:B, 2, FALSE)</f>
        <v>Anagallis arvensis</v>
      </c>
    </row>
    <row r="461">
      <c r="A461" s="7">
        <v>5.0</v>
      </c>
      <c r="B461" s="7">
        <v>2025.0</v>
      </c>
      <c r="C461" s="8">
        <v>45755.0</v>
      </c>
      <c r="D461" s="7" t="s">
        <v>62</v>
      </c>
      <c r="E461" s="7" t="s">
        <v>26</v>
      </c>
      <c r="F461" s="7">
        <v>3.0</v>
      </c>
      <c r="G461" s="7" t="s">
        <v>63</v>
      </c>
      <c r="H461" s="7">
        <v>2.0</v>
      </c>
      <c r="I461" s="7">
        <v>3.0</v>
      </c>
      <c r="J461" s="7">
        <v>1.5</v>
      </c>
      <c r="K461" s="7" t="s">
        <v>40</v>
      </c>
      <c r="L461" s="9" t="str">
        <f>VLOOKUP(K461, 'Alphabetical by species code'!A:B, 2, FALSE)</f>
        <v>Cylindropuntia prolifera</v>
      </c>
    </row>
    <row r="462">
      <c r="A462" s="7">
        <v>5.0</v>
      </c>
      <c r="B462" s="7">
        <v>2025.0</v>
      </c>
      <c r="C462" s="8">
        <v>45755.0</v>
      </c>
      <c r="D462" s="7" t="s">
        <v>62</v>
      </c>
      <c r="E462" s="7" t="s">
        <v>26</v>
      </c>
      <c r="F462" s="7">
        <v>3.0</v>
      </c>
      <c r="G462" s="7" t="s">
        <v>63</v>
      </c>
      <c r="H462" s="7">
        <v>2.0</v>
      </c>
      <c r="I462" s="7">
        <v>3.0</v>
      </c>
      <c r="J462" s="7">
        <v>1.5</v>
      </c>
      <c r="K462" s="7" t="s">
        <v>48</v>
      </c>
      <c r="L462" s="9" t="str">
        <f>VLOOKUP(K462, 'Alphabetical by species code'!A:B, 2, FALSE)</f>
        <v>Sonchus asper</v>
      </c>
    </row>
    <row r="463">
      <c r="A463" s="7">
        <v>5.0</v>
      </c>
      <c r="B463" s="7">
        <v>2025.0</v>
      </c>
      <c r="C463" s="8">
        <v>45755.0</v>
      </c>
      <c r="D463" s="7" t="s">
        <v>62</v>
      </c>
      <c r="E463" s="7" t="s">
        <v>26</v>
      </c>
      <c r="F463" s="7">
        <v>3.0</v>
      </c>
      <c r="G463" s="7" t="s">
        <v>63</v>
      </c>
      <c r="H463" s="7">
        <v>2.0</v>
      </c>
      <c r="I463" s="7">
        <v>3.0</v>
      </c>
      <c r="J463" s="7">
        <v>1.5</v>
      </c>
      <c r="K463" s="7" t="s">
        <v>31</v>
      </c>
      <c r="L463" s="9" t="str">
        <f>VLOOKUP(K463, 'Alphabetical by species code'!A:B, 2, FALSE)</f>
        <v>Festuca myuros</v>
      </c>
    </row>
    <row r="464">
      <c r="A464" s="7">
        <v>5.0</v>
      </c>
      <c r="B464" s="7">
        <v>2025.0</v>
      </c>
      <c r="C464" s="8">
        <v>45755.0</v>
      </c>
      <c r="D464" s="7" t="s">
        <v>62</v>
      </c>
      <c r="E464" s="7" t="s">
        <v>26</v>
      </c>
      <c r="F464" s="7">
        <v>3.0</v>
      </c>
      <c r="G464" s="7" t="s">
        <v>63</v>
      </c>
      <c r="H464" s="7">
        <v>2.0</v>
      </c>
      <c r="I464" s="7">
        <v>4.0</v>
      </c>
      <c r="J464" s="7">
        <v>2.0</v>
      </c>
      <c r="K464" s="7" t="s">
        <v>28</v>
      </c>
      <c r="L464" s="9" t="str">
        <f>VLOOKUP(K464, 'Alphabetical by species code'!A:B, 2, FALSE)</f>
        <v>Litter</v>
      </c>
    </row>
    <row r="465">
      <c r="A465" s="7">
        <v>5.0</v>
      </c>
      <c r="B465" s="7">
        <v>2025.0</v>
      </c>
      <c r="C465" s="8">
        <v>45755.0</v>
      </c>
      <c r="D465" s="7" t="s">
        <v>62</v>
      </c>
      <c r="E465" s="7" t="s">
        <v>26</v>
      </c>
      <c r="F465" s="7">
        <v>3.0</v>
      </c>
      <c r="G465" s="7" t="s">
        <v>63</v>
      </c>
      <c r="H465" s="7">
        <v>2.0</v>
      </c>
      <c r="I465" s="7">
        <v>4.0</v>
      </c>
      <c r="J465" s="7">
        <v>2.0</v>
      </c>
      <c r="K465" s="7" t="s">
        <v>32</v>
      </c>
      <c r="L465" s="9" t="str">
        <f>VLOOKUP(K465, 'Alphabetical by species code'!A:B, 2, FALSE)</f>
        <v>Medicago polymorpha</v>
      </c>
    </row>
    <row r="466">
      <c r="A466" s="7">
        <v>5.0</v>
      </c>
      <c r="B466" s="7">
        <v>2025.0</v>
      </c>
      <c r="C466" s="8">
        <v>45755.0</v>
      </c>
      <c r="D466" s="7" t="s">
        <v>62</v>
      </c>
      <c r="E466" s="7" t="s">
        <v>26</v>
      </c>
      <c r="F466" s="7">
        <v>3.0</v>
      </c>
      <c r="G466" s="7" t="s">
        <v>63</v>
      </c>
      <c r="H466" s="7">
        <v>2.0</v>
      </c>
      <c r="I466" s="7">
        <v>4.0</v>
      </c>
      <c r="J466" s="7">
        <v>2.0</v>
      </c>
      <c r="K466" s="7" t="s">
        <v>35</v>
      </c>
      <c r="L466" s="9" t="str">
        <f>VLOOKUP(K466, 'Alphabetical by species code'!A:B, 2, FALSE)</f>
        <v>Deinandra fasciculata</v>
      </c>
    </row>
    <row r="467">
      <c r="A467" s="7">
        <v>5.0</v>
      </c>
      <c r="B467" s="7">
        <v>2025.0</v>
      </c>
      <c r="C467" s="8">
        <v>45755.0</v>
      </c>
      <c r="D467" s="7" t="s">
        <v>62</v>
      </c>
      <c r="E467" s="7" t="s">
        <v>26</v>
      </c>
      <c r="F467" s="7">
        <v>3.0</v>
      </c>
      <c r="G467" s="7" t="s">
        <v>63</v>
      </c>
      <c r="H467" s="7">
        <v>2.0</v>
      </c>
      <c r="I467" s="7">
        <v>4.0</v>
      </c>
      <c r="J467" s="7">
        <v>2.0</v>
      </c>
      <c r="K467" s="7" t="s">
        <v>31</v>
      </c>
      <c r="L467" s="9" t="str">
        <f>VLOOKUP(K467, 'Alphabetical by species code'!A:B, 2, FALSE)</f>
        <v>Festuca myuros</v>
      </c>
    </row>
    <row r="468">
      <c r="A468" s="7">
        <v>5.0</v>
      </c>
      <c r="B468" s="7">
        <v>2025.0</v>
      </c>
      <c r="C468" s="8">
        <v>45755.0</v>
      </c>
      <c r="D468" s="7" t="s">
        <v>62</v>
      </c>
      <c r="E468" s="7" t="s">
        <v>26</v>
      </c>
      <c r="F468" s="7">
        <v>3.0</v>
      </c>
      <c r="G468" s="7" t="s">
        <v>63</v>
      </c>
      <c r="H468" s="7">
        <v>2.0</v>
      </c>
      <c r="I468" s="7">
        <v>5.0</v>
      </c>
      <c r="J468" s="7">
        <v>3.0</v>
      </c>
      <c r="K468" s="7" t="s">
        <v>28</v>
      </c>
      <c r="L468" s="9" t="str">
        <f>VLOOKUP(K468, 'Alphabetical by species code'!A:B, 2, FALSE)</f>
        <v>Litter</v>
      </c>
    </row>
    <row r="469">
      <c r="A469" s="7">
        <v>5.0</v>
      </c>
      <c r="B469" s="7">
        <v>2025.0</v>
      </c>
      <c r="C469" s="8">
        <v>45755.0</v>
      </c>
      <c r="D469" s="7" t="s">
        <v>62</v>
      </c>
      <c r="E469" s="7" t="s">
        <v>26</v>
      </c>
      <c r="F469" s="7">
        <v>3.0</v>
      </c>
      <c r="G469" s="7" t="s">
        <v>63</v>
      </c>
      <c r="H469" s="7">
        <v>2.0</v>
      </c>
      <c r="I469" s="7">
        <v>5.0</v>
      </c>
      <c r="J469" s="7">
        <v>3.0</v>
      </c>
      <c r="K469" s="7" t="s">
        <v>55</v>
      </c>
      <c r="L469" s="9" t="str">
        <f>VLOOKUP(K469, 'Alphabetical by species code'!A:B, 2, FALSE)</f>
        <v>Daucus pusillus</v>
      </c>
    </row>
    <row r="470">
      <c r="A470" s="7">
        <v>5.0</v>
      </c>
      <c r="B470" s="7">
        <v>2025.0</v>
      </c>
      <c r="C470" s="8">
        <v>45755.0</v>
      </c>
      <c r="D470" s="7" t="s">
        <v>62</v>
      </c>
      <c r="E470" s="7" t="s">
        <v>26</v>
      </c>
      <c r="F470" s="7">
        <v>3.0</v>
      </c>
      <c r="G470" s="7" t="s">
        <v>63</v>
      </c>
      <c r="H470" s="7">
        <v>2.0</v>
      </c>
      <c r="I470" s="7">
        <v>5.0</v>
      </c>
      <c r="J470" s="7">
        <v>3.0</v>
      </c>
      <c r="K470" s="7" t="s">
        <v>42</v>
      </c>
      <c r="L470" s="9" t="str">
        <f>VLOOKUP(K470, 'Alphabetical by species code'!A:B, 2, FALSE)</f>
        <v>Centaurea melitensis</v>
      </c>
    </row>
    <row r="471">
      <c r="A471" s="7">
        <v>5.0</v>
      </c>
      <c r="B471" s="7">
        <v>2025.0</v>
      </c>
      <c r="C471" s="8">
        <v>45755.0</v>
      </c>
      <c r="D471" s="7" t="s">
        <v>62</v>
      </c>
      <c r="E471" s="7" t="s">
        <v>26</v>
      </c>
      <c r="F471" s="7">
        <v>3.0</v>
      </c>
      <c r="G471" s="7" t="s">
        <v>63</v>
      </c>
      <c r="H471" s="7">
        <v>2.0</v>
      </c>
      <c r="I471" s="7">
        <v>5.0</v>
      </c>
      <c r="J471" s="7">
        <v>3.0</v>
      </c>
      <c r="K471" s="7" t="s">
        <v>59</v>
      </c>
      <c r="L471" s="9" t="str">
        <f>VLOOKUP(K471, 'Alphabetical by species code'!A:B, 2, FALSE)</f>
        <v>Cryptantha micromeres</v>
      </c>
    </row>
    <row r="472">
      <c r="A472" s="7">
        <v>5.0</v>
      </c>
      <c r="B472" s="7">
        <v>2025.0</v>
      </c>
      <c r="C472" s="8">
        <v>45755.0</v>
      </c>
      <c r="D472" s="7" t="s">
        <v>62</v>
      </c>
      <c r="E472" s="7" t="s">
        <v>26</v>
      </c>
      <c r="F472" s="7">
        <v>3.0</v>
      </c>
      <c r="G472" s="7" t="s">
        <v>63</v>
      </c>
      <c r="H472" s="7">
        <v>2.0</v>
      </c>
      <c r="I472" s="7">
        <v>6.0</v>
      </c>
      <c r="J472" s="7">
        <v>3.5</v>
      </c>
      <c r="K472" s="7" t="s">
        <v>28</v>
      </c>
      <c r="L472" s="9" t="str">
        <f>VLOOKUP(K472, 'Alphabetical by species code'!A:B, 2, FALSE)</f>
        <v>Litter</v>
      </c>
    </row>
    <row r="473">
      <c r="A473" s="7">
        <v>5.0</v>
      </c>
      <c r="B473" s="7">
        <v>2025.0</v>
      </c>
      <c r="C473" s="8">
        <v>45755.0</v>
      </c>
      <c r="D473" s="7" t="s">
        <v>62</v>
      </c>
      <c r="E473" s="7" t="s">
        <v>26</v>
      </c>
      <c r="F473" s="7">
        <v>3.0</v>
      </c>
      <c r="G473" s="7" t="s">
        <v>63</v>
      </c>
      <c r="H473" s="7">
        <v>2.0</v>
      </c>
      <c r="I473" s="7">
        <v>6.0</v>
      </c>
      <c r="J473" s="7">
        <v>3.5</v>
      </c>
      <c r="K473" s="7" t="s">
        <v>49</v>
      </c>
      <c r="L473" s="9" t="str">
        <f>VLOOKUP(K473, 'Alphabetical by species code'!A:B, 2, FALSE)</f>
        <v>Anagallis arvensis</v>
      </c>
    </row>
    <row r="474">
      <c r="A474" s="7">
        <v>5.0</v>
      </c>
      <c r="B474" s="7">
        <v>2025.0</v>
      </c>
      <c r="C474" s="8">
        <v>45755.0</v>
      </c>
      <c r="D474" s="7" t="s">
        <v>62</v>
      </c>
      <c r="E474" s="7" t="s">
        <v>26</v>
      </c>
      <c r="F474" s="7">
        <v>3.0</v>
      </c>
      <c r="G474" s="7" t="s">
        <v>63</v>
      </c>
      <c r="H474" s="7">
        <v>2.0</v>
      </c>
      <c r="I474" s="7">
        <v>6.0</v>
      </c>
      <c r="J474" s="7">
        <v>3.5</v>
      </c>
      <c r="K474" s="7" t="s">
        <v>42</v>
      </c>
      <c r="L474" s="9" t="str">
        <f>VLOOKUP(K474, 'Alphabetical by species code'!A:B, 2, FALSE)</f>
        <v>Centaurea melitensis</v>
      </c>
    </row>
    <row r="475">
      <c r="A475" s="7">
        <v>5.0</v>
      </c>
      <c r="B475" s="7">
        <v>2025.0</v>
      </c>
      <c r="C475" s="8">
        <v>45755.0</v>
      </c>
      <c r="D475" s="7" t="s">
        <v>62</v>
      </c>
      <c r="E475" s="7" t="s">
        <v>26</v>
      </c>
      <c r="F475" s="7">
        <v>3.0</v>
      </c>
      <c r="G475" s="7" t="s">
        <v>63</v>
      </c>
      <c r="H475" s="7">
        <v>2.0</v>
      </c>
      <c r="I475" s="7">
        <v>6.0</v>
      </c>
      <c r="J475" s="7">
        <v>3.5</v>
      </c>
      <c r="K475" s="7" t="s">
        <v>65</v>
      </c>
      <c r="L475" s="9" t="str">
        <f>VLOOKUP(K475, 'Alphabetical by species code'!A:B, 2, FALSE)</f>
        <v>Cryptantha intermedia</v>
      </c>
    </row>
    <row r="476">
      <c r="A476" s="7">
        <v>5.0</v>
      </c>
      <c r="B476" s="7">
        <v>2025.0</v>
      </c>
      <c r="C476" s="8">
        <v>45755.0</v>
      </c>
      <c r="D476" s="7" t="s">
        <v>62</v>
      </c>
      <c r="E476" s="7" t="s">
        <v>26</v>
      </c>
      <c r="F476" s="7">
        <v>3.0</v>
      </c>
      <c r="G476" s="7" t="s">
        <v>63</v>
      </c>
      <c r="H476" s="7">
        <v>2.0</v>
      </c>
      <c r="I476" s="7">
        <v>6.0</v>
      </c>
      <c r="J476" s="7">
        <v>3.5</v>
      </c>
      <c r="K476" s="7" t="s">
        <v>55</v>
      </c>
      <c r="L476" s="9" t="str">
        <f>VLOOKUP(K476, 'Alphabetical by species code'!A:B, 2, FALSE)</f>
        <v>Daucus pusillus</v>
      </c>
    </row>
    <row r="477">
      <c r="A477" s="7">
        <v>5.0</v>
      </c>
      <c r="B477" s="7">
        <v>2025.0</v>
      </c>
      <c r="C477" s="8">
        <v>45755.0</v>
      </c>
      <c r="D477" s="7" t="s">
        <v>62</v>
      </c>
      <c r="E477" s="7" t="s">
        <v>26</v>
      </c>
      <c r="F477" s="7">
        <v>3.0</v>
      </c>
      <c r="G477" s="7" t="s">
        <v>63</v>
      </c>
      <c r="H477" s="7">
        <v>2.0</v>
      </c>
      <c r="I477" s="7">
        <v>7.0</v>
      </c>
      <c r="J477" s="7">
        <v>4.0</v>
      </c>
      <c r="K477" s="7" t="s">
        <v>28</v>
      </c>
      <c r="L477" s="9" t="str">
        <f>VLOOKUP(K477, 'Alphabetical by species code'!A:B, 2, FALSE)</f>
        <v>Litter</v>
      </c>
    </row>
    <row r="478">
      <c r="A478" s="7">
        <v>5.0</v>
      </c>
      <c r="B478" s="7">
        <v>2025.0</v>
      </c>
      <c r="C478" s="8">
        <v>45755.0</v>
      </c>
      <c r="D478" s="7" t="s">
        <v>62</v>
      </c>
      <c r="E478" s="7" t="s">
        <v>26</v>
      </c>
      <c r="F478" s="7">
        <v>3.0</v>
      </c>
      <c r="G478" s="7" t="s">
        <v>63</v>
      </c>
      <c r="H478" s="7">
        <v>2.0</v>
      </c>
      <c r="I478" s="7">
        <v>7.0</v>
      </c>
      <c r="J478" s="7">
        <v>4.0</v>
      </c>
      <c r="K478" s="7" t="s">
        <v>49</v>
      </c>
      <c r="L478" s="9" t="str">
        <f>VLOOKUP(K478, 'Alphabetical by species code'!A:B, 2, FALSE)</f>
        <v>Anagallis arvensis</v>
      </c>
    </row>
    <row r="479">
      <c r="A479" s="7">
        <v>5.0</v>
      </c>
      <c r="B479" s="7">
        <v>2025.0</v>
      </c>
      <c r="C479" s="8">
        <v>45755.0</v>
      </c>
      <c r="D479" s="7" t="s">
        <v>62</v>
      </c>
      <c r="E479" s="7" t="s">
        <v>26</v>
      </c>
      <c r="F479" s="7">
        <v>3.0</v>
      </c>
      <c r="G479" s="7" t="s">
        <v>63</v>
      </c>
      <c r="H479" s="7">
        <v>2.0</v>
      </c>
      <c r="I479" s="7">
        <v>7.0</v>
      </c>
      <c r="J479" s="7">
        <v>4.0</v>
      </c>
      <c r="K479" s="7" t="s">
        <v>32</v>
      </c>
      <c r="L479" s="9" t="str">
        <f>VLOOKUP(K479, 'Alphabetical by species code'!A:B, 2, FALSE)</f>
        <v>Medicago polymorpha</v>
      </c>
    </row>
    <row r="480">
      <c r="A480" s="7">
        <v>5.0</v>
      </c>
      <c r="B480" s="7">
        <v>2025.0</v>
      </c>
      <c r="C480" s="8">
        <v>45755.0</v>
      </c>
      <c r="D480" s="7" t="s">
        <v>62</v>
      </c>
      <c r="E480" s="7" t="s">
        <v>26</v>
      </c>
      <c r="F480" s="7">
        <v>3.0</v>
      </c>
      <c r="G480" s="7" t="s">
        <v>63</v>
      </c>
      <c r="H480" s="7">
        <v>2.0</v>
      </c>
      <c r="I480" s="7">
        <v>8.0</v>
      </c>
      <c r="J480" s="7">
        <v>5.0</v>
      </c>
      <c r="K480" s="7" t="s">
        <v>28</v>
      </c>
      <c r="L480" s="9" t="str">
        <f>VLOOKUP(K480, 'Alphabetical by species code'!A:B, 2, FALSE)</f>
        <v>Litter</v>
      </c>
    </row>
    <row r="481">
      <c r="A481" s="7">
        <v>5.0</v>
      </c>
      <c r="B481" s="7">
        <v>2025.0</v>
      </c>
      <c r="C481" s="8">
        <v>45755.0</v>
      </c>
      <c r="D481" s="7" t="s">
        <v>62</v>
      </c>
      <c r="E481" s="7" t="s">
        <v>26</v>
      </c>
      <c r="F481" s="7">
        <v>3.0</v>
      </c>
      <c r="G481" s="7" t="s">
        <v>63</v>
      </c>
      <c r="H481" s="7">
        <v>2.0</v>
      </c>
      <c r="I481" s="7">
        <v>8.0</v>
      </c>
      <c r="J481" s="7">
        <v>5.0</v>
      </c>
      <c r="K481" s="7" t="s">
        <v>48</v>
      </c>
      <c r="L481" s="9" t="str">
        <f>VLOOKUP(K481, 'Alphabetical by species code'!A:B, 2, FALSE)</f>
        <v>Sonchus asper</v>
      </c>
    </row>
    <row r="482">
      <c r="A482" s="7">
        <v>5.0</v>
      </c>
      <c r="B482" s="7">
        <v>2025.0</v>
      </c>
      <c r="C482" s="8">
        <v>45755.0</v>
      </c>
      <c r="D482" s="7" t="s">
        <v>62</v>
      </c>
      <c r="E482" s="7" t="s">
        <v>26</v>
      </c>
      <c r="F482" s="7">
        <v>3.0</v>
      </c>
      <c r="G482" s="7" t="s">
        <v>63</v>
      </c>
      <c r="H482" s="7">
        <v>2.0</v>
      </c>
      <c r="I482" s="7">
        <v>9.0</v>
      </c>
      <c r="J482" s="7">
        <v>7.0</v>
      </c>
      <c r="K482" s="7" t="s">
        <v>28</v>
      </c>
      <c r="L482" s="9" t="str">
        <f>VLOOKUP(K482, 'Alphabetical by species code'!A:B, 2, FALSE)</f>
        <v>Litter</v>
      </c>
    </row>
    <row r="483">
      <c r="A483" s="7">
        <v>5.0</v>
      </c>
      <c r="B483" s="7">
        <v>2025.0</v>
      </c>
      <c r="C483" s="8">
        <v>45755.0</v>
      </c>
      <c r="D483" s="7" t="s">
        <v>62</v>
      </c>
      <c r="E483" s="7" t="s">
        <v>26</v>
      </c>
      <c r="F483" s="7">
        <v>3.0</v>
      </c>
      <c r="G483" s="7" t="s">
        <v>63</v>
      </c>
      <c r="H483" s="7">
        <v>2.0</v>
      </c>
      <c r="I483" s="7">
        <v>9.0</v>
      </c>
      <c r="J483" s="7">
        <v>7.0</v>
      </c>
      <c r="K483" s="7" t="s">
        <v>31</v>
      </c>
      <c r="L483" s="9" t="str">
        <f>VLOOKUP(K483, 'Alphabetical by species code'!A:B, 2, FALSE)</f>
        <v>Festuca myuros</v>
      </c>
    </row>
    <row r="484">
      <c r="A484" s="7">
        <v>5.0</v>
      </c>
      <c r="B484" s="7">
        <v>2025.0</v>
      </c>
      <c r="C484" s="8">
        <v>45755.0</v>
      </c>
      <c r="D484" s="7" t="s">
        <v>62</v>
      </c>
      <c r="E484" s="7" t="s">
        <v>26</v>
      </c>
      <c r="F484" s="7">
        <v>3.0</v>
      </c>
      <c r="G484" s="7" t="s">
        <v>63</v>
      </c>
      <c r="H484" s="7">
        <v>2.0</v>
      </c>
      <c r="I484" s="7">
        <v>9.0</v>
      </c>
      <c r="J484" s="7">
        <v>7.0</v>
      </c>
      <c r="K484" s="7" t="s">
        <v>42</v>
      </c>
      <c r="L484" s="9" t="str">
        <f>VLOOKUP(K484, 'Alphabetical by species code'!A:B, 2, FALSE)</f>
        <v>Centaurea melitensis</v>
      </c>
    </row>
    <row r="485">
      <c r="A485" s="7">
        <v>5.0</v>
      </c>
      <c r="B485" s="7">
        <v>2025.0</v>
      </c>
      <c r="C485" s="8">
        <v>45755.0</v>
      </c>
      <c r="D485" s="7" t="s">
        <v>62</v>
      </c>
      <c r="E485" s="7" t="s">
        <v>26</v>
      </c>
      <c r="F485" s="7">
        <v>3.0</v>
      </c>
      <c r="G485" s="7" t="s">
        <v>63</v>
      </c>
      <c r="H485" s="7">
        <v>2.0</v>
      </c>
      <c r="I485" s="7">
        <v>10.0</v>
      </c>
      <c r="J485" s="7">
        <v>8.0</v>
      </c>
      <c r="K485" s="7" t="s">
        <v>51</v>
      </c>
      <c r="L485" s="9" t="str">
        <f>VLOOKUP(K485, 'Alphabetical by species code'!A:B, 2, FALSE)</f>
        <v>Bareground</v>
      </c>
    </row>
    <row r="486">
      <c r="A486" s="7">
        <v>5.0</v>
      </c>
      <c r="B486" s="7">
        <v>2025.0</v>
      </c>
      <c r="C486" s="8">
        <v>45755.0</v>
      </c>
      <c r="D486" s="7" t="s">
        <v>62</v>
      </c>
      <c r="E486" s="7" t="s">
        <v>26</v>
      </c>
      <c r="F486" s="7">
        <v>3.0</v>
      </c>
      <c r="G486" s="7" t="s">
        <v>63</v>
      </c>
      <c r="H486" s="7">
        <v>2.0</v>
      </c>
      <c r="I486" s="7">
        <v>10.0</v>
      </c>
      <c r="J486" s="7">
        <v>8.0</v>
      </c>
      <c r="K486" s="7" t="s">
        <v>44</v>
      </c>
      <c r="L486" s="9" t="str">
        <f>VLOOKUP(K486, 'Alphabetical by species code'!A:B, 2, FALSE)</f>
        <v>Amsinckia menziesii</v>
      </c>
    </row>
    <row r="487">
      <c r="A487" s="7">
        <v>5.0</v>
      </c>
      <c r="B487" s="7">
        <v>2025.0</v>
      </c>
      <c r="C487" s="8">
        <v>45755.0</v>
      </c>
      <c r="D487" s="7" t="s">
        <v>62</v>
      </c>
      <c r="E487" s="7" t="s">
        <v>26</v>
      </c>
      <c r="F487" s="7">
        <v>3.0</v>
      </c>
      <c r="G487" s="7" t="s">
        <v>63</v>
      </c>
      <c r="H487" s="7">
        <v>2.0</v>
      </c>
      <c r="I487" s="7">
        <v>10.0</v>
      </c>
      <c r="J487" s="7">
        <v>8.0</v>
      </c>
      <c r="K487" s="7" t="s">
        <v>31</v>
      </c>
      <c r="L487" s="9" t="str">
        <f>VLOOKUP(K487, 'Alphabetical by species code'!A:B, 2, FALSE)</f>
        <v>Festuca myuros</v>
      </c>
    </row>
    <row r="488">
      <c r="A488" s="7">
        <v>5.0</v>
      </c>
      <c r="B488" s="7">
        <v>2025.0</v>
      </c>
      <c r="C488" s="8">
        <v>45755.0</v>
      </c>
      <c r="D488" s="7" t="s">
        <v>62</v>
      </c>
      <c r="E488" s="7" t="s">
        <v>26</v>
      </c>
      <c r="F488" s="7">
        <v>3.0</v>
      </c>
      <c r="G488" s="7" t="s">
        <v>63</v>
      </c>
      <c r="H488" s="7">
        <v>2.0</v>
      </c>
      <c r="I488" s="7">
        <v>11.0</v>
      </c>
      <c r="J488" s="7">
        <v>8.5</v>
      </c>
      <c r="K488" s="7" t="s">
        <v>28</v>
      </c>
      <c r="L488" s="9" t="str">
        <f>VLOOKUP(K488, 'Alphabetical by species code'!A:B, 2, FALSE)</f>
        <v>Litter</v>
      </c>
    </row>
    <row r="489">
      <c r="A489" s="7">
        <v>5.0</v>
      </c>
      <c r="B489" s="7">
        <v>2025.0</v>
      </c>
      <c r="C489" s="8">
        <v>45755.0</v>
      </c>
      <c r="D489" s="7" t="s">
        <v>62</v>
      </c>
      <c r="E489" s="7" t="s">
        <v>26</v>
      </c>
      <c r="F489" s="7">
        <v>3.0</v>
      </c>
      <c r="G489" s="7" t="s">
        <v>63</v>
      </c>
      <c r="H489" s="7">
        <v>2.0</v>
      </c>
      <c r="I489" s="7">
        <v>11.0</v>
      </c>
      <c r="J489" s="7">
        <v>8.5</v>
      </c>
      <c r="K489" s="7" t="s">
        <v>42</v>
      </c>
      <c r="L489" s="9" t="str">
        <f>VLOOKUP(K489, 'Alphabetical by species code'!A:B, 2, FALSE)</f>
        <v>Centaurea melitensis</v>
      </c>
    </row>
    <row r="490">
      <c r="A490" s="7">
        <v>5.0</v>
      </c>
      <c r="B490" s="7">
        <v>2025.0</v>
      </c>
      <c r="C490" s="8">
        <v>45755.0</v>
      </c>
      <c r="D490" s="7" t="s">
        <v>62</v>
      </c>
      <c r="E490" s="7" t="s">
        <v>26</v>
      </c>
      <c r="F490" s="7">
        <v>3.0</v>
      </c>
      <c r="G490" s="7" t="s">
        <v>63</v>
      </c>
      <c r="H490" s="7">
        <v>2.0</v>
      </c>
      <c r="I490" s="7">
        <v>12.0</v>
      </c>
      <c r="J490" s="7">
        <v>9.0</v>
      </c>
      <c r="K490" s="7" t="s">
        <v>28</v>
      </c>
      <c r="L490" s="9" t="str">
        <f>VLOOKUP(K490, 'Alphabetical by species code'!A:B, 2, FALSE)</f>
        <v>Litter</v>
      </c>
    </row>
    <row r="491">
      <c r="A491" s="7">
        <v>5.0</v>
      </c>
      <c r="B491" s="7">
        <v>2025.0</v>
      </c>
      <c r="C491" s="8">
        <v>45755.0</v>
      </c>
      <c r="D491" s="7" t="s">
        <v>62</v>
      </c>
      <c r="E491" s="7" t="s">
        <v>26</v>
      </c>
      <c r="F491" s="7">
        <v>3.0</v>
      </c>
      <c r="G491" s="7" t="s">
        <v>63</v>
      </c>
      <c r="H491" s="7">
        <v>2.0</v>
      </c>
      <c r="I491" s="7">
        <v>12.0</v>
      </c>
      <c r="J491" s="7">
        <v>9.0</v>
      </c>
      <c r="K491" s="7" t="s">
        <v>31</v>
      </c>
      <c r="L491" s="9" t="str">
        <f>VLOOKUP(K491, 'Alphabetical by species code'!A:B, 2, FALSE)</f>
        <v>Festuca myuros</v>
      </c>
    </row>
    <row r="492">
      <c r="A492" s="7">
        <v>5.0</v>
      </c>
      <c r="B492" s="7">
        <v>2025.0</v>
      </c>
      <c r="C492" s="8">
        <v>45755.0</v>
      </c>
      <c r="D492" s="7" t="s">
        <v>62</v>
      </c>
      <c r="E492" s="7" t="s">
        <v>26</v>
      </c>
      <c r="F492" s="7">
        <v>3.0</v>
      </c>
      <c r="G492" s="7" t="s">
        <v>63</v>
      </c>
      <c r="H492" s="7">
        <v>2.0</v>
      </c>
      <c r="I492" s="7">
        <v>12.0</v>
      </c>
      <c r="J492" s="7">
        <v>9.0</v>
      </c>
      <c r="K492" s="7" t="s">
        <v>64</v>
      </c>
      <c r="L492" s="9" t="str">
        <f>VLOOKUP(K492, 'Alphabetical by species code'!A:B, 2, FALSE)</f>
        <v>Brassica nigra</v>
      </c>
    </row>
    <row r="493">
      <c r="A493" s="7">
        <v>5.0</v>
      </c>
      <c r="B493" s="7">
        <v>2025.0</v>
      </c>
      <c r="C493" s="8">
        <v>45755.0</v>
      </c>
      <c r="D493" s="7" t="s">
        <v>62</v>
      </c>
      <c r="E493" s="7" t="s">
        <v>26</v>
      </c>
      <c r="F493" s="7">
        <v>3.0</v>
      </c>
      <c r="G493" s="7" t="s">
        <v>63</v>
      </c>
      <c r="H493" s="7">
        <v>2.0</v>
      </c>
      <c r="I493" s="7">
        <v>13.0</v>
      </c>
      <c r="J493" s="7">
        <v>10.0</v>
      </c>
      <c r="K493" s="7" t="s">
        <v>28</v>
      </c>
      <c r="L493" s="9" t="str">
        <f>VLOOKUP(K493, 'Alphabetical by species code'!A:B, 2, FALSE)</f>
        <v>Litter</v>
      </c>
    </row>
    <row r="494">
      <c r="A494" s="7">
        <v>5.0</v>
      </c>
      <c r="B494" s="7">
        <v>2025.0</v>
      </c>
      <c r="C494" s="8">
        <v>45755.0</v>
      </c>
      <c r="D494" s="7" t="s">
        <v>62</v>
      </c>
      <c r="E494" s="7" t="s">
        <v>26</v>
      </c>
      <c r="F494" s="7">
        <v>3.0</v>
      </c>
      <c r="G494" s="7" t="s">
        <v>63</v>
      </c>
      <c r="H494" s="7">
        <v>2.0</v>
      </c>
      <c r="I494" s="7">
        <v>13.0</v>
      </c>
      <c r="J494" s="7">
        <v>10.0</v>
      </c>
      <c r="K494" s="7" t="s">
        <v>31</v>
      </c>
      <c r="L494" s="9" t="str">
        <f>VLOOKUP(K494, 'Alphabetical by species code'!A:B, 2, FALSE)</f>
        <v>Festuca myuros</v>
      </c>
    </row>
    <row r="495">
      <c r="A495" s="7">
        <v>5.0</v>
      </c>
      <c r="B495" s="7">
        <v>2025.0</v>
      </c>
      <c r="C495" s="8">
        <v>45755.0</v>
      </c>
      <c r="D495" s="7" t="s">
        <v>62</v>
      </c>
      <c r="E495" s="7" t="s">
        <v>26</v>
      </c>
      <c r="F495" s="7">
        <v>3.0</v>
      </c>
      <c r="G495" s="7" t="s">
        <v>63</v>
      </c>
      <c r="H495" s="7">
        <v>2.0</v>
      </c>
      <c r="I495" s="7">
        <v>13.0</v>
      </c>
      <c r="J495" s="7">
        <v>10.0</v>
      </c>
      <c r="K495" s="7" t="s">
        <v>42</v>
      </c>
      <c r="L495" s="9" t="str">
        <f>VLOOKUP(K495, 'Alphabetical by species code'!A:B, 2, FALSE)</f>
        <v>Centaurea melitensis</v>
      </c>
    </row>
    <row r="496">
      <c r="A496" s="7">
        <v>5.0</v>
      </c>
      <c r="B496" s="7">
        <v>2025.0</v>
      </c>
      <c r="C496" s="8">
        <v>45755.0</v>
      </c>
      <c r="D496" s="7" t="s">
        <v>62</v>
      </c>
      <c r="E496" s="7" t="s">
        <v>26</v>
      </c>
      <c r="F496" s="7">
        <v>3.0</v>
      </c>
      <c r="G496" s="7" t="s">
        <v>63</v>
      </c>
      <c r="H496" s="7">
        <v>2.0</v>
      </c>
      <c r="I496" s="7">
        <v>14.0</v>
      </c>
      <c r="J496" s="7">
        <v>11.0</v>
      </c>
      <c r="K496" s="7" t="s">
        <v>28</v>
      </c>
      <c r="L496" s="9" t="str">
        <f>VLOOKUP(K496, 'Alphabetical by species code'!A:B, 2, FALSE)</f>
        <v>Litter</v>
      </c>
    </row>
    <row r="497">
      <c r="A497" s="7">
        <v>5.0</v>
      </c>
      <c r="B497" s="7">
        <v>2025.0</v>
      </c>
      <c r="C497" s="8">
        <v>45755.0</v>
      </c>
      <c r="D497" s="7" t="s">
        <v>62</v>
      </c>
      <c r="E497" s="7" t="s">
        <v>26</v>
      </c>
      <c r="F497" s="7">
        <v>3.0</v>
      </c>
      <c r="G497" s="7" t="s">
        <v>63</v>
      </c>
      <c r="H497" s="7">
        <v>2.0</v>
      </c>
      <c r="I497" s="7">
        <v>14.0</v>
      </c>
      <c r="J497" s="7">
        <v>11.0</v>
      </c>
      <c r="K497" s="7" t="s">
        <v>64</v>
      </c>
      <c r="L497" s="9" t="str">
        <f>VLOOKUP(K497, 'Alphabetical by species code'!A:B, 2, FALSE)</f>
        <v>Brassica nigra</v>
      </c>
    </row>
    <row r="498">
      <c r="A498" s="7">
        <v>5.0</v>
      </c>
      <c r="B498" s="7">
        <v>2025.0</v>
      </c>
      <c r="C498" s="8">
        <v>45755.0</v>
      </c>
      <c r="D498" s="7" t="s">
        <v>62</v>
      </c>
      <c r="E498" s="7" t="s">
        <v>26</v>
      </c>
      <c r="F498" s="7">
        <v>3.0</v>
      </c>
      <c r="G498" s="7" t="s">
        <v>63</v>
      </c>
      <c r="H498" s="7">
        <v>2.0</v>
      </c>
      <c r="I498" s="7">
        <v>15.0</v>
      </c>
      <c r="J498" s="7">
        <v>12.0</v>
      </c>
      <c r="K498" s="7" t="s">
        <v>28</v>
      </c>
      <c r="L498" s="9" t="str">
        <f>VLOOKUP(K498, 'Alphabetical by species code'!A:B, 2, FALSE)</f>
        <v>Litter</v>
      </c>
    </row>
    <row r="499">
      <c r="A499" s="7">
        <v>5.0</v>
      </c>
      <c r="B499" s="7">
        <v>2025.0</v>
      </c>
      <c r="C499" s="8">
        <v>45755.0</v>
      </c>
      <c r="D499" s="7" t="s">
        <v>62</v>
      </c>
      <c r="E499" s="7" t="s">
        <v>26</v>
      </c>
      <c r="F499" s="7">
        <v>3.0</v>
      </c>
      <c r="G499" s="7" t="s">
        <v>63</v>
      </c>
      <c r="H499" s="7">
        <v>2.0</v>
      </c>
      <c r="I499" s="7">
        <v>15.0</v>
      </c>
      <c r="J499" s="7">
        <v>12.0</v>
      </c>
      <c r="K499" s="7" t="s">
        <v>48</v>
      </c>
      <c r="L499" s="9" t="str">
        <f>VLOOKUP(K499, 'Alphabetical by species code'!A:B, 2, FALSE)</f>
        <v>Sonchus asper</v>
      </c>
    </row>
    <row r="500">
      <c r="A500" s="7">
        <v>5.0</v>
      </c>
      <c r="B500" s="7">
        <v>2025.0</v>
      </c>
      <c r="C500" s="8">
        <v>45755.0</v>
      </c>
      <c r="D500" s="7" t="s">
        <v>62</v>
      </c>
      <c r="E500" s="7" t="s">
        <v>26</v>
      </c>
      <c r="F500" s="7">
        <v>3.0</v>
      </c>
      <c r="G500" s="7" t="s">
        <v>63</v>
      </c>
      <c r="H500" s="7">
        <v>2.0</v>
      </c>
      <c r="I500" s="7">
        <v>15.0</v>
      </c>
      <c r="J500" s="7">
        <v>12.0</v>
      </c>
      <c r="K500" s="7" t="s">
        <v>31</v>
      </c>
      <c r="L500" s="9" t="str">
        <f>VLOOKUP(K500, 'Alphabetical by species code'!A:B, 2, FALSE)</f>
        <v>Festuca myuros</v>
      </c>
    </row>
    <row r="501">
      <c r="A501" s="7">
        <v>6.0</v>
      </c>
      <c r="B501" s="7">
        <v>2025.0</v>
      </c>
      <c r="C501" s="8">
        <v>45755.0</v>
      </c>
      <c r="D501" s="7" t="s">
        <v>54</v>
      </c>
      <c r="E501" s="7" t="s">
        <v>26</v>
      </c>
      <c r="F501" s="7">
        <v>3.0</v>
      </c>
      <c r="G501" s="7" t="s">
        <v>66</v>
      </c>
      <c r="H501" s="7">
        <v>1.0</v>
      </c>
      <c r="I501" s="7">
        <v>1.0</v>
      </c>
      <c r="J501" s="7">
        <v>0.0</v>
      </c>
      <c r="K501" s="7" t="s">
        <v>28</v>
      </c>
      <c r="L501" s="9" t="str">
        <f>VLOOKUP(K501, 'Alphabetical by species code'!A:B, 2, FALSE)</f>
        <v>Litter</v>
      </c>
    </row>
    <row r="502">
      <c r="A502" s="7">
        <v>6.0</v>
      </c>
      <c r="B502" s="7">
        <v>2025.0</v>
      </c>
      <c r="C502" s="8">
        <v>45755.0</v>
      </c>
      <c r="D502" s="7" t="s">
        <v>54</v>
      </c>
      <c r="E502" s="7" t="s">
        <v>26</v>
      </c>
      <c r="F502" s="7">
        <v>3.0</v>
      </c>
      <c r="G502" s="7" t="s">
        <v>66</v>
      </c>
      <c r="H502" s="7">
        <v>1.0</v>
      </c>
      <c r="I502" s="7">
        <v>1.0</v>
      </c>
      <c r="J502" s="7">
        <v>0.0</v>
      </c>
      <c r="K502" s="7" t="s">
        <v>35</v>
      </c>
      <c r="L502" s="9" t="str">
        <f>VLOOKUP(K502, 'Alphabetical by species code'!A:B, 2, FALSE)</f>
        <v>Deinandra fasciculata</v>
      </c>
    </row>
    <row r="503">
      <c r="A503" s="7">
        <v>6.0</v>
      </c>
      <c r="B503" s="7">
        <v>2025.0</v>
      </c>
      <c r="C503" s="8">
        <v>45755.0</v>
      </c>
      <c r="D503" s="7" t="s">
        <v>54</v>
      </c>
      <c r="E503" s="7" t="s">
        <v>26</v>
      </c>
      <c r="F503" s="7">
        <v>3.0</v>
      </c>
      <c r="G503" s="7" t="s">
        <v>66</v>
      </c>
      <c r="H503" s="7">
        <v>1.0</v>
      </c>
      <c r="I503" s="7">
        <v>1.0</v>
      </c>
      <c r="J503" s="7">
        <v>0.0</v>
      </c>
      <c r="K503" s="7" t="s">
        <v>49</v>
      </c>
      <c r="L503" s="9" t="str">
        <f>VLOOKUP(K503, 'Alphabetical by species code'!A:B, 2, FALSE)</f>
        <v>Anagallis arvensis</v>
      </c>
    </row>
    <row r="504">
      <c r="A504" s="7">
        <v>6.0</v>
      </c>
      <c r="B504" s="7">
        <v>2025.0</v>
      </c>
      <c r="C504" s="8">
        <v>45755.0</v>
      </c>
      <c r="D504" s="7" t="s">
        <v>54</v>
      </c>
      <c r="E504" s="7" t="s">
        <v>26</v>
      </c>
      <c r="F504" s="7">
        <v>3.0</v>
      </c>
      <c r="G504" s="7" t="s">
        <v>66</v>
      </c>
      <c r="H504" s="7">
        <v>1.0</v>
      </c>
      <c r="I504" s="7">
        <v>1.0</v>
      </c>
      <c r="J504" s="7">
        <v>0.0</v>
      </c>
      <c r="K504" s="7" t="s">
        <v>34</v>
      </c>
      <c r="L504" s="9" t="str">
        <f>VLOOKUP(K504, 'Alphabetical by species code'!A:B, 2, FALSE)</f>
        <v>Erodium cicutarium</v>
      </c>
    </row>
    <row r="505">
      <c r="A505" s="7">
        <v>6.0</v>
      </c>
      <c r="B505" s="7">
        <v>2025.0</v>
      </c>
      <c r="C505" s="8">
        <v>45755.0</v>
      </c>
      <c r="D505" s="7" t="s">
        <v>54</v>
      </c>
      <c r="E505" s="7" t="s">
        <v>26</v>
      </c>
      <c r="F505" s="7">
        <v>3.0</v>
      </c>
      <c r="G505" s="7" t="s">
        <v>66</v>
      </c>
      <c r="H505" s="7">
        <v>1.0</v>
      </c>
      <c r="I505" s="7">
        <v>2.0</v>
      </c>
      <c r="J505" s="7">
        <v>1.0</v>
      </c>
      <c r="K505" s="7" t="s">
        <v>28</v>
      </c>
      <c r="L505" s="9" t="str">
        <f>VLOOKUP(K505, 'Alphabetical by species code'!A:B, 2, FALSE)</f>
        <v>Litter</v>
      </c>
    </row>
    <row r="506">
      <c r="A506" s="7">
        <v>6.0</v>
      </c>
      <c r="B506" s="7">
        <v>2025.0</v>
      </c>
      <c r="C506" s="8">
        <v>45755.0</v>
      </c>
      <c r="D506" s="7" t="s">
        <v>54</v>
      </c>
      <c r="E506" s="7" t="s">
        <v>26</v>
      </c>
      <c r="F506" s="7">
        <v>3.0</v>
      </c>
      <c r="G506" s="7" t="s">
        <v>66</v>
      </c>
      <c r="H506" s="7">
        <v>1.0</v>
      </c>
      <c r="I506" s="7">
        <v>2.0</v>
      </c>
      <c r="J506" s="7">
        <v>1.0</v>
      </c>
      <c r="K506" s="7" t="s">
        <v>40</v>
      </c>
      <c r="L506" s="9" t="str">
        <f>VLOOKUP(K506, 'Alphabetical by species code'!A:B, 2, FALSE)</f>
        <v>Cylindropuntia prolifera</v>
      </c>
    </row>
    <row r="507">
      <c r="A507" s="7">
        <v>6.0</v>
      </c>
      <c r="B507" s="7">
        <v>2025.0</v>
      </c>
      <c r="C507" s="8">
        <v>45755.0</v>
      </c>
      <c r="D507" s="7" t="s">
        <v>54</v>
      </c>
      <c r="E507" s="7" t="s">
        <v>26</v>
      </c>
      <c r="F507" s="7">
        <v>3.0</v>
      </c>
      <c r="G507" s="7" t="s">
        <v>66</v>
      </c>
      <c r="H507" s="7">
        <v>1.0</v>
      </c>
      <c r="I507" s="7">
        <v>2.0</v>
      </c>
      <c r="J507" s="7">
        <v>1.0</v>
      </c>
      <c r="K507" s="7" t="s">
        <v>39</v>
      </c>
      <c r="L507" s="9" t="str">
        <f>VLOOKUP(K507, 'Alphabetical by species code'!A:B, 2, FALSE)</f>
        <v>Stephanomeria diegensis</v>
      </c>
    </row>
    <row r="508">
      <c r="A508" s="7">
        <v>6.0</v>
      </c>
      <c r="B508" s="7">
        <v>2025.0</v>
      </c>
      <c r="C508" s="8">
        <v>45755.0</v>
      </c>
      <c r="D508" s="7" t="s">
        <v>54</v>
      </c>
      <c r="E508" s="7" t="s">
        <v>26</v>
      </c>
      <c r="F508" s="7">
        <v>3.0</v>
      </c>
      <c r="G508" s="7" t="s">
        <v>66</v>
      </c>
      <c r="H508" s="7">
        <v>1.0</v>
      </c>
      <c r="I508" s="7">
        <v>2.0</v>
      </c>
      <c r="J508" s="7">
        <v>1.0</v>
      </c>
      <c r="K508" s="7" t="s">
        <v>31</v>
      </c>
      <c r="L508" s="9" t="str">
        <f>VLOOKUP(K508, 'Alphabetical by species code'!A:B, 2, FALSE)</f>
        <v>Festuca myuros</v>
      </c>
    </row>
    <row r="509">
      <c r="A509" s="7">
        <v>6.0</v>
      </c>
      <c r="B509" s="7">
        <v>2025.0</v>
      </c>
      <c r="C509" s="8">
        <v>45755.0</v>
      </c>
      <c r="D509" s="7" t="s">
        <v>54</v>
      </c>
      <c r="E509" s="7" t="s">
        <v>26</v>
      </c>
      <c r="F509" s="7">
        <v>3.0</v>
      </c>
      <c r="G509" s="7" t="s">
        <v>66</v>
      </c>
      <c r="H509" s="7">
        <v>1.0</v>
      </c>
      <c r="I509" s="7">
        <v>3.0</v>
      </c>
      <c r="J509" s="7">
        <v>2.0</v>
      </c>
      <c r="K509" s="7" t="s">
        <v>28</v>
      </c>
      <c r="L509" s="9" t="str">
        <f>VLOOKUP(K509, 'Alphabetical by species code'!A:B, 2, FALSE)</f>
        <v>Litter</v>
      </c>
    </row>
    <row r="510">
      <c r="A510" s="7">
        <v>6.0</v>
      </c>
      <c r="B510" s="7">
        <v>2025.0</v>
      </c>
      <c r="C510" s="8">
        <v>45755.0</v>
      </c>
      <c r="D510" s="7" t="s">
        <v>54</v>
      </c>
      <c r="E510" s="7" t="s">
        <v>26</v>
      </c>
      <c r="F510" s="7">
        <v>3.0</v>
      </c>
      <c r="G510" s="7" t="s">
        <v>66</v>
      </c>
      <c r="H510" s="7">
        <v>1.0</v>
      </c>
      <c r="I510" s="7">
        <v>3.0</v>
      </c>
      <c r="J510" s="7">
        <v>2.0</v>
      </c>
      <c r="K510" s="7" t="s">
        <v>31</v>
      </c>
      <c r="L510" s="9" t="str">
        <f>VLOOKUP(K510, 'Alphabetical by species code'!A:B, 2, FALSE)</f>
        <v>Festuca myuros</v>
      </c>
    </row>
    <row r="511">
      <c r="A511" s="7">
        <v>6.0</v>
      </c>
      <c r="B511" s="7">
        <v>2025.0</v>
      </c>
      <c r="C511" s="8">
        <v>45755.0</v>
      </c>
      <c r="D511" s="7" t="s">
        <v>54</v>
      </c>
      <c r="E511" s="7" t="s">
        <v>26</v>
      </c>
      <c r="F511" s="7">
        <v>3.0</v>
      </c>
      <c r="G511" s="7" t="s">
        <v>66</v>
      </c>
      <c r="H511" s="7">
        <v>1.0</v>
      </c>
      <c r="I511" s="7">
        <v>3.0</v>
      </c>
      <c r="J511" s="7">
        <v>2.0</v>
      </c>
      <c r="K511" s="7" t="s">
        <v>49</v>
      </c>
      <c r="L511" s="9" t="str">
        <f>VLOOKUP(K511, 'Alphabetical by species code'!A:B, 2, FALSE)</f>
        <v>Anagallis arvensis</v>
      </c>
    </row>
    <row r="512">
      <c r="A512" s="7">
        <v>6.0</v>
      </c>
      <c r="B512" s="7">
        <v>2025.0</v>
      </c>
      <c r="C512" s="8">
        <v>45755.0</v>
      </c>
      <c r="D512" s="7" t="s">
        <v>54</v>
      </c>
      <c r="E512" s="7" t="s">
        <v>26</v>
      </c>
      <c r="F512" s="7">
        <v>3.0</v>
      </c>
      <c r="G512" s="7" t="s">
        <v>66</v>
      </c>
      <c r="H512" s="7">
        <v>1.0</v>
      </c>
      <c r="I512" s="7">
        <v>4.0</v>
      </c>
      <c r="J512" s="7">
        <v>3.0</v>
      </c>
      <c r="K512" s="7" t="s">
        <v>28</v>
      </c>
      <c r="L512" s="9" t="str">
        <f>VLOOKUP(K512, 'Alphabetical by species code'!A:B, 2, FALSE)</f>
        <v>Litter</v>
      </c>
    </row>
    <row r="513">
      <c r="A513" s="7">
        <v>6.0</v>
      </c>
      <c r="B513" s="7">
        <v>2025.0</v>
      </c>
      <c r="C513" s="8">
        <v>45755.0</v>
      </c>
      <c r="D513" s="7" t="s">
        <v>54</v>
      </c>
      <c r="E513" s="7" t="s">
        <v>26</v>
      </c>
      <c r="F513" s="7">
        <v>3.0</v>
      </c>
      <c r="G513" s="7" t="s">
        <v>66</v>
      </c>
      <c r="H513" s="7">
        <v>1.0</v>
      </c>
      <c r="I513" s="7">
        <v>4.0</v>
      </c>
      <c r="J513" s="7">
        <v>3.0</v>
      </c>
      <c r="K513" s="7" t="s">
        <v>32</v>
      </c>
      <c r="L513" s="9" t="str">
        <f>VLOOKUP(K513, 'Alphabetical by species code'!A:B, 2, FALSE)</f>
        <v>Medicago polymorpha</v>
      </c>
    </row>
    <row r="514">
      <c r="A514" s="7">
        <v>6.0</v>
      </c>
      <c r="B514" s="7">
        <v>2025.0</v>
      </c>
      <c r="C514" s="8">
        <v>45755.0</v>
      </c>
      <c r="D514" s="7" t="s">
        <v>54</v>
      </c>
      <c r="E514" s="7" t="s">
        <v>26</v>
      </c>
      <c r="F514" s="7">
        <v>3.0</v>
      </c>
      <c r="G514" s="7" t="s">
        <v>66</v>
      </c>
      <c r="H514" s="7">
        <v>1.0</v>
      </c>
      <c r="I514" s="7">
        <v>4.0</v>
      </c>
      <c r="J514" s="7">
        <v>3.0</v>
      </c>
      <c r="K514" s="7" t="s">
        <v>31</v>
      </c>
      <c r="L514" s="9" t="str">
        <f>VLOOKUP(K514, 'Alphabetical by species code'!A:B, 2, FALSE)</f>
        <v>Festuca myuros</v>
      </c>
    </row>
    <row r="515">
      <c r="A515" s="7">
        <v>6.0</v>
      </c>
      <c r="B515" s="7">
        <v>2025.0</v>
      </c>
      <c r="C515" s="8">
        <v>45755.0</v>
      </c>
      <c r="D515" s="7" t="s">
        <v>54</v>
      </c>
      <c r="E515" s="7" t="s">
        <v>26</v>
      </c>
      <c r="F515" s="7">
        <v>3.0</v>
      </c>
      <c r="G515" s="7" t="s">
        <v>66</v>
      </c>
      <c r="H515" s="7">
        <v>1.0</v>
      </c>
      <c r="I515" s="7">
        <v>4.0</v>
      </c>
      <c r="J515" s="7">
        <v>3.0</v>
      </c>
      <c r="K515" s="7" t="s">
        <v>37</v>
      </c>
      <c r="L515" s="9" t="str">
        <f>VLOOKUP(K515, 'Alphabetical by species code'!A:B, 2, FALSE)</f>
        <v>Sonchus oleraceus</v>
      </c>
    </row>
    <row r="516">
      <c r="A516" s="7">
        <v>6.0</v>
      </c>
      <c r="B516" s="7">
        <v>2025.0</v>
      </c>
      <c r="C516" s="8">
        <v>45755.0</v>
      </c>
      <c r="D516" s="7" t="s">
        <v>54</v>
      </c>
      <c r="E516" s="7" t="s">
        <v>26</v>
      </c>
      <c r="F516" s="7">
        <v>3.0</v>
      </c>
      <c r="G516" s="7" t="s">
        <v>66</v>
      </c>
      <c r="H516" s="7">
        <v>1.0</v>
      </c>
      <c r="I516" s="7">
        <v>5.0</v>
      </c>
      <c r="J516" s="7">
        <v>3.5</v>
      </c>
      <c r="K516" s="7" t="s">
        <v>28</v>
      </c>
      <c r="L516" s="9" t="str">
        <f>VLOOKUP(K516, 'Alphabetical by species code'!A:B, 2, FALSE)</f>
        <v>Litter</v>
      </c>
    </row>
    <row r="517">
      <c r="A517" s="7">
        <v>6.0</v>
      </c>
      <c r="B517" s="7">
        <v>2025.0</v>
      </c>
      <c r="C517" s="8">
        <v>45755.0</v>
      </c>
      <c r="D517" s="7" t="s">
        <v>54</v>
      </c>
      <c r="E517" s="7" t="s">
        <v>26</v>
      </c>
      <c r="F517" s="7">
        <v>3.0</v>
      </c>
      <c r="G517" s="7" t="s">
        <v>66</v>
      </c>
      <c r="H517" s="7">
        <v>1.0</v>
      </c>
      <c r="I517" s="7">
        <v>5.0</v>
      </c>
      <c r="J517" s="7">
        <v>3.5</v>
      </c>
      <c r="K517" s="7" t="s">
        <v>58</v>
      </c>
      <c r="L517" s="9" t="str">
        <f>VLOOKUP(K517, 'Alphabetical by species code'!A:B, 2, FALSE)</f>
        <v>Crassula connata</v>
      </c>
    </row>
    <row r="518">
      <c r="A518" s="7">
        <v>6.0</v>
      </c>
      <c r="B518" s="7">
        <v>2025.0</v>
      </c>
      <c r="C518" s="8">
        <v>45755.0</v>
      </c>
      <c r="D518" s="7" t="s">
        <v>54</v>
      </c>
      <c r="E518" s="7" t="s">
        <v>26</v>
      </c>
      <c r="F518" s="7">
        <v>3.0</v>
      </c>
      <c r="G518" s="7" t="s">
        <v>66</v>
      </c>
      <c r="H518" s="7">
        <v>1.0</v>
      </c>
      <c r="I518" s="7">
        <v>5.0</v>
      </c>
      <c r="J518" s="7">
        <v>3.5</v>
      </c>
      <c r="K518" s="7" t="s">
        <v>31</v>
      </c>
      <c r="L518" s="9" t="str">
        <f>VLOOKUP(K518, 'Alphabetical by species code'!A:B, 2, FALSE)</f>
        <v>Festuca myuros</v>
      </c>
    </row>
    <row r="519">
      <c r="A519" s="7">
        <v>6.0</v>
      </c>
      <c r="B519" s="7">
        <v>2025.0</v>
      </c>
      <c r="C519" s="8">
        <v>45755.0</v>
      </c>
      <c r="D519" s="7" t="s">
        <v>54</v>
      </c>
      <c r="E519" s="7" t="s">
        <v>26</v>
      </c>
      <c r="F519" s="7">
        <v>3.0</v>
      </c>
      <c r="G519" s="7" t="s">
        <v>66</v>
      </c>
      <c r="H519" s="7">
        <v>1.0</v>
      </c>
      <c r="I519" s="7">
        <v>5.0</v>
      </c>
      <c r="J519" s="7">
        <v>3.5</v>
      </c>
      <c r="K519" s="7" t="s">
        <v>32</v>
      </c>
      <c r="L519" s="9" t="str">
        <f>VLOOKUP(K519, 'Alphabetical by species code'!A:B, 2, FALSE)</f>
        <v>Medicago polymorpha</v>
      </c>
    </row>
    <row r="520">
      <c r="A520" s="7">
        <v>6.0</v>
      </c>
      <c r="B520" s="7">
        <v>2025.0</v>
      </c>
      <c r="C520" s="8">
        <v>45755.0</v>
      </c>
      <c r="D520" s="7" t="s">
        <v>54</v>
      </c>
      <c r="E520" s="7" t="s">
        <v>26</v>
      </c>
      <c r="F520" s="7">
        <v>3.0</v>
      </c>
      <c r="G520" s="7" t="s">
        <v>66</v>
      </c>
      <c r="H520" s="7">
        <v>1.0</v>
      </c>
      <c r="I520" s="7">
        <v>6.0</v>
      </c>
      <c r="J520" s="7">
        <v>4.0</v>
      </c>
      <c r="K520" s="7" t="s">
        <v>28</v>
      </c>
      <c r="L520" s="9" t="str">
        <f>VLOOKUP(K520, 'Alphabetical by species code'!A:B, 2, FALSE)</f>
        <v>Litter</v>
      </c>
    </row>
    <row r="521">
      <c r="A521" s="7">
        <v>6.0</v>
      </c>
      <c r="B521" s="7">
        <v>2025.0</v>
      </c>
      <c r="C521" s="8">
        <v>45755.0</v>
      </c>
      <c r="D521" s="7" t="s">
        <v>54</v>
      </c>
      <c r="E521" s="7" t="s">
        <v>26</v>
      </c>
      <c r="F521" s="7">
        <v>3.0</v>
      </c>
      <c r="G521" s="7" t="s">
        <v>66</v>
      </c>
      <c r="H521" s="7">
        <v>1.0</v>
      </c>
      <c r="I521" s="7">
        <v>6.0</v>
      </c>
      <c r="J521" s="7">
        <v>4.0</v>
      </c>
      <c r="K521" s="7" t="s">
        <v>32</v>
      </c>
      <c r="L521" s="9" t="str">
        <f>VLOOKUP(K521, 'Alphabetical by species code'!A:B, 2, FALSE)</f>
        <v>Medicago polymorpha</v>
      </c>
    </row>
    <row r="522">
      <c r="A522" s="7">
        <v>6.0</v>
      </c>
      <c r="B522" s="7">
        <v>2025.0</v>
      </c>
      <c r="C522" s="8">
        <v>45755.0</v>
      </c>
      <c r="D522" s="7" t="s">
        <v>54</v>
      </c>
      <c r="E522" s="7" t="s">
        <v>26</v>
      </c>
      <c r="F522" s="7">
        <v>3.0</v>
      </c>
      <c r="G522" s="7" t="s">
        <v>66</v>
      </c>
      <c r="H522" s="7">
        <v>1.0</v>
      </c>
      <c r="I522" s="7">
        <v>6.0</v>
      </c>
      <c r="J522" s="7">
        <v>4.0</v>
      </c>
      <c r="K522" s="7" t="s">
        <v>35</v>
      </c>
      <c r="L522" s="9" t="str">
        <f>VLOOKUP(K522, 'Alphabetical by species code'!A:B, 2, FALSE)</f>
        <v>Deinandra fasciculata</v>
      </c>
    </row>
    <row r="523">
      <c r="A523" s="7">
        <v>6.0</v>
      </c>
      <c r="B523" s="7">
        <v>2025.0</v>
      </c>
      <c r="C523" s="8">
        <v>45755.0</v>
      </c>
      <c r="D523" s="7" t="s">
        <v>54</v>
      </c>
      <c r="E523" s="7" t="s">
        <v>26</v>
      </c>
      <c r="F523" s="7">
        <v>3.0</v>
      </c>
      <c r="G523" s="7" t="s">
        <v>66</v>
      </c>
      <c r="H523" s="7">
        <v>1.0</v>
      </c>
      <c r="I523" s="7">
        <v>6.0</v>
      </c>
      <c r="J523" s="7">
        <v>4.0</v>
      </c>
      <c r="K523" s="7" t="s">
        <v>31</v>
      </c>
      <c r="L523" s="9" t="str">
        <f>VLOOKUP(K523, 'Alphabetical by species code'!A:B, 2, FALSE)</f>
        <v>Festuca myuros</v>
      </c>
    </row>
    <row r="524">
      <c r="A524" s="7">
        <v>6.0</v>
      </c>
      <c r="B524" s="7">
        <v>2025.0</v>
      </c>
      <c r="C524" s="8">
        <v>45755.0</v>
      </c>
      <c r="D524" s="7" t="s">
        <v>54</v>
      </c>
      <c r="E524" s="7" t="s">
        <v>26</v>
      </c>
      <c r="F524" s="7">
        <v>3.0</v>
      </c>
      <c r="G524" s="7" t="s">
        <v>66</v>
      </c>
      <c r="H524" s="7">
        <v>1.0</v>
      </c>
      <c r="I524" s="7">
        <v>7.0</v>
      </c>
      <c r="J524" s="7">
        <v>5.0</v>
      </c>
      <c r="K524" s="7" t="s">
        <v>28</v>
      </c>
      <c r="L524" s="9" t="str">
        <f>VLOOKUP(K524, 'Alphabetical by species code'!A:B, 2, FALSE)</f>
        <v>Litter</v>
      </c>
    </row>
    <row r="525">
      <c r="A525" s="7">
        <v>6.0</v>
      </c>
      <c r="B525" s="7">
        <v>2025.0</v>
      </c>
      <c r="C525" s="8">
        <v>45755.0</v>
      </c>
      <c r="D525" s="7" t="s">
        <v>54</v>
      </c>
      <c r="E525" s="7" t="s">
        <v>26</v>
      </c>
      <c r="F525" s="7">
        <v>3.0</v>
      </c>
      <c r="G525" s="7" t="s">
        <v>66</v>
      </c>
      <c r="H525" s="7">
        <v>1.0</v>
      </c>
      <c r="I525" s="7">
        <v>7.0</v>
      </c>
      <c r="J525" s="7">
        <v>5.0</v>
      </c>
      <c r="K525" s="7" t="s">
        <v>67</v>
      </c>
      <c r="L525" s="9" t="str">
        <f>VLOOKUP(K525, 'Alphabetical by species code'!A:B, 2, FALSE)</f>
        <v>Galium aparine</v>
      </c>
    </row>
    <row r="526">
      <c r="A526" s="7">
        <v>6.0</v>
      </c>
      <c r="B526" s="7">
        <v>2025.0</v>
      </c>
      <c r="C526" s="8">
        <v>45755.0</v>
      </c>
      <c r="D526" s="7" t="s">
        <v>54</v>
      </c>
      <c r="E526" s="7" t="s">
        <v>26</v>
      </c>
      <c r="F526" s="7">
        <v>3.0</v>
      </c>
      <c r="G526" s="7" t="s">
        <v>66</v>
      </c>
      <c r="H526" s="7">
        <v>1.0</v>
      </c>
      <c r="I526" s="7">
        <v>7.0</v>
      </c>
      <c r="J526" s="7">
        <v>5.0</v>
      </c>
      <c r="K526" s="7" t="s">
        <v>31</v>
      </c>
      <c r="L526" s="9" t="str">
        <f>VLOOKUP(K526, 'Alphabetical by species code'!A:B, 2, FALSE)</f>
        <v>Festuca myuros</v>
      </c>
    </row>
    <row r="527">
      <c r="A527" s="7">
        <v>6.0</v>
      </c>
      <c r="B527" s="7">
        <v>2025.0</v>
      </c>
      <c r="C527" s="8">
        <v>45755.0</v>
      </c>
      <c r="D527" s="7" t="s">
        <v>54</v>
      </c>
      <c r="E527" s="7" t="s">
        <v>26</v>
      </c>
      <c r="F527" s="7">
        <v>3.0</v>
      </c>
      <c r="G527" s="7" t="s">
        <v>66</v>
      </c>
      <c r="H527" s="7">
        <v>1.0</v>
      </c>
      <c r="I527" s="7">
        <v>7.0</v>
      </c>
      <c r="J527" s="7">
        <v>5.0</v>
      </c>
      <c r="K527" s="7" t="s">
        <v>29</v>
      </c>
      <c r="L527" s="9" t="str">
        <f>VLOOKUP(K527, 'Alphabetical by species code'!A:B, 2, FALSE)</f>
        <v>Opuntia littoralis</v>
      </c>
    </row>
    <row r="528">
      <c r="A528" s="7">
        <v>6.0</v>
      </c>
      <c r="B528" s="7">
        <v>2025.0</v>
      </c>
      <c r="C528" s="8">
        <v>45755.0</v>
      </c>
      <c r="D528" s="7" t="s">
        <v>54</v>
      </c>
      <c r="E528" s="7" t="s">
        <v>26</v>
      </c>
      <c r="F528" s="7">
        <v>3.0</v>
      </c>
      <c r="G528" s="7" t="s">
        <v>66</v>
      </c>
      <c r="H528" s="7">
        <v>1.0</v>
      </c>
      <c r="I528" s="7">
        <v>8.0</v>
      </c>
      <c r="J528" s="7">
        <v>7.0</v>
      </c>
      <c r="K528" s="7" t="s">
        <v>28</v>
      </c>
      <c r="L528" s="9" t="str">
        <f>VLOOKUP(K528, 'Alphabetical by species code'!A:B, 2, FALSE)</f>
        <v>Litter</v>
      </c>
    </row>
    <row r="529">
      <c r="A529" s="7">
        <v>6.0</v>
      </c>
      <c r="B529" s="7">
        <v>2025.0</v>
      </c>
      <c r="C529" s="8">
        <v>45755.0</v>
      </c>
      <c r="D529" s="7" t="s">
        <v>54</v>
      </c>
      <c r="E529" s="7" t="s">
        <v>26</v>
      </c>
      <c r="F529" s="7">
        <v>3.0</v>
      </c>
      <c r="G529" s="7" t="s">
        <v>66</v>
      </c>
      <c r="H529" s="7">
        <v>1.0</v>
      </c>
      <c r="I529" s="7">
        <v>8.0</v>
      </c>
      <c r="J529" s="7">
        <v>7.0</v>
      </c>
      <c r="K529" s="7" t="s">
        <v>35</v>
      </c>
      <c r="L529" s="9" t="str">
        <f>VLOOKUP(K529, 'Alphabetical by species code'!A:B, 2, FALSE)</f>
        <v>Deinandra fasciculata</v>
      </c>
    </row>
    <row r="530">
      <c r="A530" s="7">
        <v>6.0</v>
      </c>
      <c r="B530" s="7">
        <v>2025.0</v>
      </c>
      <c r="C530" s="8">
        <v>45755.0</v>
      </c>
      <c r="D530" s="7" t="s">
        <v>54</v>
      </c>
      <c r="E530" s="7" t="s">
        <v>26</v>
      </c>
      <c r="F530" s="7">
        <v>3.0</v>
      </c>
      <c r="G530" s="7" t="s">
        <v>66</v>
      </c>
      <c r="H530" s="7">
        <v>1.0</v>
      </c>
      <c r="I530" s="7">
        <v>8.0</v>
      </c>
      <c r="J530" s="7">
        <v>7.0</v>
      </c>
      <c r="K530" s="7" t="s">
        <v>31</v>
      </c>
      <c r="L530" s="9" t="str">
        <f>VLOOKUP(K530, 'Alphabetical by species code'!A:B, 2, FALSE)</f>
        <v>Festuca myuros</v>
      </c>
    </row>
    <row r="531">
      <c r="A531" s="7">
        <v>6.0</v>
      </c>
      <c r="B531" s="7">
        <v>2025.0</v>
      </c>
      <c r="C531" s="8">
        <v>45755.0</v>
      </c>
      <c r="D531" s="7" t="s">
        <v>54</v>
      </c>
      <c r="E531" s="7" t="s">
        <v>26</v>
      </c>
      <c r="F531" s="7">
        <v>3.0</v>
      </c>
      <c r="G531" s="7" t="s">
        <v>66</v>
      </c>
      <c r="H531" s="7">
        <v>1.0</v>
      </c>
      <c r="I531" s="7">
        <v>9.0</v>
      </c>
      <c r="J531" s="7">
        <v>8.0</v>
      </c>
      <c r="K531" s="7" t="s">
        <v>28</v>
      </c>
      <c r="L531" s="9" t="str">
        <f>VLOOKUP(K531, 'Alphabetical by species code'!A:B, 2, FALSE)</f>
        <v>Litter</v>
      </c>
    </row>
    <row r="532">
      <c r="A532" s="7">
        <v>6.0</v>
      </c>
      <c r="B532" s="7">
        <v>2025.0</v>
      </c>
      <c r="C532" s="8">
        <v>45755.0</v>
      </c>
      <c r="D532" s="7" t="s">
        <v>54</v>
      </c>
      <c r="E532" s="7" t="s">
        <v>26</v>
      </c>
      <c r="F532" s="7">
        <v>3.0</v>
      </c>
      <c r="G532" s="7" t="s">
        <v>66</v>
      </c>
      <c r="H532" s="7">
        <v>1.0</v>
      </c>
      <c r="I532" s="7">
        <v>9.0</v>
      </c>
      <c r="J532" s="7">
        <v>8.0</v>
      </c>
      <c r="K532" s="7" t="s">
        <v>35</v>
      </c>
      <c r="L532" s="9" t="str">
        <f>VLOOKUP(K532, 'Alphabetical by species code'!A:B, 2, FALSE)</f>
        <v>Deinandra fasciculata</v>
      </c>
    </row>
    <row r="533">
      <c r="A533" s="7">
        <v>6.0</v>
      </c>
      <c r="B533" s="7">
        <v>2025.0</v>
      </c>
      <c r="C533" s="8">
        <v>45755.0</v>
      </c>
      <c r="D533" s="7" t="s">
        <v>54</v>
      </c>
      <c r="E533" s="7" t="s">
        <v>26</v>
      </c>
      <c r="F533" s="7">
        <v>3.0</v>
      </c>
      <c r="G533" s="7" t="s">
        <v>66</v>
      </c>
      <c r="H533" s="7">
        <v>1.0</v>
      </c>
      <c r="I533" s="7">
        <v>10.0</v>
      </c>
      <c r="J533" s="7">
        <v>8.5</v>
      </c>
      <c r="K533" s="7" t="s">
        <v>28</v>
      </c>
      <c r="L533" s="9" t="str">
        <f>VLOOKUP(K533, 'Alphabetical by species code'!A:B, 2, FALSE)</f>
        <v>Litter</v>
      </c>
    </row>
    <row r="534">
      <c r="A534" s="7">
        <v>6.0</v>
      </c>
      <c r="B534" s="7">
        <v>2025.0</v>
      </c>
      <c r="C534" s="8">
        <v>45755.0</v>
      </c>
      <c r="D534" s="7" t="s">
        <v>54</v>
      </c>
      <c r="E534" s="7" t="s">
        <v>26</v>
      </c>
      <c r="F534" s="7">
        <v>3.0</v>
      </c>
      <c r="G534" s="7" t="s">
        <v>66</v>
      </c>
      <c r="H534" s="7">
        <v>1.0</v>
      </c>
      <c r="I534" s="7">
        <v>10.0</v>
      </c>
      <c r="J534" s="7">
        <v>8.5</v>
      </c>
      <c r="K534" s="7" t="s">
        <v>35</v>
      </c>
      <c r="L534" s="9" t="str">
        <f>VLOOKUP(K534, 'Alphabetical by species code'!A:B, 2, FALSE)</f>
        <v>Deinandra fasciculata</v>
      </c>
    </row>
    <row r="535">
      <c r="A535" s="7">
        <v>6.0</v>
      </c>
      <c r="B535" s="7">
        <v>2025.0</v>
      </c>
      <c r="C535" s="8">
        <v>45755.0</v>
      </c>
      <c r="D535" s="7" t="s">
        <v>54</v>
      </c>
      <c r="E535" s="7" t="s">
        <v>26</v>
      </c>
      <c r="F535" s="7">
        <v>3.0</v>
      </c>
      <c r="G535" s="7" t="s">
        <v>66</v>
      </c>
      <c r="H535" s="7">
        <v>1.0</v>
      </c>
      <c r="I535" s="7">
        <v>10.0</v>
      </c>
      <c r="J535" s="7">
        <v>8.5</v>
      </c>
      <c r="K535" s="7" t="s">
        <v>31</v>
      </c>
      <c r="L535" s="9" t="str">
        <f>VLOOKUP(K535, 'Alphabetical by species code'!A:B, 2, FALSE)</f>
        <v>Festuca myuros</v>
      </c>
    </row>
    <row r="536">
      <c r="A536" s="7">
        <v>6.0</v>
      </c>
      <c r="B536" s="7">
        <v>2025.0</v>
      </c>
      <c r="C536" s="8">
        <v>45755.0</v>
      </c>
      <c r="D536" s="7" t="s">
        <v>54</v>
      </c>
      <c r="E536" s="7" t="s">
        <v>26</v>
      </c>
      <c r="F536" s="7">
        <v>3.0</v>
      </c>
      <c r="G536" s="7" t="s">
        <v>66</v>
      </c>
      <c r="H536" s="7">
        <v>1.0</v>
      </c>
      <c r="I536" s="7">
        <v>11.0</v>
      </c>
      <c r="J536" s="7">
        <v>9.0</v>
      </c>
      <c r="K536" s="7" t="s">
        <v>28</v>
      </c>
      <c r="L536" s="9" t="str">
        <f>VLOOKUP(K536, 'Alphabetical by species code'!A:B, 2, FALSE)</f>
        <v>Litter</v>
      </c>
    </row>
    <row r="537">
      <c r="A537" s="7">
        <v>6.0</v>
      </c>
      <c r="B537" s="7">
        <v>2025.0</v>
      </c>
      <c r="C537" s="8">
        <v>45755.0</v>
      </c>
      <c r="D537" s="7" t="s">
        <v>54</v>
      </c>
      <c r="E537" s="7" t="s">
        <v>26</v>
      </c>
      <c r="F537" s="7">
        <v>3.0</v>
      </c>
      <c r="G537" s="7" t="s">
        <v>66</v>
      </c>
      <c r="H537" s="7">
        <v>1.0</v>
      </c>
      <c r="I537" s="7">
        <v>11.0</v>
      </c>
      <c r="J537" s="7">
        <v>9.0</v>
      </c>
      <c r="K537" s="7" t="s">
        <v>31</v>
      </c>
      <c r="L537" s="9" t="str">
        <f>VLOOKUP(K537, 'Alphabetical by species code'!A:B, 2, FALSE)</f>
        <v>Festuca myuros</v>
      </c>
    </row>
    <row r="538">
      <c r="A538" s="7">
        <v>6.0</v>
      </c>
      <c r="B538" s="7">
        <v>2025.0</v>
      </c>
      <c r="C538" s="8">
        <v>45755.0</v>
      </c>
      <c r="D538" s="7" t="s">
        <v>54</v>
      </c>
      <c r="E538" s="7" t="s">
        <v>26</v>
      </c>
      <c r="F538" s="7">
        <v>3.0</v>
      </c>
      <c r="G538" s="7" t="s">
        <v>66</v>
      </c>
      <c r="H538" s="7">
        <v>1.0</v>
      </c>
      <c r="I538" s="7">
        <v>11.0</v>
      </c>
      <c r="J538" s="7">
        <v>9.0</v>
      </c>
      <c r="K538" s="7" t="s">
        <v>35</v>
      </c>
      <c r="L538" s="9" t="str">
        <f>VLOOKUP(K538, 'Alphabetical by species code'!A:B, 2, FALSE)</f>
        <v>Deinandra fasciculata</v>
      </c>
    </row>
    <row r="539">
      <c r="A539" s="7">
        <v>6.0</v>
      </c>
      <c r="B539" s="7">
        <v>2025.0</v>
      </c>
      <c r="C539" s="8">
        <v>45755.0</v>
      </c>
      <c r="D539" s="7" t="s">
        <v>54</v>
      </c>
      <c r="E539" s="7" t="s">
        <v>26</v>
      </c>
      <c r="F539" s="7">
        <v>3.0</v>
      </c>
      <c r="G539" s="7" t="s">
        <v>66</v>
      </c>
      <c r="H539" s="7">
        <v>1.0</v>
      </c>
      <c r="I539" s="7">
        <v>12.0</v>
      </c>
      <c r="J539" s="7">
        <v>10.0</v>
      </c>
      <c r="K539" s="7" t="s">
        <v>51</v>
      </c>
      <c r="L539" s="9" t="str">
        <f>VLOOKUP(K539, 'Alphabetical by species code'!A:B, 2, FALSE)</f>
        <v>Bareground</v>
      </c>
    </row>
    <row r="540">
      <c r="A540" s="7">
        <v>6.0</v>
      </c>
      <c r="B540" s="7">
        <v>2025.0</v>
      </c>
      <c r="C540" s="8">
        <v>45755.0</v>
      </c>
      <c r="D540" s="7" t="s">
        <v>54</v>
      </c>
      <c r="E540" s="7" t="s">
        <v>26</v>
      </c>
      <c r="F540" s="7">
        <v>3.0</v>
      </c>
      <c r="G540" s="7" t="s">
        <v>66</v>
      </c>
      <c r="H540" s="7">
        <v>1.0</v>
      </c>
      <c r="I540" s="7">
        <v>13.0</v>
      </c>
      <c r="J540" s="7">
        <v>10.5</v>
      </c>
      <c r="K540" s="7" t="s">
        <v>51</v>
      </c>
      <c r="L540" s="9" t="str">
        <f>VLOOKUP(K540, 'Alphabetical by species code'!A:B, 2, FALSE)</f>
        <v>Bareground</v>
      </c>
    </row>
    <row r="541">
      <c r="A541" s="7">
        <v>6.0</v>
      </c>
      <c r="B541" s="7">
        <v>2025.0</v>
      </c>
      <c r="C541" s="8">
        <v>45755.0</v>
      </c>
      <c r="D541" s="7" t="s">
        <v>54</v>
      </c>
      <c r="E541" s="7" t="s">
        <v>26</v>
      </c>
      <c r="F541" s="7">
        <v>3.0</v>
      </c>
      <c r="G541" s="7" t="s">
        <v>66</v>
      </c>
      <c r="H541" s="7">
        <v>1.0</v>
      </c>
      <c r="I541" s="7">
        <v>13.0</v>
      </c>
      <c r="J541" s="7">
        <v>10.5</v>
      </c>
      <c r="K541" s="7" t="s">
        <v>31</v>
      </c>
      <c r="L541" s="9" t="str">
        <f>VLOOKUP(K541, 'Alphabetical by species code'!A:B, 2, FALSE)</f>
        <v>Festuca myuros</v>
      </c>
    </row>
    <row r="542">
      <c r="A542" s="7">
        <v>6.0</v>
      </c>
      <c r="B542" s="7">
        <v>2025.0</v>
      </c>
      <c r="C542" s="8">
        <v>45755.0</v>
      </c>
      <c r="D542" s="7" t="s">
        <v>54</v>
      </c>
      <c r="E542" s="7" t="s">
        <v>26</v>
      </c>
      <c r="F542" s="7">
        <v>3.0</v>
      </c>
      <c r="G542" s="7" t="s">
        <v>66</v>
      </c>
      <c r="H542" s="7">
        <v>1.0</v>
      </c>
      <c r="I542" s="7">
        <v>14.0</v>
      </c>
      <c r="J542" s="7">
        <v>11.0</v>
      </c>
      <c r="K542" s="7" t="s">
        <v>28</v>
      </c>
      <c r="L542" s="9" t="str">
        <f>VLOOKUP(K542, 'Alphabetical by species code'!A:B, 2, FALSE)</f>
        <v>Litter</v>
      </c>
    </row>
    <row r="543">
      <c r="A543" s="7">
        <v>6.0</v>
      </c>
      <c r="B543" s="7">
        <v>2025.0</v>
      </c>
      <c r="C543" s="8">
        <v>45755.0</v>
      </c>
      <c r="D543" s="7" t="s">
        <v>54</v>
      </c>
      <c r="E543" s="7" t="s">
        <v>26</v>
      </c>
      <c r="F543" s="7">
        <v>3.0</v>
      </c>
      <c r="G543" s="7" t="s">
        <v>66</v>
      </c>
      <c r="H543" s="7">
        <v>1.0</v>
      </c>
      <c r="I543" s="7">
        <v>14.0</v>
      </c>
      <c r="J543" s="7">
        <v>11.0</v>
      </c>
      <c r="K543" s="7" t="s">
        <v>31</v>
      </c>
      <c r="L543" s="9" t="str">
        <f>VLOOKUP(K543, 'Alphabetical by species code'!A:B, 2, FALSE)</f>
        <v>Festuca myuros</v>
      </c>
    </row>
    <row r="544">
      <c r="A544" s="7">
        <v>6.0</v>
      </c>
      <c r="B544" s="7">
        <v>2025.0</v>
      </c>
      <c r="C544" s="8">
        <v>45755.0</v>
      </c>
      <c r="D544" s="7" t="s">
        <v>54</v>
      </c>
      <c r="E544" s="7" t="s">
        <v>26</v>
      </c>
      <c r="F544" s="7">
        <v>3.0</v>
      </c>
      <c r="G544" s="7" t="s">
        <v>66</v>
      </c>
      <c r="H544" s="7">
        <v>1.0</v>
      </c>
      <c r="I544" s="7">
        <v>14.0</v>
      </c>
      <c r="J544" s="7">
        <v>11.0</v>
      </c>
      <c r="K544" s="7" t="s">
        <v>35</v>
      </c>
      <c r="L544" s="9" t="str">
        <f>VLOOKUP(K544, 'Alphabetical by species code'!A:B, 2, FALSE)</f>
        <v>Deinandra fasciculata</v>
      </c>
    </row>
    <row r="545">
      <c r="A545" s="7">
        <v>6.0</v>
      </c>
      <c r="B545" s="7">
        <v>2025.0</v>
      </c>
      <c r="C545" s="8">
        <v>45755.0</v>
      </c>
      <c r="D545" s="7" t="s">
        <v>54</v>
      </c>
      <c r="E545" s="7" t="s">
        <v>26</v>
      </c>
      <c r="F545" s="7">
        <v>3.0</v>
      </c>
      <c r="G545" s="7" t="s">
        <v>66</v>
      </c>
      <c r="H545" s="7">
        <v>1.0</v>
      </c>
      <c r="I545" s="7">
        <v>14.0</v>
      </c>
      <c r="J545" s="7">
        <v>11.0</v>
      </c>
      <c r="K545" s="7" t="s">
        <v>68</v>
      </c>
      <c r="L545" s="9" t="str">
        <f>VLOOKUP(K545, 'Alphabetical by species code'!A:B, 2, FALSE)</f>
        <v>Unknown Species</v>
      </c>
    </row>
    <row r="546">
      <c r="A546" s="7">
        <v>6.0</v>
      </c>
      <c r="B546" s="7">
        <v>2025.0</v>
      </c>
      <c r="C546" s="8">
        <v>45755.0</v>
      </c>
      <c r="D546" s="7" t="s">
        <v>54</v>
      </c>
      <c r="E546" s="7" t="s">
        <v>26</v>
      </c>
      <c r="F546" s="7">
        <v>3.0</v>
      </c>
      <c r="G546" s="7" t="s">
        <v>66</v>
      </c>
      <c r="H546" s="7">
        <v>1.0</v>
      </c>
      <c r="I546" s="7">
        <v>15.0</v>
      </c>
      <c r="J546" s="7">
        <v>12.0</v>
      </c>
      <c r="K546" s="7" t="s">
        <v>28</v>
      </c>
      <c r="L546" s="9" t="str">
        <f>VLOOKUP(K546, 'Alphabetical by species code'!A:B, 2, FALSE)</f>
        <v>Litter</v>
      </c>
    </row>
    <row r="547">
      <c r="A547" s="7">
        <v>6.0</v>
      </c>
      <c r="B547" s="7">
        <v>2025.0</v>
      </c>
      <c r="C547" s="8">
        <v>45755.0</v>
      </c>
      <c r="D547" s="7" t="s">
        <v>54</v>
      </c>
      <c r="E547" s="7" t="s">
        <v>26</v>
      </c>
      <c r="F547" s="7">
        <v>3.0</v>
      </c>
      <c r="G547" s="7" t="s">
        <v>66</v>
      </c>
      <c r="H547" s="7">
        <v>1.0</v>
      </c>
      <c r="I547" s="7">
        <v>15.0</v>
      </c>
      <c r="J547" s="7">
        <v>12.0</v>
      </c>
      <c r="K547" s="7" t="s">
        <v>31</v>
      </c>
      <c r="L547" s="9" t="str">
        <f>VLOOKUP(K547, 'Alphabetical by species code'!A:B, 2, FALSE)</f>
        <v>Festuca myuros</v>
      </c>
    </row>
    <row r="548">
      <c r="A548" s="7">
        <v>6.0</v>
      </c>
      <c r="B548" s="7">
        <v>2025.0</v>
      </c>
      <c r="C548" s="8">
        <v>45755.0</v>
      </c>
      <c r="D548" s="7" t="s">
        <v>54</v>
      </c>
      <c r="E548" s="7" t="s">
        <v>26</v>
      </c>
      <c r="F548" s="7">
        <v>3.0</v>
      </c>
      <c r="G548" s="7" t="s">
        <v>66</v>
      </c>
      <c r="H548" s="7">
        <v>1.0</v>
      </c>
      <c r="I548" s="7">
        <v>15.0</v>
      </c>
      <c r="J548" s="7">
        <v>12.0</v>
      </c>
      <c r="K548" s="7" t="s">
        <v>40</v>
      </c>
      <c r="L548" s="9" t="str">
        <f>VLOOKUP(K548, 'Alphabetical by species code'!A:B, 2, FALSE)</f>
        <v>Cylindropuntia prolifera</v>
      </c>
    </row>
    <row r="549">
      <c r="A549" s="7">
        <v>6.0</v>
      </c>
      <c r="B549" s="7">
        <v>2025.0</v>
      </c>
      <c r="C549" s="8">
        <v>45755.0</v>
      </c>
      <c r="D549" s="7" t="s">
        <v>54</v>
      </c>
      <c r="E549" s="7" t="s">
        <v>26</v>
      </c>
      <c r="F549" s="7">
        <v>3.0</v>
      </c>
      <c r="G549" s="7" t="s">
        <v>66</v>
      </c>
      <c r="H549" s="7">
        <v>2.0</v>
      </c>
      <c r="I549" s="7">
        <v>1.0</v>
      </c>
      <c r="J549" s="7">
        <v>0.0</v>
      </c>
      <c r="K549" s="7" t="s">
        <v>28</v>
      </c>
      <c r="L549" s="9" t="str">
        <f>VLOOKUP(K549, 'Alphabetical by species code'!A:B, 2, FALSE)</f>
        <v>Litter</v>
      </c>
    </row>
    <row r="550">
      <c r="A550" s="7">
        <v>6.0</v>
      </c>
      <c r="B550" s="7">
        <v>2025.0</v>
      </c>
      <c r="C550" s="8">
        <v>45755.0</v>
      </c>
      <c r="D550" s="7" t="s">
        <v>54</v>
      </c>
      <c r="E550" s="7" t="s">
        <v>26</v>
      </c>
      <c r="F550" s="7">
        <v>3.0</v>
      </c>
      <c r="G550" s="7" t="s">
        <v>66</v>
      </c>
      <c r="H550" s="7">
        <v>2.0</v>
      </c>
      <c r="I550" s="7">
        <v>1.0</v>
      </c>
      <c r="J550" s="7">
        <v>0.0</v>
      </c>
      <c r="K550" s="7" t="s">
        <v>35</v>
      </c>
      <c r="L550" s="9" t="str">
        <f>VLOOKUP(K550, 'Alphabetical by species code'!A:B, 2, FALSE)</f>
        <v>Deinandra fasciculata</v>
      </c>
    </row>
    <row r="551">
      <c r="A551" s="7">
        <v>6.0</v>
      </c>
      <c r="B551" s="7">
        <v>2025.0</v>
      </c>
      <c r="C551" s="8">
        <v>45755.0</v>
      </c>
      <c r="D551" s="7" t="s">
        <v>54</v>
      </c>
      <c r="E551" s="7" t="s">
        <v>26</v>
      </c>
      <c r="F551" s="7">
        <v>3.0</v>
      </c>
      <c r="G551" s="7" t="s">
        <v>66</v>
      </c>
      <c r="H551" s="7">
        <v>2.0</v>
      </c>
      <c r="I551" s="7">
        <v>1.0</v>
      </c>
      <c r="J551" s="7">
        <v>0.0</v>
      </c>
      <c r="K551" s="7" t="s">
        <v>31</v>
      </c>
      <c r="L551" s="9" t="str">
        <f>VLOOKUP(K551, 'Alphabetical by species code'!A:B, 2, FALSE)</f>
        <v>Festuca myuros</v>
      </c>
    </row>
    <row r="552">
      <c r="A552" s="7">
        <v>6.0</v>
      </c>
      <c r="B552" s="7">
        <v>2025.0</v>
      </c>
      <c r="C552" s="8">
        <v>45755.0</v>
      </c>
      <c r="D552" s="7" t="s">
        <v>54</v>
      </c>
      <c r="E552" s="7" t="s">
        <v>26</v>
      </c>
      <c r="F552" s="7">
        <v>3.0</v>
      </c>
      <c r="G552" s="7" t="s">
        <v>66</v>
      </c>
      <c r="H552" s="7">
        <v>2.0</v>
      </c>
      <c r="I552" s="7">
        <v>2.0</v>
      </c>
      <c r="J552" s="7">
        <v>1.0</v>
      </c>
      <c r="K552" s="7" t="s">
        <v>28</v>
      </c>
      <c r="L552" s="9" t="str">
        <f>VLOOKUP(K552, 'Alphabetical by species code'!A:B, 2, FALSE)</f>
        <v>Litter</v>
      </c>
    </row>
    <row r="553">
      <c r="A553" s="7">
        <v>6.0</v>
      </c>
      <c r="B553" s="7">
        <v>2025.0</v>
      </c>
      <c r="C553" s="8">
        <v>45755.0</v>
      </c>
      <c r="D553" s="7" t="s">
        <v>54</v>
      </c>
      <c r="E553" s="7" t="s">
        <v>26</v>
      </c>
      <c r="F553" s="7">
        <v>3.0</v>
      </c>
      <c r="G553" s="7" t="s">
        <v>66</v>
      </c>
      <c r="H553" s="7">
        <v>2.0</v>
      </c>
      <c r="I553" s="7">
        <v>2.0</v>
      </c>
      <c r="J553" s="7">
        <v>1.0</v>
      </c>
      <c r="K553" s="7" t="s">
        <v>29</v>
      </c>
      <c r="L553" s="9" t="str">
        <f>VLOOKUP(K553, 'Alphabetical by species code'!A:B, 2, FALSE)</f>
        <v>Opuntia littoralis</v>
      </c>
    </row>
    <row r="554">
      <c r="A554" s="7">
        <v>6.0</v>
      </c>
      <c r="B554" s="7">
        <v>2025.0</v>
      </c>
      <c r="C554" s="8">
        <v>45755.0</v>
      </c>
      <c r="D554" s="7" t="s">
        <v>54</v>
      </c>
      <c r="E554" s="7" t="s">
        <v>26</v>
      </c>
      <c r="F554" s="7">
        <v>3.0</v>
      </c>
      <c r="G554" s="7" t="s">
        <v>66</v>
      </c>
      <c r="H554" s="7">
        <v>2.0</v>
      </c>
      <c r="I554" s="7">
        <v>2.0</v>
      </c>
      <c r="J554" s="7">
        <v>1.0</v>
      </c>
      <c r="K554" s="7" t="s">
        <v>37</v>
      </c>
      <c r="L554" s="9" t="str">
        <f>VLOOKUP(K554, 'Alphabetical by species code'!A:B, 2, FALSE)</f>
        <v>Sonchus oleraceus</v>
      </c>
    </row>
    <row r="555">
      <c r="A555" s="7">
        <v>6.0</v>
      </c>
      <c r="B555" s="7">
        <v>2025.0</v>
      </c>
      <c r="C555" s="8">
        <v>45755.0</v>
      </c>
      <c r="D555" s="7" t="s">
        <v>54</v>
      </c>
      <c r="E555" s="7" t="s">
        <v>26</v>
      </c>
      <c r="F555" s="7">
        <v>3.0</v>
      </c>
      <c r="G555" s="7" t="s">
        <v>66</v>
      </c>
      <c r="H555" s="7">
        <v>2.0</v>
      </c>
      <c r="I555" s="7">
        <v>2.0</v>
      </c>
      <c r="J555" s="7">
        <v>1.0</v>
      </c>
      <c r="K555" s="7" t="s">
        <v>31</v>
      </c>
      <c r="L555" s="9" t="str">
        <f>VLOOKUP(K555, 'Alphabetical by species code'!A:B, 2, FALSE)</f>
        <v>Festuca myuros</v>
      </c>
    </row>
    <row r="556">
      <c r="A556" s="7">
        <v>6.0</v>
      </c>
      <c r="B556" s="7">
        <v>2025.0</v>
      </c>
      <c r="C556" s="8">
        <v>45755.0</v>
      </c>
      <c r="D556" s="7" t="s">
        <v>54</v>
      </c>
      <c r="E556" s="7" t="s">
        <v>26</v>
      </c>
      <c r="F556" s="7">
        <v>3.0</v>
      </c>
      <c r="G556" s="7" t="s">
        <v>66</v>
      </c>
      <c r="H556" s="7">
        <v>2.0</v>
      </c>
      <c r="I556" s="7">
        <v>3.0</v>
      </c>
      <c r="J556" s="7">
        <v>1.5</v>
      </c>
      <c r="K556" s="7" t="s">
        <v>28</v>
      </c>
      <c r="L556" s="9" t="str">
        <f>VLOOKUP(K556, 'Alphabetical by species code'!A:B, 2, FALSE)</f>
        <v>Litter</v>
      </c>
    </row>
    <row r="557">
      <c r="A557" s="7">
        <v>6.0</v>
      </c>
      <c r="B557" s="7">
        <v>2025.0</v>
      </c>
      <c r="C557" s="8">
        <v>45755.0</v>
      </c>
      <c r="D557" s="7" t="s">
        <v>54</v>
      </c>
      <c r="E557" s="7" t="s">
        <v>26</v>
      </c>
      <c r="F557" s="7">
        <v>3.0</v>
      </c>
      <c r="G557" s="7" t="s">
        <v>66</v>
      </c>
      <c r="H557" s="7">
        <v>2.0</v>
      </c>
      <c r="I557" s="7">
        <v>3.0</v>
      </c>
      <c r="J557" s="7">
        <v>1.5</v>
      </c>
      <c r="K557" s="7" t="s">
        <v>37</v>
      </c>
      <c r="L557" s="9" t="str">
        <f>VLOOKUP(K557, 'Alphabetical by species code'!A:B, 2, FALSE)</f>
        <v>Sonchus oleraceus</v>
      </c>
    </row>
    <row r="558">
      <c r="A558" s="7">
        <v>6.0</v>
      </c>
      <c r="B558" s="7">
        <v>2025.0</v>
      </c>
      <c r="C558" s="8">
        <v>45755.0</v>
      </c>
      <c r="D558" s="7" t="s">
        <v>54</v>
      </c>
      <c r="E558" s="7" t="s">
        <v>26</v>
      </c>
      <c r="F558" s="7">
        <v>3.0</v>
      </c>
      <c r="G558" s="7" t="s">
        <v>66</v>
      </c>
      <c r="H558" s="7">
        <v>2.0</v>
      </c>
      <c r="I558" s="7">
        <v>3.0</v>
      </c>
      <c r="J558" s="7">
        <v>1.5</v>
      </c>
      <c r="K558" s="7" t="s">
        <v>31</v>
      </c>
      <c r="L558" s="9" t="str">
        <f>VLOOKUP(K558, 'Alphabetical by species code'!A:B, 2, FALSE)</f>
        <v>Festuca myuros</v>
      </c>
    </row>
    <row r="559">
      <c r="A559" s="7">
        <v>6.0</v>
      </c>
      <c r="B559" s="7">
        <v>2025.0</v>
      </c>
      <c r="C559" s="8">
        <v>45755.0</v>
      </c>
      <c r="D559" s="7" t="s">
        <v>54</v>
      </c>
      <c r="E559" s="7" t="s">
        <v>26</v>
      </c>
      <c r="F559" s="7">
        <v>3.0</v>
      </c>
      <c r="G559" s="7" t="s">
        <v>66</v>
      </c>
      <c r="H559" s="7">
        <v>2.0</v>
      </c>
      <c r="I559" s="7">
        <v>3.0</v>
      </c>
      <c r="J559" s="7">
        <v>1.5</v>
      </c>
      <c r="K559" s="7" t="s">
        <v>55</v>
      </c>
      <c r="L559" s="9" t="str">
        <f>VLOOKUP(K559, 'Alphabetical by species code'!A:B, 2, FALSE)</f>
        <v>Daucus pusillus</v>
      </c>
    </row>
    <row r="560">
      <c r="A560" s="7">
        <v>6.0</v>
      </c>
      <c r="B560" s="7">
        <v>2025.0</v>
      </c>
      <c r="C560" s="8">
        <v>45755.0</v>
      </c>
      <c r="D560" s="7" t="s">
        <v>54</v>
      </c>
      <c r="E560" s="7" t="s">
        <v>26</v>
      </c>
      <c r="F560" s="7">
        <v>3.0</v>
      </c>
      <c r="G560" s="7" t="s">
        <v>66</v>
      </c>
      <c r="H560" s="7">
        <v>2.0</v>
      </c>
      <c r="I560" s="7">
        <v>4.0</v>
      </c>
      <c r="J560" s="7">
        <v>2.0</v>
      </c>
      <c r="K560" s="7" t="s">
        <v>28</v>
      </c>
      <c r="L560" s="9" t="str">
        <f>VLOOKUP(K560, 'Alphabetical by species code'!A:B, 2, FALSE)</f>
        <v>Litter</v>
      </c>
    </row>
    <row r="561">
      <c r="A561" s="7">
        <v>6.0</v>
      </c>
      <c r="B561" s="7">
        <v>2025.0</v>
      </c>
      <c r="C561" s="8">
        <v>45755.0</v>
      </c>
      <c r="D561" s="7" t="s">
        <v>54</v>
      </c>
      <c r="E561" s="7" t="s">
        <v>26</v>
      </c>
      <c r="F561" s="7">
        <v>3.0</v>
      </c>
      <c r="G561" s="7" t="s">
        <v>66</v>
      </c>
      <c r="H561" s="7">
        <v>2.0</v>
      </c>
      <c r="I561" s="7">
        <v>4.0</v>
      </c>
      <c r="J561" s="7">
        <v>2.0</v>
      </c>
      <c r="K561" s="7" t="s">
        <v>37</v>
      </c>
      <c r="L561" s="9" t="str">
        <f>VLOOKUP(K561, 'Alphabetical by species code'!A:B, 2, FALSE)</f>
        <v>Sonchus oleraceus</v>
      </c>
    </row>
    <row r="562">
      <c r="A562" s="7">
        <v>6.0</v>
      </c>
      <c r="B562" s="7">
        <v>2025.0</v>
      </c>
      <c r="C562" s="8">
        <v>45755.0</v>
      </c>
      <c r="D562" s="7" t="s">
        <v>54</v>
      </c>
      <c r="E562" s="7" t="s">
        <v>26</v>
      </c>
      <c r="F562" s="7">
        <v>3.0</v>
      </c>
      <c r="G562" s="7" t="s">
        <v>66</v>
      </c>
      <c r="H562" s="7">
        <v>2.0</v>
      </c>
      <c r="I562" s="7">
        <v>5.0</v>
      </c>
      <c r="J562" s="7">
        <v>3.0</v>
      </c>
      <c r="K562" s="7" t="s">
        <v>28</v>
      </c>
      <c r="L562" s="9" t="str">
        <f>VLOOKUP(K562, 'Alphabetical by species code'!A:B, 2, FALSE)</f>
        <v>Litter</v>
      </c>
    </row>
    <row r="563">
      <c r="A563" s="7">
        <v>6.0</v>
      </c>
      <c r="B563" s="7">
        <v>2025.0</v>
      </c>
      <c r="C563" s="8">
        <v>45755.0</v>
      </c>
      <c r="D563" s="7" t="s">
        <v>54</v>
      </c>
      <c r="E563" s="7" t="s">
        <v>26</v>
      </c>
      <c r="F563" s="7">
        <v>3.0</v>
      </c>
      <c r="G563" s="7" t="s">
        <v>66</v>
      </c>
      <c r="H563" s="7">
        <v>2.0</v>
      </c>
      <c r="I563" s="7">
        <v>5.0</v>
      </c>
      <c r="J563" s="7">
        <v>3.0</v>
      </c>
      <c r="K563" s="7" t="s">
        <v>32</v>
      </c>
      <c r="L563" s="9" t="str">
        <f>VLOOKUP(K563, 'Alphabetical by species code'!A:B, 2, FALSE)</f>
        <v>Medicago polymorpha</v>
      </c>
    </row>
    <row r="564">
      <c r="A564" s="7">
        <v>6.0</v>
      </c>
      <c r="B564" s="7">
        <v>2025.0</v>
      </c>
      <c r="C564" s="8">
        <v>45755.0</v>
      </c>
      <c r="D564" s="7" t="s">
        <v>54</v>
      </c>
      <c r="E564" s="7" t="s">
        <v>26</v>
      </c>
      <c r="F564" s="7">
        <v>3.0</v>
      </c>
      <c r="G564" s="7" t="s">
        <v>66</v>
      </c>
      <c r="H564" s="7">
        <v>2.0</v>
      </c>
      <c r="I564" s="7">
        <v>5.0</v>
      </c>
      <c r="J564" s="7">
        <v>3.0</v>
      </c>
      <c r="K564" s="7" t="s">
        <v>31</v>
      </c>
      <c r="L564" s="9" t="str">
        <f>VLOOKUP(K564, 'Alphabetical by species code'!A:B, 2, FALSE)</f>
        <v>Festuca myuros</v>
      </c>
    </row>
    <row r="565">
      <c r="A565" s="7">
        <v>6.0</v>
      </c>
      <c r="B565" s="7">
        <v>2025.0</v>
      </c>
      <c r="C565" s="8">
        <v>45755.0</v>
      </c>
      <c r="D565" s="7" t="s">
        <v>54</v>
      </c>
      <c r="E565" s="7" t="s">
        <v>26</v>
      </c>
      <c r="F565" s="7">
        <v>3.0</v>
      </c>
      <c r="G565" s="7" t="s">
        <v>66</v>
      </c>
      <c r="H565" s="7">
        <v>2.0</v>
      </c>
      <c r="I565" s="7">
        <v>6.0</v>
      </c>
      <c r="J565" s="7">
        <v>3.5</v>
      </c>
      <c r="K565" s="7" t="s">
        <v>28</v>
      </c>
      <c r="L565" s="9" t="str">
        <f>VLOOKUP(K565, 'Alphabetical by species code'!A:B, 2, FALSE)</f>
        <v>Litter</v>
      </c>
    </row>
    <row r="566">
      <c r="A566" s="7">
        <v>6.0</v>
      </c>
      <c r="B566" s="7">
        <v>2025.0</v>
      </c>
      <c r="C566" s="8">
        <v>45755.0</v>
      </c>
      <c r="D566" s="7" t="s">
        <v>54</v>
      </c>
      <c r="E566" s="7" t="s">
        <v>26</v>
      </c>
      <c r="F566" s="7">
        <v>3.0</v>
      </c>
      <c r="G566" s="7" t="s">
        <v>66</v>
      </c>
      <c r="H566" s="7">
        <v>2.0</v>
      </c>
      <c r="I566" s="7">
        <v>6.0</v>
      </c>
      <c r="J566" s="7">
        <v>3.5</v>
      </c>
      <c r="K566" s="7" t="s">
        <v>58</v>
      </c>
      <c r="L566" s="9" t="str">
        <f>VLOOKUP(K566, 'Alphabetical by species code'!A:B, 2, FALSE)</f>
        <v>Crassula connata</v>
      </c>
    </row>
    <row r="567">
      <c r="A567" s="7">
        <v>6.0</v>
      </c>
      <c r="B567" s="7">
        <v>2025.0</v>
      </c>
      <c r="C567" s="8">
        <v>45755.0</v>
      </c>
      <c r="D567" s="7" t="s">
        <v>54</v>
      </c>
      <c r="E567" s="7" t="s">
        <v>26</v>
      </c>
      <c r="F567" s="7">
        <v>3.0</v>
      </c>
      <c r="G567" s="7" t="s">
        <v>66</v>
      </c>
      <c r="H567" s="7">
        <v>2.0</v>
      </c>
      <c r="I567" s="7">
        <v>6.0</v>
      </c>
      <c r="J567" s="7">
        <v>3.5</v>
      </c>
      <c r="K567" s="7" t="s">
        <v>37</v>
      </c>
      <c r="L567" s="9" t="str">
        <f>VLOOKUP(K567, 'Alphabetical by species code'!A:B, 2, FALSE)</f>
        <v>Sonchus oleraceus</v>
      </c>
    </row>
    <row r="568">
      <c r="A568" s="7">
        <v>6.0</v>
      </c>
      <c r="B568" s="7">
        <v>2025.0</v>
      </c>
      <c r="C568" s="8">
        <v>45755.0</v>
      </c>
      <c r="D568" s="7" t="s">
        <v>54</v>
      </c>
      <c r="E568" s="7" t="s">
        <v>26</v>
      </c>
      <c r="F568" s="7">
        <v>3.0</v>
      </c>
      <c r="G568" s="7" t="s">
        <v>66</v>
      </c>
      <c r="H568" s="7">
        <v>2.0</v>
      </c>
      <c r="I568" s="7">
        <v>6.0</v>
      </c>
      <c r="J568" s="7">
        <v>3.5</v>
      </c>
      <c r="K568" s="7" t="s">
        <v>31</v>
      </c>
      <c r="L568" s="9" t="str">
        <f>VLOOKUP(K568, 'Alphabetical by species code'!A:B, 2, FALSE)</f>
        <v>Festuca myuros</v>
      </c>
    </row>
    <row r="569">
      <c r="A569" s="7">
        <v>6.0</v>
      </c>
      <c r="B569" s="7">
        <v>2025.0</v>
      </c>
      <c r="C569" s="8">
        <v>45755.0</v>
      </c>
      <c r="D569" s="7" t="s">
        <v>54</v>
      </c>
      <c r="E569" s="7" t="s">
        <v>26</v>
      </c>
      <c r="F569" s="7">
        <v>3.0</v>
      </c>
      <c r="G569" s="7" t="s">
        <v>66</v>
      </c>
      <c r="H569" s="7">
        <v>2.0</v>
      </c>
      <c r="I569" s="7">
        <v>7.0</v>
      </c>
      <c r="J569" s="7">
        <v>4.0</v>
      </c>
      <c r="K569" s="7" t="s">
        <v>51</v>
      </c>
      <c r="L569" s="9" t="str">
        <f>VLOOKUP(K569, 'Alphabetical by species code'!A:B, 2, FALSE)</f>
        <v>Bareground</v>
      </c>
    </row>
    <row r="570">
      <c r="A570" s="7">
        <v>6.0</v>
      </c>
      <c r="B570" s="7">
        <v>2025.0</v>
      </c>
      <c r="C570" s="8">
        <v>45755.0</v>
      </c>
      <c r="D570" s="7" t="s">
        <v>54</v>
      </c>
      <c r="E570" s="7" t="s">
        <v>26</v>
      </c>
      <c r="F570" s="7">
        <v>3.0</v>
      </c>
      <c r="G570" s="7" t="s">
        <v>66</v>
      </c>
      <c r="H570" s="7">
        <v>2.0</v>
      </c>
      <c r="I570" s="7">
        <v>7.0</v>
      </c>
      <c r="J570" s="7">
        <v>4.0</v>
      </c>
      <c r="K570" s="7" t="s">
        <v>37</v>
      </c>
      <c r="L570" s="9" t="str">
        <f>VLOOKUP(K570, 'Alphabetical by species code'!A:B, 2, FALSE)</f>
        <v>Sonchus oleraceus</v>
      </c>
    </row>
    <row r="571">
      <c r="A571" s="7">
        <v>6.0</v>
      </c>
      <c r="B571" s="7">
        <v>2025.0</v>
      </c>
      <c r="C571" s="8">
        <v>45755.0</v>
      </c>
      <c r="D571" s="7" t="s">
        <v>54</v>
      </c>
      <c r="E571" s="7" t="s">
        <v>26</v>
      </c>
      <c r="F571" s="7">
        <v>3.0</v>
      </c>
      <c r="G571" s="7" t="s">
        <v>66</v>
      </c>
      <c r="H571" s="7">
        <v>2.0</v>
      </c>
      <c r="I571" s="7">
        <v>7.0</v>
      </c>
      <c r="J571" s="7">
        <v>4.0</v>
      </c>
      <c r="K571" s="7" t="s">
        <v>31</v>
      </c>
      <c r="L571" s="9" t="str">
        <f>VLOOKUP(K571, 'Alphabetical by species code'!A:B, 2, FALSE)</f>
        <v>Festuca myuros</v>
      </c>
    </row>
    <row r="572">
      <c r="A572" s="7">
        <v>6.0</v>
      </c>
      <c r="B572" s="7">
        <v>2025.0</v>
      </c>
      <c r="C572" s="8">
        <v>45755.0</v>
      </c>
      <c r="D572" s="7" t="s">
        <v>54</v>
      </c>
      <c r="E572" s="7" t="s">
        <v>26</v>
      </c>
      <c r="F572" s="7">
        <v>3.0</v>
      </c>
      <c r="G572" s="7" t="s">
        <v>66</v>
      </c>
      <c r="H572" s="7">
        <v>2.0</v>
      </c>
      <c r="I572" s="7">
        <v>8.0</v>
      </c>
      <c r="J572" s="7">
        <v>5.0</v>
      </c>
      <c r="K572" s="7" t="s">
        <v>28</v>
      </c>
      <c r="L572" s="9" t="str">
        <f>VLOOKUP(K572, 'Alphabetical by species code'!A:B, 2, FALSE)</f>
        <v>Litter</v>
      </c>
    </row>
    <row r="573">
      <c r="A573" s="7">
        <v>6.0</v>
      </c>
      <c r="B573" s="7">
        <v>2025.0</v>
      </c>
      <c r="C573" s="8">
        <v>45755.0</v>
      </c>
      <c r="D573" s="7" t="s">
        <v>54</v>
      </c>
      <c r="E573" s="7" t="s">
        <v>26</v>
      </c>
      <c r="F573" s="7">
        <v>3.0</v>
      </c>
      <c r="G573" s="7" t="s">
        <v>66</v>
      </c>
      <c r="H573" s="7">
        <v>2.0</v>
      </c>
      <c r="I573" s="7">
        <v>8.0</v>
      </c>
      <c r="J573" s="7">
        <v>5.0</v>
      </c>
      <c r="K573" s="7" t="s">
        <v>31</v>
      </c>
      <c r="L573" s="9" t="str">
        <f>VLOOKUP(K573, 'Alphabetical by species code'!A:B, 2, FALSE)</f>
        <v>Festuca myuros</v>
      </c>
    </row>
    <row r="574">
      <c r="A574" s="7">
        <v>6.0</v>
      </c>
      <c r="B574" s="7">
        <v>2025.0</v>
      </c>
      <c r="C574" s="8">
        <v>45755.0</v>
      </c>
      <c r="D574" s="7" t="s">
        <v>54</v>
      </c>
      <c r="E574" s="7" t="s">
        <v>26</v>
      </c>
      <c r="F574" s="7">
        <v>3.0</v>
      </c>
      <c r="G574" s="7" t="s">
        <v>66</v>
      </c>
      <c r="H574" s="7">
        <v>2.0</v>
      </c>
      <c r="I574" s="7">
        <v>9.0</v>
      </c>
      <c r="J574" s="7">
        <v>7.0</v>
      </c>
      <c r="K574" s="7" t="s">
        <v>28</v>
      </c>
      <c r="L574" s="9" t="str">
        <f>VLOOKUP(K574, 'Alphabetical by species code'!A:B, 2, FALSE)</f>
        <v>Litter</v>
      </c>
    </row>
    <row r="575">
      <c r="A575" s="7">
        <v>6.0</v>
      </c>
      <c r="B575" s="7">
        <v>2025.0</v>
      </c>
      <c r="C575" s="8">
        <v>45755.0</v>
      </c>
      <c r="D575" s="7" t="s">
        <v>54</v>
      </c>
      <c r="E575" s="7" t="s">
        <v>26</v>
      </c>
      <c r="F575" s="7">
        <v>3.0</v>
      </c>
      <c r="G575" s="7" t="s">
        <v>66</v>
      </c>
      <c r="H575" s="7">
        <v>2.0</v>
      </c>
      <c r="I575" s="7">
        <v>9.0</v>
      </c>
      <c r="J575" s="7">
        <v>7.0</v>
      </c>
      <c r="K575" s="7" t="s">
        <v>34</v>
      </c>
      <c r="L575" s="9" t="str">
        <f>VLOOKUP(K575, 'Alphabetical by species code'!A:B, 2, FALSE)</f>
        <v>Erodium cicutarium</v>
      </c>
    </row>
    <row r="576">
      <c r="A576" s="7">
        <v>6.0</v>
      </c>
      <c r="B576" s="7">
        <v>2025.0</v>
      </c>
      <c r="C576" s="8">
        <v>45755.0</v>
      </c>
      <c r="D576" s="7" t="s">
        <v>54</v>
      </c>
      <c r="E576" s="7" t="s">
        <v>26</v>
      </c>
      <c r="F576" s="7">
        <v>3.0</v>
      </c>
      <c r="G576" s="7" t="s">
        <v>66</v>
      </c>
      <c r="H576" s="7">
        <v>2.0</v>
      </c>
      <c r="I576" s="7">
        <v>9.0</v>
      </c>
      <c r="J576" s="7">
        <v>7.0</v>
      </c>
      <c r="K576" s="7" t="s">
        <v>35</v>
      </c>
      <c r="L576" s="9" t="str">
        <f>VLOOKUP(K576, 'Alphabetical by species code'!A:B, 2, FALSE)</f>
        <v>Deinandra fasciculata</v>
      </c>
    </row>
    <row r="577">
      <c r="A577" s="7">
        <v>6.0</v>
      </c>
      <c r="B577" s="7">
        <v>2025.0</v>
      </c>
      <c r="C577" s="8">
        <v>45755.0</v>
      </c>
      <c r="D577" s="7" t="s">
        <v>54</v>
      </c>
      <c r="E577" s="7" t="s">
        <v>26</v>
      </c>
      <c r="F577" s="7">
        <v>3.0</v>
      </c>
      <c r="G577" s="7" t="s">
        <v>66</v>
      </c>
      <c r="H577" s="7">
        <v>2.0</v>
      </c>
      <c r="I577" s="7">
        <v>9.0</v>
      </c>
      <c r="J577" s="7">
        <v>7.0</v>
      </c>
      <c r="K577" s="7" t="s">
        <v>31</v>
      </c>
      <c r="L577" s="9" t="str">
        <f>VLOOKUP(K577, 'Alphabetical by species code'!A:B, 2, FALSE)</f>
        <v>Festuca myuros</v>
      </c>
    </row>
    <row r="578">
      <c r="A578" s="7">
        <v>6.0</v>
      </c>
      <c r="B578" s="7">
        <v>2025.0</v>
      </c>
      <c r="C578" s="8">
        <v>45755.0</v>
      </c>
      <c r="D578" s="7" t="s">
        <v>54</v>
      </c>
      <c r="E578" s="7" t="s">
        <v>26</v>
      </c>
      <c r="F578" s="7">
        <v>3.0</v>
      </c>
      <c r="G578" s="7" t="s">
        <v>66</v>
      </c>
      <c r="H578" s="7">
        <v>2.0</v>
      </c>
      <c r="I578" s="7">
        <v>10.0</v>
      </c>
      <c r="J578" s="7">
        <v>8.0</v>
      </c>
      <c r="K578" s="7" t="s">
        <v>28</v>
      </c>
      <c r="L578" s="9" t="str">
        <f>VLOOKUP(K578, 'Alphabetical by species code'!A:B, 2, FALSE)</f>
        <v>Litter</v>
      </c>
    </row>
    <row r="579">
      <c r="A579" s="7">
        <v>6.0</v>
      </c>
      <c r="B579" s="7">
        <v>2025.0</v>
      </c>
      <c r="C579" s="8">
        <v>45755.0</v>
      </c>
      <c r="D579" s="7" t="s">
        <v>54</v>
      </c>
      <c r="E579" s="7" t="s">
        <v>26</v>
      </c>
      <c r="F579" s="7">
        <v>3.0</v>
      </c>
      <c r="G579" s="7" t="s">
        <v>66</v>
      </c>
      <c r="H579" s="7">
        <v>2.0</v>
      </c>
      <c r="I579" s="7">
        <v>10.0</v>
      </c>
      <c r="J579" s="7">
        <v>8.0</v>
      </c>
      <c r="K579" s="7" t="s">
        <v>31</v>
      </c>
      <c r="L579" s="9" t="str">
        <f>VLOOKUP(K579, 'Alphabetical by species code'!A:B, 2, FALSE)</f>
        <v>Festuca myuros</v>
      </c>
    </row>
    <row r="580">
      <c r="A580" s="7">
        <v>6.0</v>
      </c>
      <c r="B580" s="7">
        <v>2025.0</v>
      </c>
      <c r="C580" s="8">
        <v>45755.0</v>
      </c>
      <c r="D580" s="7" t="s">
        <v>54</v>
      </c>
      <c r="E580" s="7" t="s">
        <v>26</v>
      </c>
      <c r="F580" s="7">
        <v>3.0</v>
      </c>
      <c r="G580" s="7" t="s">
        <v>66</v>
      </c>
      <c r="H580" s="7">
        <v>2.0</v>
      </c>
      <c r="I580" s="7">
        <v>11.0</v>
      </c>
      <c r="J580" s="7">
        <v>8.5</v>
      </c>
      <c r="K580" s="7" t="s">
        <v>51</v>
      </c>
      <c r="L580" s="9" t="str">
        <f>VLOOKUP(K580, 'Alphabetical by species code'!A:B, 2, FALSE)</f>
        <v>Bareground</v>
      </c>
    </row>
    <row r="581">
      <c r="A581" s="7">
        <v>6.0</v>
      </c>
      <c r="B581" s="7">
        <v>2025.0</v>
      </c>
      <c r="C581" s="8">
        <v>45755.0</v>
      </c>
      <c r="D581" s="7" t="s">
        <v>54</v>
      </c>
      <c r="E581" s="7" t="s">
        <v>26</v>
      </c>
      <c r="F581" s="7">
        <v>3.0</v>
      </c>
      <c r="G581" s="7" t="s">
        <v>66</v>
      </c>
      <c r="H581" s="7">
        <v>2.0</v>
      </c>
      <c r="I581" s="7">
        <v>11.0</v>
      </c>
      <c r="J581" s="7">
        <v>8.5</v>
      </c>
      <c r="K581" s="7" t="s">
        <v>31</v>
      </c>
      <c r="L581" s="9" t="str">
        <f>VLOOKUP(K581, 'Alphabetical by species code'!A:B, 2, FALSE)</f>
        <v>Festuca myuros</v>
      </c>
    </row>
    <row r="582">
      <c r="A582" s="7">
        <v>6.0</v>
      </c>
      <c r="B582" s="7">
        <v>2025.0</v>
      </c>
      <c r="C582" s="8">
        <v>45755.0</v>
      </c>
      <c r="D582" s="7" t="s">
        <v>54</v>
      </c>
      <c r="E582" s="7" t="s">
        <v>26</v>
      </c>
      <c r="F582" s="7">
        <v>3.0</v>
      </c>
      <c r="G582" s="7" t="s">
        <v>66</v>
      </c>
      <c r="H582" s="7">
        <v>2.0</v>
      </c>
      <c r="I582" s="7">
        <v>12.0</v>
      </c>
      <c r="J582" s="7">
        <v>9.0</v>
      </c>
      <c r="K582" s="7" t="s">
        <v>28</v>
      </c>
      <c r="L582" s="9" t="str">
        <f>VLOOKUP(K582, 'Alphabetical by species code'!A:B, 2, FALSE)</f>
        <v>Litter</v>
      </c>
    </row>
    <row r="583">
      <c r="A583" s="7">
        <v>6.0</v>
      </c>
      <c r="B583" s="7">
        <v>2025.0</v>
      </c>
      <c r="C583" s="8">
        <v>45755.0</v>
      </c>
      <c r="D583" s="7" t="s">
        <v>54</v>
      </c>
      <c r="E583" s="7" t="s">
        <v>26</v>
      </c>
      <c r="F583" s="7">
        <v>3.0</v>
      </c>
      <c r="G583" s="7" t="s">
        <v>66</v>
      </c>
      <c r="H583" s="7">
        <v>2.0</v>
      </c>
      <c r="I583" s="7">
        <v>12.0</v>
      </c>
      <c r="J583" s="7">
        <v>9.0</v>
      </c>
      <c r="K583" s="7" t="s">
        <v>35</v>
      </c>
      <c r="L583" s="9" t="str">
        <f>VLOOKUP(K583, 'Alphabetical by species code'!A:B, 2, FALSE)</f>
        <v>Deinandra fasciculata</v>
      </c>
    </row>
    <row r="584">
      <c r="A584" s="7">
        <v>6.0</v>
      </c>
      <c r="B584" s="7">
        <v>2025.0</v>
      </c>
      <c r="C584" s="8">
        <v>45755.0</v>
      </c>
      <c r="D584" s="7" t="s">
        <v>54</v>
      </c>
      <c r="E584" s="7" t="s">
        <v>26</v>
      </c>
      <c r="F584" s="7">
        <v>3.0</v>
      </c>
      <c r="G584" s="7" t="s">
        <v>66</v>
      </c>
      <c r="H584" s="7">
        <v>2.0</v>
      </c>
      <c r="I584" s="7">
        <v>13.0</v>
      </c>
      <c r="J584" s="7">
        <v>10.0</v>
      </c>
      <c r="K584" s="7" t="s">
        <v>28</v>
      </c>
      <c r="L584" s="9" t="str">
        <f>VLOOKUP(K584, 'Alphabetical by species code'!A:B, 2, FALSE)</f>
        <v>Litter</v>
      </c>
    </row>
    <row r="585">
      <c r="A585" s="7">
        <v>6.0</v>
      </c>
      <c r="B585" s="7">
        <v>2025.0</v>
      </c>
      <c r="C585" s="8">
        <v>45755.0</v>
      </c>
      <c r="D585" s="7" t="s">
        <v>54</v>
      </c>
      <c r="E585" s="7" t="s">
        <v>26</v>
      </c>
      <c r="F585" s="7">
        <v>3.0</v>
      </c>
      <c r="G585" s="7" t="s">
        <v>66</v>
      </c>
      <c r="H585" s="7">
        <v>2.0</v>
      </c>
      <c r="I585" s="7">
        <v>13.0</v>
      </c>
      <c r="J585" s="7">
        <v>10.0</v>
      </c>
      <c r="K585" s="7" t="s">
        <v>31</v>
      </c>
      <c r="L585" s="9" t="str">
        <f>VLOOKUP(K585, 'Alphabetical by species code'!A:B, 2, FALSE)</f>
        <v>Festuca myuros</v>
      </c>
    </row>
    <row r="586">
      <c r="A586" s="7">
        <v>6.0</v>
      </c>
      <c r="B586" s="7">
        <v>2025.0</v>
      </c>
      <c r="C586" s="8">
        <v>45755.0</v>
      </c>
      <c r="D586" s="7" t="s">
        <v>54</v>
      </c>
      <c r="E586" s="7" t="s">
        <v>26</v>
      </c>
      <c r="F586" s="7">
        <v>3.0</v>
      </c>
      <c r="G586" s="7" t="s">
        <v>66</v>
      </c>
      <c r="H586" s="7">
        <v>2.0</v>
      </c>
      <c r="I586" s="7">
        <v>13.0</v>
      </c>
      <c r="J586" s="7">
        <v>10.0</v>
      </c>
      <c r="K586" s="7" t="s">
        <v>48</v>
      </c>
      <c r="L586" s="9" t="str">
        <f>VLOOKUP(K586, 'Alphabetical by species code'!A:B, 2, FALSE)</f>
        <v>Sonchus asper</v>
      </c>
    </row>
    <row r="587">
      <c r="A587" s="7">
        <v>6.0</v>
      </c>
      <c r="B587" s="7">
        <v>2025.0</v>
      </c>
      <c r="C587" s="8">
        <v>45755.0</v>
      </c>
      <c r="D587" s="7" t="s">
        <v>54</v>
      </c>
      <c r="E587" s="7" t="s">
        <v>26</v>
      </c>
      <c r="F587" s="7">
        <v>3.0</v>
      </c>
      <c r="G587" s="7" t="s">
        <v>66</v>
      </c>
      <c r="H587" s="7">
        <v>2.0</v>
      </c>
      <c r="I587" s="7">
        <v>14.0</v>
      </c>
      <c r="J587" s="7">
        <v>11.0</v>
      </c>
      <c r="K587" s="7" t="s">
        <v>28</v>
      </c>
      <c r="L587" s="9" t="str">
        <f>VLOOKUP(K587, 'Alphabetical by species code'!A:B, 2, FALSE)</f>
        <v>Litter</v>
      </c>
    </row>
    <row r="588">
      <c r="A588" s="7">
        <v>6.0</v>
      </c>
      <c r="B588" s="7">
        <v>2025.0</v>
      </c>
      <c r="C588" s="8">
        <v>45755.0</v>
      </c>
      <c r="D588" s="7" t="s">
        <v>54</v>
      </c>
      <c r="E588" s="7" t="s">
        <v>26</v>
      </c>
      <c r="F588" s="7">
        <v>3.0</v>
      </c>
      <c r="G588" s="7" t="s">
        <v>66</v>
      </c>
      <c r="H588" s="7">
        <v>2.0</v>
      </c>
      <c r="I588" s="7">
        <v>14.0</v>
      </c>
      <c r="J588" s="7">
        <v>11.0</v>
      </c>
      <c r="K588" s="7" t="s">
        <v>29</v>
      </c>
      <c r="L588" s="9" t="str">
        <f>VLOOKUP(K588, 'Alphabetical by species code'!A:B, 2, FALSE)</f>
        <v>Opuntia littoralis</v>
      </c>
    </row>
    <row r="589">
      <c r="A589" s="7">
        <v>6.0</v>
      </c>
      <c r="B589" s="7">
        <v>2025.0</v>
      </c>
      <c r="C589" s="8">
        <v>45755.0</v>
      </c>
      <c r="D589" s="7" t="s">
        <v>54</v>
      </c>
      <c r="E589" s="7" t="s">
        <v>26</v>
      </c>
      <c r="F589" s="7">
        <v>3.0</v>
      </c>
      <c r="G589" s="7" t="s">
        <v>66</v>
      </c>
      <c r="H589" s="7">
        <v>2.0</v>
      </c>
      <c r="I589" s="7">
        <v>14.0</v>
      </c>
      <c r="J589" s="7">
        <v>11.0</v>
      </c>
      <c r="K589" s="7" t="s">
        <v>36</v>
      </c>
      <c r="L589" s="9" t="str">
        <f>VLOOKUP(K589, 'Alphabetical by species code'!A:B, 2, FALSE)</f>
        <v>Bromus madritensis</v>
      </c>
    </row>
    <row r="590">
      <c r="A590" s="7">
        <v>6.0</v>
      </c>
      <c r="B590" s="7">
        <v>2025.0</v>
      </c>
      <c r="C590" s="8">
        <v>45755.0</v>
      </c>
      <c r="D590" s="7" t="s">
        <v>54</v>
      </c>
      <c r="E590" s="7" t="s">
        <v>26</v>
      </c>
      <c r="F590" s="7">
        <v>3.0</v>
      </c>
      <c r="G590" s="7" t="s">
        <v>66</v>
      </c>
      <c r="H590" s="7">
        <v>2.0</v>
      </c>
      <c r="I590" s="7">
        <v>14.0</v>
      </c>
      <c r="J590" s="7">
        <v>11.0</v>
      </c>
      <c r="K590" s="7" t="s">
        <v>34</v>
      </c>
      <c r="L590" s="9" t="str">
        <f>VLOOKUP(K590, 'Alphabetical by species code'!A:B, 2, FALSE)</f>
        <v>Erodium cicutarium</v>
      </c>
    </row>
    <row r="591">
      <c r="A591" s="7">
        <v>6.0</v>
      </c>
      <c r="B591" s="7">
        <v>2025.0</v>
      </c>
      <c r="C591" s="8">
        <v>45755.0</v>
      </c>
      <c r="D591" s="7" t="s">
        <v>54</v>
      </c>
      <c r="E591" s="7" t="s">
        <v>26</v>
      </c>
      <c r="F591" s="7">
        <v>3.0</v>
      </c>
      <c r="G591" s="7" t="s">
        <v>66</v>
      </c>
      <c r="H591" s="7">
        <v>2.0</v>
      </c>
      <c r="I591" s="7">
        <v>15.0</v>
      </c>
      <c r="J591" s="7">
        <v>12.0</v>
      </c>
      <c r="K591" s="7" t="s">
        <v>28</v>
      </c>
      <c r="L591" s="9" t="str">
        <f>VLOOKUP(K591, 'Alphabetical by species code'!A:B, 2, FALSE)</f>
        <v>Litter</v>
      </c>
    </row>
    <row r="592">
      <c r="A592" s="7">
        <v>6.0</v>
      </c>
      <c r="B592" s="7">
        <v>2025.0</v>
      </c>
      <c r="C592" s="8">
        <v>45755.0</v>
      </c>
      <c r="D592" s="7" t="s">
        <v>54</v>
      </c>
      <c r="E592" s="7" t="s">
        <v>26</v>
      </c>
      <c r="F592" s="7">
        <v>3.0</v>
      </c>
      <c r="G592" s="7" t="s">
        <v>66</v>
      </c>
      <c r="H592" s="7">
        <v>2.0</v>
      </c>
      <c r="I592" s="7">
        <v>15.0</v>
      </c>
      <c r="J592" s="7">
        <v>12.0</v>
      </c>
      <c r="K592" s="7" t="s">
        <v>35</v>
      </c>
      <c r="L592" s="9" t="str">
        <f>VLOOKUP(K592, 'Alphabetical by species code'!A:B, 2, FALSE)</f>
        <v>Deinandra fasciculata</v>
      </c>
    </row>
    <row r="593">
      <c r="A593" s="7">
        <v>6.0</v>
      </c>
      <c r="B593" s="7">
        <v>2025.0</v>
      </c>
      <c r="C593" s="8">
        <v>45755.0</v>
      </c>
      <c r="D593" s="7" t="s">
        <v>54</v>
      </c>
      <c r="E593" s="7" t="s">
        <v>26</v>
      </c>
      <c r="F593" s="7">
        <v>3.0</v>
      </c>
      <c r="G593" s="7" t="s">
        <v>66</v>
      </c>
      <c r="H593" s="7">
        <v>2.0</v>
      </c>
      <c r="I593" s="7">
        <v>15.0</v>
      </c>
      <c r="J593" s="7">
        <v>12.0</v>
      </c>
      <c r="K593" s="7" t="s">
        <v>31</v>
      </c>
      <c r="L593" s="9" t="str">
        <f>VLOOKUP(K593, 'Alphabetical by species code'!A:B, 2, FALSE)</f>
        <v>Festuca myuros</v>
      </c>
    </row>
    <row r="594">
      <c r="A594" s="7">
        <v>7.0</v>
      </c>
      <c r="B594" s="7">
        <v>2025.0</v>
      </c>
      <c r="C594" s="8">
        <v>45764.0</v>
      </c>
      <c r="D594" s="7" t="s">
        <v>25</v>
      </c>
      <c r="E594" s="7" t="s">
        <v>26</v>
      </c>
      <c r="F594" s="7">
        <v>1.0</v>
      </c>
      <c r="G594" s="7" t="s">
        <v>66</v>
      </c>
      <c r="H594" s="7">
        <v>1.0</v>
      </c>
      <c r="I594" s="7">
        <v>1.0</v>
      </c>
      <c r="J594" s="7">
        <v>0.0</v>
      </c>
      <c r="K594" s="7" t="s">
        <v>28</v>
      </c>
      <c r="L594" s="9" t="str">
        <f>VLOOKUP(K594, 'Alphabetical by species code'!A:B, 2, FALSE)</f>
        <v>Litter</v>
      </c>
    </row>
    <row r="595">
      <c r="A595" s="7">
        <v>7.0</v>
      </c>
      <c r="B595" s="7">
        <v>2025.0</v>
      </c>
      <c r="C595" s="8">
        <v>45764.0</v>
      </c>
      <c r="D595" s="7" t="s">
        <v>25</v>
      </c>
      <c r="E595" s="7" t="s">
        <v>26</v>
      </c>
      <c r="F595" s="7">
        <v>1.0</v>
      </c>
      <c r="G595" s="7" t="s">
        <v>66</v>
      </c>
      <c r="H595" s="7">
        <v>1.0</v>
      </c>
      <c r="I595" s="7">
        <v>1.0</v>
      </c>
      <c r="J595" s="7">
        <v>0.0</v>
      </c>
      <c r="K595" s="7" t="s">
        <v>34</v>
      </c>
      <c r="L595" s="9" t="str">
        <f>VLOOKUP(K595, 'Alphabetical by species code'!A:B, 2, FALSE)</f>
        <v>Erodium cicutarium</v>
      </c>
    </row>
    <row r="596">
      <c r="A596" s="7">
        <v>7.0</v>
      </c>
      <c r="B596" s="7">
        <v>2025.0</v>
      </c>
      <c r="C596" s="8">
        <v>45764.0</v>
      </c>
      <c r="D596" s="7" t="s">
        <v>25</v>
      </c>
      <c r="E596" s="7" t="s">
        <v>26</v>
      </c>
      <c r="F596" s="7">
        <v>1.0</v>
      </c>
      <c r="G596" s="7" t="s">
        <v>66</v>
      </c>
      <c r="H596" s="7">
        <v>1.0</v>
      </c>
      <c r="I596" s="7">
        <v>1.0</v>
      </c>
      <c r="J596" s="7">
        <v>0.0</v>
      </c>
      <c r="K596" s="7" t="s">
        <v>35</v>
      </c>
      <c r="L596" s="9" t="str">
        <f>VLOOKUP(K596, 'Alphabetical by species code'!A:B, 2, FALSE)</f>
        <v>Deinandra fasciculata</v>
      </c>
    </row>
    <row r="597">
      <c r="A597" s="7">
        <v>7.0</v>
      </c>
      <c r="B597" s="7">
        <v>2025.0</v>
      </c>
      <c r="C597" s="8">
        <v>45764.0</v>
      </c>
      <c r="D597" s="7" t="s">
        <v>25</v>
      </c>
      <c r="E597" s="7" t="s">
        <v>26</v>
      </c>
      <c r="F597" s="7">
        <v>1.0</v>
      </c>
      <c r="G597" s="7" t="s">
        <v>66</v>
      </c>
      <c r="H597" s="7">
        <v>1.0</v>
      </c>
      <c r="I597" s="7">
        <v>2.0</v>
      </c>
      <c r="J597" s="7">
        <v>1.0</v>
      </c>
      <c r="K597" s="7" t="s">
        <v>28</v>
      </c>
      <c r="L597" s="9" t="str">
        <f>VLOOKUP(K597, 'Alphabetical by species code'!A:B, 2, FALSE)</f>
        <v>Litter</v>
      </c>
    </row>
    <row r="598">
      <c r="A598" s="7">
        <v>7.0</v>
      </c>
      <c r="B598" s="7">
        <v>2025.0</v>
      </c>
      <c r="C598" s="8">
        <v>45764.0</v>
      </c>
      <c r="D598" s="7" t="s">
        <v>25</v>
      </c>
      <c r="E598" s="7" t="s">
        <v>26</v>
      </c>
      <c r="F598" s="7">
        <v>1.0</v>
      </c>
      <c r="G598" s="7" t="s">
        <v>66</v>
      </c>
      <c r="H598" s="7">
        <v>1.0</v>
      </c>
      <c r="I598" s="7">
        <v>2.0</v>
      </c>
      <c r="J598" s="7">
        <v>1.0</v>
      </c>
      <c r="K598" s="7" t="s">
        <v>36</v>
      </c>
      <c r="L598" s="9" t="str">
        <f>VLOOKUP(K598, 'Alphabetical by species code'!A:B, 2, FALSE)</f>
        <v>Bromus madritensis</v>
      </c>
    </row>
    <row r="599">
      <c r="A599" s="7">
        <v>7.0</v>
      </c>
      <c r="B599" s="7">
        <v>2025.0</v>
      </c>
      <c r="C599" s="8">
        <v>45764.0</v>
      </c>
      <c r="D599" s="7" t="s">
        <v>25</v>
      </c>
      <c r="E599" s="7" t="s">
        <v>26</v>
      </c>
      <c r="F599" s="7">
        <v>1.0</v>
      </c>
      <c r="G599" s="7" t="s">
        <v>66</v>
      </c>
      <c r="H599" s="7">
        <v>1.0</v>
      </c>
      <c r="I599" s="7">
        <v>2.0</v>
      </c>
      <c r="J599" s="7">
        <v>1.0</v>
      </c>
      <c r="K599" s="7" t="s">
        <v>42</v>
      </c>
      <c r="L599" s="9" t="str">
        <f>VLOOKUP(K599, 'Alphabetical by species code'!A:B, 2, FALSE)</f>
        <v>Centaurea melitensis</v>
      </c>
    </row>
    <row r="600">
      <c r="A600" s="7">
        <v>7.0</v>
      </c>
      <c r="B600" s="7">
        <v>2025.0</v>
      </c>
      <c r="C600" s="8">
        <v>45764.0</v>
      </c>
      <c r="D600" s="7" t="s">
        <v>25</v>
      </c>
      <c r="E600" s="7" t="s">
        <v>26</v>
      </c>
      <c r="F600" s="7">
        <v>1.0</v>
      </c>
      <c r="G600" s="7" t="s">
        <v>66</v>
      </c>
      <c r="H600" s="7">
        <v>1.0</v>
      </c>
      <c r="I600" s="7">
        <v>3.0</v>
      </c>
      <c r="J600" s="7">
        <v>1.5</v>
      </c>
      <c r="K600" s="7" t="s">
        <v>28</v>
      </c>
      <c r="L600" s="9" t="str">
        <f>VLOOKUP(K600, 'Alphabetical by species code'!A:B, 2, FALSE)</f>
        <v>Litter</v>
      </c>
    </row>
    <row r="601">
      <c r="A601" s="7">
        <v>7.0</v>
      </c>
      <c r="B601" s="7">
        <v>2025.0</v>
      </c>
      <c r="C601" s="8">
        <v>45764.0</v>
      </c>
      <c r="D601" s="7" t="s">
        <v>25</v>
      </c>
      <c r="E601" s="7" t="s">
        <v>26</v>
      </c>
      <c r="F601" s="7">
        <v>1.0</v>
      </c>
      <c r="G601" s="7" t="s">
        <v>66</v>
      </c>
      <c r="H601" s="7">
        <v>1.0</v>
      </c>
      <c r="I601" s="7">
        <v>3.0</v>
      </c>
      <c r="J601" s="7">
        <v>1.5</v>
      </c>
      <c r="K601" s="7" t="s">
        <v>35</v>
      </c>
      <c r="L601" s="9" t="str">
        <f>VLOOKUP(K601, 'Alphabetical by species code'!A:B, 2, FALSE)</f>
        <v>Deinandra fasciculata</v>
      </c>
    </row>
    <row r="602">
      <c r="A602" s="7">
        <v>7.0</v>
      </c>
      <c r="B602" s="7">
        <v>2025.0</v>
      </c>
      <c r="C602" s="8">
        <v>45764.0</v>
      </c>
      <c r="D602" s="7" t="s">
        <v>25</v>
      </c>
      <c r="E602" s="7" t="s">
        <v>26</v>
      </c>
      <c r="F602" s="7">
        <v>1.0</v>
      </c>
      <c r="G602" s="7" t="s">
        <v>66</v>
      </c>
      <c r="H602" s="7">
        <v>1.0</v>
      </c>
      <c r="I602" s="7">
        <v>3.0</v>
      </c>
      <c r="J602" s="7">
        <v>1.5</v>
      </c>
      <c r="K602" s="7" t="s">
        <v>42</v>
      </c>
      <c r="L602" s="9" t="str">
        <f>VLOOKUP(K602, 'Alphabetical by species code'!A:B, 2, FALSE)</f>
        <v>Centaurea melitensis</v>
      </c>
    </row>
    <row r="603">
      <c r="A603" s="7">
        <v>7.0</v>
      </c>
      <c r="B603" s="7">
        <v>2025.0</v>
      </c>
      <c r="C603" s="8">
        <v>45764.0</v>
      </c>
      <c r="D603" s="7" t="s">
        <v>25</v>
      </c>
      <c r="E603" s="7" t="s">
        <v>26</v>
      </c>
      <c r="F603" s="7">
        <v>1.0</v>
      </c>
      <c r="G603" s="7" t="s">
        <v>66</v>
      </c>
      <c r="H603" s="7">
        <v>1.0</v>
      </c>
      <c r="I603" s="7">
        <v>3.0</v>
      </c>
      <c r="J603" s="7">
        <v>1.5</v>
      </c>
      <c r="K603" s="7" t="s">
        <v>49</v>
      </c>
      <c r="L603" s="9" t="str">
        <f>VLOOKUP(K603, 'Alphabetical by species code'!A:B, 2, FALSE)</f>
        <v>Anagallis arvensis</v>
      </c>
    </row>
    <row r="604">
      <c r="A604" s="7">
        <v>7.0</v>
      </c>
      <c r="B604" s="7">
        <v>2025.0</v>
      </c>
      <c r="C604" s="8">
        <v>45764.0</v>
      </c>
      <c r="D604" s="7" t="s">
        <v>25</v>
      </c>
      <c r="E604" s="7" t="s">
        <v>26</v>
      </c>
      <c r="F604" s="7">
        <v>1.0</v>
      </c>
      <c r="G604" s="7" t="s">
        <v>66</v>
      </c>
      <c r="H604" s="7">
        <v>1.0</v>
      </c>
      <c r="I604" s="7">
        <v>4.0</v>
      </c>
      <c r="J604" s="7">
        <v>2.0</v>
      </c>
      <c r="K604" s="7" t="s">
        <v>41</v>
      </c>
      <c r="L604" s="9" t="str">
        <f>VLOOKUP(K604, 'Alphabetical by species code'!A:B, 2, FALSE)</f>
        <v>Stem</v>
      </c>
    </row>
    <row r="605">
      <c r="A605" s="7">
        <v>7.0</v>
      </c>
      <c r="B605" s="7">
        <v>2025.0</v>
      </c>
      <c r="C605" s="8">
        <v>45764.0</v>
      </c>
      <c r="D605" s="7" t="s">
        <v>25</v>
      </c>
      <c r="E605" s="7" t="s">
        <v>26</v>
      </c>
      <c r="F605" s="7">
        <v>1.0</v>
      </c>
      <c r="G605" s="7" t="s">
        <v>66</v>
      </c>
      <c r="H605" s="7">
        <v>1.0</v>
      </c>
      <c r="I605" s="7">
        <v>4.0</v>
      </c>
      <c r="J605" s="7">
        <v>2.0</v>
      </c>
      <c r="K605" s="7" t="s">
        <v>30</v>
      </c>
      <c r="L605" s="9" t="str">
        <f>VLOOKUP(K605, 'Alphabetical by species code'!A:B, 2, FALSE)</f>
        <v>Erodium moschatum</v>
      </c>
    </row>
    <row r="606">
      <c r="A606" s="7">
        <v>7.0</v>
      </c>
      <c r="B606" s="7">
        <v>2025.0</v>
      </c>
      <c r="C606" s="8">
        <v>45764.0</v>
      </c>
      <c r="D606" s="7" t="s">
        <v>25</v>
      </c>
      <c r="E606" s="7" t="s">
        <v>26</v>
      </c>
      <c r="F606" s="7">
        <v>1.0</v>
      </c>
      <c r="G606" s="7" t="s">
        <v>66</v>
      </c>
      <c r="H606" s="7">
        <v>1.0</v>
      </c>
      <c r="I606" s="7">
        <v>5.0</v>
      </c>
      <c r="J606" s="7">
        <v>3.0</v>
      </c>
      <c r="K606" s="7" t="s">
        <v>51</v>
      </c>
      <c r="L606" s="9" t="str">
        <f>VLOOKUP(K606, 'Alphabetical by species code'!A:B, 2, FALSE)</f>
        <v>Bareground</v>
      </c>
    </row>
    <row r="607">
      <c r="A607" s="7">
        <v>7.0</v>
      </c>
      <c r="B607" s="7">
        <v>2025.0</v>
      </c>
      <c r="C607" s="8">
        <v>45764.0</v>
      </c>
      <c r="D607" s="7" t="s">
        <v>25</v>
      </c>
      <c r="E607" s="7" t="s">
        <v>26</v>
      </c>
      <c r="F607" s="7">
        <v>1.0</v>
      </c>
      <c r="G607" s="7" t="s">
        <v>66</v>
      </c>
      <c r="H607" s="7">
        <v>1.0</v>
      </c>
      <c r="I607" s="7">
        <v>5.0</v>
      </c>
      <c r="J607" s="7">
        <v>3.0</v>
      </c>
      <c r="K607" s="7" t="s">
        <v>37</v>
      </c>
      <c r="L607" s="9" t="str">
        <f>VLOOKUP(K607, 'Alphabetical by species code'!A:B, 2, FALSE)</f>
        <v>Sonchus oleraceus</v>
      </c>
    </row>
    <row r="608">
      <c r="A608" s="7">
        <v>7.0</v>
      </c>
      <c r="B608" s="7">
        <v>2025.0</v>
      </c>
      <c r="C608" s="8">
        <v>45764.0</v>
      </c>
      <c r="D608" s="7" t="s">
        <v>25</v>
      </c>
      <c r="E608" s="7" t="s">
        <v>26</v>
      </c>
      <c r="F608" s="7">
        <v>1.0</v>
      </c>
      <c r="G608" s="7" t="s">
        <v>66</v>
      </c>
      <c r="H608" s="7">
        <v>1.0</v>
      </c>
      <c r="I608" s="7">
        <v>6.0</v>
      </c>
      <c r="J608" s="7">
        <v>3.5</v>
      </c>
      <c r="K608" s="7" t="s">
        <v>28</v>
      </c>
      <c r="L608" s="9" t="str">
        <f>VLOOKUP(K608, 'Alphabetical by species code'!A:B, 2, FALSE)</f>
        <v>Litter</v>
      </c>
    </row>
    <row r="609">
      <c r="A609" s="7">
        <v>7.0</v>
      </c>
      <c r="B609" s="7">
        <v>2025.0</v>
      </c>
      <c r="C609" s="8">
        <v>45764.0</v>
      </c>
      <c r="D609" s="7" t="s">
        <v>25</v>
      </c>
      <c r="E609" s="7" t="s">
        <v>26</v>
      </c>
      <c r="F609" s="7">
        <v>1.0</v>
      </c>
      <c r="G609" s="7" t="s">
        <v>66</v>
      </c>
      <c r="H609" s="7">
        <v>1.0</v>
      </c>
      <c r="I609" s="7">
        <v>6.0</v>
      </c>
      <c r="J609" s="7">
        <v>3.5</v>
      </c>
      <c r="K609" s="7" t="s">
        <v>31</v>
      </c>
      <c r="L609" s="9" t="str">
        <f>VLOOKUP(K609, 'Alphabetical by species code'!A:B, 2, FALSE)</f>
        <v>Festuca myuros</v>
      </c>
    </row>
    <row r="610">
      <c r="A610" s="7">
        <v>7.0</v>
      </c>
      <c r="B610" s="7">
        <v>2025.0</v>
      </c>
      <c r="C610" s="8">
        <v>45764.0</v>
      </c>
      <c r="D610" s="7" t="s">
        <v>25</v>
      </c>
      <c r="E610" s="7" t="s">
        <v>26</v>
      </c>
      <c r="F610" s="7">
        <v>1.0</v>
      </c>
      <c r="G610" s="7" t="s">
        <v>66</v>
      </c>
      <c r="H610" s="7">
        <v>1.0</v>
      </c>
      <c r="I610" s="7">
        <v>6.0</v>
      </c>
      <c r="J610" s="7">
        <v>3.5</v>
      </c>
      <c r="K610" s="7" t="s">
        <v>35</v>
      </c>
      <c r="L610" s="9" t="str">
        <f>VLOOKUP(K610, 'Alphabetical by species code'!A:B, 2, FALSE)</f>
        <v>Deinandra fasciculata</v>
      </c>
    </row>
    <row r="611">
      <c r="A611" s="7">
        <v>7.0</v>
      </c>
      <c r="B611" s="7">
        <v>2025.0</v>
      </c>
      <c r="C611" s="8">
        <v>45764.0</v>
      </c>
      <c r="D611" s="7" t="s">
        <v>25</v>
      </c>
      <c r="E611" s="7" t="s">
        <v>26</v>
      </c>
      <c r="F611" s="7">
        <v>1.0</v>
      </c>
      <c r="G611" s="7" t="s">
        <v>66</v>
      </c>
      <c r="H611" s="7">
        <v>1.0</v>
      </c>
      <c r="I611" s="7">
        <v>7.0</v>
      </c>
      <c r="J611" s="7">
        <v>4.0</v>
      </c>
      <c r="K611" s="7" t="s">
        <v>51</v>
      </c>
      <c r="L611" s="9" t="str">
        <f>VLOOKUP(K611, 'Alphabetical by species code'!A:B, 2, FALSE)</f>
        <v>Bareground</v>
      </c>
    </row>
    <row r="612">
      <c r="A612" s="7">
        <v>7.0</v>
      </c>
      <c r="B612" s="7">
        <v>2025.0</v>
      </c>
      <c r="C612" s="8">
        <v>45764.0</v>
      </c>
      <c r="D612" s="7" t="s">
        <v>25</v>
      </c>
      <c r="E612" s="7" t="s">
        <v>26</v>
      </c>
      <c r="F612" s="7">
        <v>1.0</v>
      </c>
      <c r="G612" s="7" t="s">
        <v>66</v>
      </c>
      <c r="H612" s="7">
        <v>1.0</v>
      </c>
      <c r="I612" s="7">
        <v>7.0</v>
      </c>
      <c r="J612" s="7">
        <v>4.0</v>
      </c>
      <c r="K612" s="7" t="s">
        <v>35</v>
      </c>
      <c r="L612" s="9" t="str">
        <f>VLOOKUP(K612, 'Alphabetical by species code'!A:B, 2, FALSE)</f>
        <v>Deinandra fasciculata</v>
      </c>
    </row>
    <row r="613">
      <c r="A613" s="7">
        <v>7.0</v>
      </c>
      <c r="B613" s="7">
        <v>2025.0</v>
      </c>
      <c r="C613" s="8">
        <v>45764.0</v>
      </c>
      <c r="D613" s="7" t="s">
        <v>25</v>
      </c>
      <c r="E613" s="7" t="s">
        <v>26</v>
      </c>
      <c r="F613" s="7">
        <v>1.0</v>
      </c>
      <c r="G613" s="7" t="s">
        <v>66</v>
      </c>
      <c r="H613" s="7">
        <v>1.0</v>
      </c>
      <c r="I613" s="7">
        <v>7.0</v>
      </c>
      <c r="J613" s="7">
        <v>4.0</v>
      </c>
      <c r="K613" s="7" t="s">
        <v>34</v>
      </c>
      <c r="L613" s="9" t="str">
        <f>VLOOKUP(K613, 'Alphabetical by species code'!A:B, 2, FALSE)</f>
        <v>Erodium cicutarium</v>
      </c>
    </row>
    <row r="614">
      <c r="A614" s="7">
        <v>7.0</v>
      </c>
      <c r="B614" s="7">
        <v>2025.0</v>
      </c>
      <c r="C614" s="8">
        <v>45764.0</v>
      </c>
      <c r="D614" s="7" t="s">
        <v>25</v>
      </c>
      <c r="E614" s="7" t="s">
        <v>26</v>
      </c>
      <c r="F614" s="7">
        <v>1.0</v>
      </c>
      <c r="G614" s="7" t="s">
        <v>66</v>
      </c>
      <c r="H614" s="7">
        <v>1.0</v>
      </c>
      <c r="I614" s="7">
        <v>8.0</v>
      </c>
      <c r="J614" s="7">
        <v>5.0</v>
      </c>
      <c r="K614" s="7" t="s">
        <v>28</v>
      </c>
      <c r="L614" s="9" t="str">
        <f>VLOOKUP(K614, 'Alphabetical by species code'!A:B, 2, FALSE)</f>
        <v>Litter</v>
      </c>
    </row>
    <row r="615">
      <c r="A615" s="7">
        <v>7.0</v>
      </c>
      <c r="B615" s="7">
        <v>2025.0</v>
      </c>
      <c r="C615" s="8">
        <v>45764.0</v>
      </c>
      <c r="D615" s="7" t="s">
        <v>25</v>
      </c>
      <c r="E615" s="7" t="s">
        <v>26</v>
      </c>
      <c r="F615" s="7">
        <v>1.0</v>
      </c>
      <c r="G615" s="7" t="s">
        <v>66</v>
      </c>
      <c r="H615" s="7">
        <v>1.0</v>
      </c>
      <c r="I615" s="7">
        <v>8.0</v>
      </c>
      <c r="J615" s="7">
        <v>5.0</v>
      </c>
      <c r="K615" s="7" t="s">
        <v>49</v>
      </c>
      <c r="L615" s="9" t="str">
        <f>VLOOKUP(K615, 'Alphabetical by species code'!A:B, 2, FALSE)</f>
        <v>Anagallis arvensis</v>
      </c>
    </row>
    <row r="616">
      <c r="A616" s="7">
        <v>7.0</v>
      </c>
      <c r="B616" s="7">
        <v>2025.0</v>
      </c>
      <c r="C616" s="8">
        <v>45764.0</v>
      </c>
      <c r="D616" s="7" t="s">
        <v>25</v>
      </c>
      <c r="E616" s="7" t="s">
        <v>26</v>
      </c>
      <c r="F616" s="7">
        <v>1.0</v>
      </c>
      <c r="G616" s="7" t="s">
        <v>66</v>
      </c>
      <c r="H616" s="7">
        <v>1.0</v>
      </c>
      <c r="I616" s="7">
        <v>8.0</v>
      </c>
      <c r="J616" s="7">
        <v>5.0</v>
      </c>
      <c r="K616" s="7" t="s">
        <v>48</v>
      </c>
      <c r="L616" s="9" t="str">
        <f>VLOOKUP(K616, 'Alphabetical by species code'!A:B, 2, FALSE)</f>
        <v>Sonchus asper</v>
      </c>
    </row>
    <row r="617">
      <c r="A617" s="7">
        <v>7.0</v>
      </c>
      <c r="B617" s="7">
        <v>2025.0</v>
      </c>
      <c r="C617" s="8">
        <v>45764.0</v>
      </c>
      <c r="D617" s="7" t="s">
        <v>25</v>
      </c>
      <c r="E617" s="7" t="s">
        <v>26</v>
      </c>
      <c r="F617" s="7">
        <v>1.0</v>
      </c>
      <c r="G617" s="7" t="s">
        <v>66</v>
      </c>
      <c r="H617" s="7">
        <v>1.0</v>
      </c>
      <c r="I617" s="7">
        <v>9.0</v>
      </c>
      <c r="J617" s="7">
        <v>7.0</v>
      </c>
      <c r="K617" s="7" t="s">
        <v>41</v>
      </c>
      <c r="L617" s="9" t="str">
        <f>VLOOKUP(K617, 'Alphabetical by species code'!A:B, 2, FALSE)</f>
        <v>Stem</v>
      </c>
    </row>
    <row r="618">
      <c r="A618" s="7">
        <v>7.0</v>
      </c>
      <c r="B618" s="7">
        <v>2025.0</v>
      </c>
      <c r="C618" s="8">
        <v>45764.0</v>
      </c>
      <c r="D618" s="7" t="s">
        <v>25</v>
      </c>
      <c r="E618" s="7" t="s">
        <v>26</v>
      </c>
      <c r="F618" s="7">
        <v>1.0</v>
      </c>
      <c r="G618" s="7" t="s">
        <v>66</v>
      </c>
      <c r="H618" s="7">
        <v>1.0</v>
      </c>
      <c r="I618" s="7">
        <v>9.0</v>
      </c>
      <c r="J618" s="7">
        <v>7.0</v>
      </c>
      <c r="K618" s="7" t="s">
        <v>31</v>
      </c>
      <c r="L618" s="9" t="str">
        <f>VLOOKUP(K618, 'Alphabetical by species code'!A:B, 2, FALSE)</f>
        <v>Festuca myuros</v>
      </c>
    </row>
    <row r="619">
      <c r="A619" s="7">
        <v>7.0</v>
      </c>
      <c r="B619" s="7">
        <v>2025.0</v>
      </c>
      <c r="C619" s="8">
        <v>45764.0</v>
      </c>
      <c r="D619" s="7" t="s">
        <v>25</v>
      </c>
      <c r="E619" s="7" t="s">
        <v>26</v>
      </c>
      <c r="F619" s="7">
        <v>1.0</v>
      </c>
      <c r="G619" s="7" t="s">
        <v>66</v>
      </c>
      <c r="H619" s="7">
        <v>1.0</v>
      </c>
      <c r="I619" s="7">
        <v>9.0</v>
      </c>
      <c r="J619" s="7">
        <v>7.0</v>
      </c>
      <c r="K619" s="7" t="s">
        <v>34</v>
      </c>
      <c r="L619" s="9" t="str">
        <f>VLOOKUP(K619, 'Alphabetical by species code'!A:B, 2, FALSE)</f>
        <v>Erodium cicutarium</v>
      </c>
    </row>
    <row r="620">
      <c r="A620" s="7">
        <v>7.0</v>
      </c>
      <c r="B620" s="7">
        <v>2025.0</v>
      </c>
      <c r="C620" s="8">
        <v>45764.0</v>
      </c>
      <c r="D620" s="7" t="s">
        <v>25</v>
      </c>
      <c r="E620" s="7" t="s">
        <v>26</v>
      </c>
      <c r="F620" s="7">
        <v>1.0</v>
      </c>
      <c r="G620" s="7" t="s">
        <v>66</v>
      </c>
      <c r="H620" s="7">
        <v>1.0</v>
      </c>
      <c r="I620" s="7">
        <v>10.0</v>
      </c>
      <c r="J620" s="7">
        <v>8.0</v>
      </c>
      <c r="K620" s="7" t="s">
        <v>28</v>
      </c>
      <c r="L620" s="9" t="str">
        <f>VLOOKUP(K620, 'Alphabetical by species code'!A:B, 2, FALSE)</f>
        <v>Litter</v>
      </c>
    </row>
    <row r="621">
      <c r="A621" s="7">
        <v>7.0</v>
      </c>
      <c r="B621" s="7">
        <v>2025.0</v>
      </c>
      <c r="C621" s="8">
        <v>45764.0</v>
      </c>
      <c r="D621" s="7" t="s">
        <v>25</v>
      </c>
      <c r="E621" s="7" t="s">
        <v>26</v>
      </c>
      <c r="F621" s="7">
        <v>1.0</v>
      </c>
      <c r="G621" s="7" t="s">
        <v>66</v>
      </c>
      <c r="H621" s="7">
        <v>1.0</v>
      </c>
      <c r="I621" s="7">
        <v>10.0</v>
      </c>
      <c r="J621" s="7">
        <v>8.0</v>
      </c>
      <c r="K621" s="7" t="s">
        <v>30</v>
      </c>
      <c r="L621" s="9" t="str">
        <f>VLOOKUP(K621, 'Alphabetical by species code'!A:B, 2, FALSE)</f>
        <v>Erodium moschatum</v>
      </c>
    </row>
    <row r="622">
      <c r="A622" s="7">
        <v>7.0</v>
      </c>
      <c r="B622" s="7">
        <v>2025.0</v>
      </c>
      <c r="C622" s="8">
        <v>45764.0</v>
      </c>
      <c r="D622" s="7" t="s">
        <v>25</v>
      </c>
      <c r="E622" s="7" t="s">
        <v>26</v>
      </c>
      <c r="F622" s="7">
        <v>1.0</v>
      </c>
      <c r="G622" s="7" t="s">
        <v>66</v>
      </c>
      <c r="H622" s="7">
        <v>1.0</v>
      </c>
      <c r="I622" s="7">
        <v>11.0</v>
      </c>
      <c r="J622" s="7">
        <v>8.5</v>
      </c>
      <c r="K622" s="7" t="s">
        <v>28</v>
      </c>
      <c r="L622" s="9" t="str">
        <f>VLOOKUP(K622, 'Alphabetical by species code'!A:B, 2, FALSE)</f>
        <v>Litter</v>
      </c>
    </row>
    <row r="623">
      <c r="A623" s="7">
        <v>7.0</v>
      </c>
      <c r="B623" s="7">
        <v>2025.0</v>
      </c>
      <c r="C623" s="8">
        <v>45764.0</v>
      </c>
      <c r="D623" s="7" t="s">
        <v>25</v>
      </c>
      <c r="E623" s="7" t="s">
        <v>26</v>
      </c>
      <c r="F623" s="7">
        <v>1.0</v>
      </c>
      <c r="G623" s="7" t="s">
        <v>66</v>
      </c>
      <c r="H623" s="7">
        <v>1.0</v>
      </c>
      <c r="I623" s="7">
        <v>11.0</v>
      </c>
      <c r="J623" s="7">
        <v>8.5</v>
      </c>
      <c r="K623" s="7" t="s">
        <v>34</v>
      </c>
      <c r="L623" s="9" t="str">
        <f>VLOOKUP(K623, 'Alphabetical by species code'!A:B, 2, FALSE)</f>
        <v>Erodium cicutarium</v>
      </c>
    </row>
    <row r="624">
      <c r="A624" s="7">
        <v>7.0</v>
      </c>
      <c r="B624" s="7">
        <v>2025.0</v>
      </c>
      <c r="C624" s="8">
        <v>45764.0</v>
      </c>
      <c r="D624" s="7" t="s">
        <v>25</v>
      </c>
      <c r="E624" s="7" t="s">
        <v>26</v>
      </c>
      <c r="F624" s="7">
        <v>1.0</v>
      </c>
      <c r="G624" s="7" t="s">
        <v>66</v>
      </c>
      <c r="H624" s="7">
        <v>1.0</v>
      </c>
      <c r="I624" s="7">
        <v>11.0</v>
      </c>
      <c r="J624" s="7">
        <v>8.5</v>
      </c>
      <c r="K624" s="7" t="s">
        <v>35</v>
      </c>
      <c r="L624" s="9" t="str">
        <f>VLOOKUP(K624, 'Alphabetical by species code'!A:B, 2, FALSE)</f>
        <v>Deinandra fasciculata</v>
      </c>
    </row>
    <row r="625">
      <c r="A625" s="7">
        <v>7.0</v>
      </c>
      <c r="B625" s="7">
        <v>2025.0</v>
      </c>
      <c r="C625" s="8">
        <v>45764.0</v>
      </c>
      <c r="D625" s="7" t="s">
        <v>25</v>
      </c>
      <c r="E625" s="7" t="s">
        <v>26</v>
      </c>
      <c r="F625" s="7">
        <v>1.0</v>
      </c>
      <c r="G625" s="7" t="s">
        <v>66</v>
      </c>
      <c r="H625" s="7">
        <v>1.0</v>
      </c>
      <c r="I625" s="7">
        <v>11.0</v>
      </c>
      <c r="J625" s="7">
        <v>8.5</v>
      </c>
      <c r="K625" s="7" t="s">
        <v>48</v>
      </c>
      <c r="L625" s="9" t="str">
        <f>VLOOKUP(K625, 'Alphabetical by species code'!A:B, 2, FALSE)</f>
        <v>Sonchus asper</v>
      </c>
    </row>
    <row r="626">
      <c r="A626" s="7">
        <v>7.0</v>
      </c>
      <c r="B626" s="7">
        <v>2025.0</v>
      </c>
      <c r="C626" s="8">
        <v>45764.0</v>
      </c>
      <c r="D626" s="7" t="s">
        <v>25</v>
      </c>
      <c r="E626" s="7" t="s">
        <v>26</v>
      </c>
      <c r="F626" s="7">
        <v>1.0</v>
      </c>
      <c r="G626" s="7" t="s">
        <v>66</v>
      </c>
      <c r="H626" s="7">
        <v>1.0</v>
      </c>
      <c r="I626" s="7">
        <v>12.0</v>
      </c>
      <c r="J626" s="7">
        <v>9.0</v>
      </c>
      <c r="K626" s="7" t="s">
        <v>28</v>
      </c>
      <c r="L626" s="9" t="str">
        <f>VLOOKUP(K626, 'Alphabetical by species code'!A:B, 2, FALSE)</f>
        <v>Litter</v>
      </c>
    </row>
    <row r="627">
      <c r="A627" s="7">
        <v>7.0</v>
      </c>
      <c r="B627" s="7">
        <v>2025.0</v>
      </c>
      <c r="C627" s="8">
        <v>45764.0</v>
      </c>
      <c r="D627" s="7" t="s">
        <v>25</v>
      </c>
      <c r="E627" s="7" t="s">
        <v>26</v>
      </c>
      <c r="F627" s="7">
        <v>1.0</v>
      </c>
      <c r="G627" s="7" t="s">
        <v>66</v>
      </c>
      <c r="H627" s="7">
        <v>1.0</v>
      </c>
      <c r="I627" s="7">
        <v>12.0</v>
      </c>
      <c r="J627" s="7">
        <v>9.0</v>
      </c>
      <c r="K627" s="7" t="s">
        <v>35</v>
      </c>
      <c r="L627" s="9" t="str">
        <f>VLOOKUP(K627, 'Alphabetical by species code'!A:B, 2, FALSE)</f>
        <v>Deinandra fasciculata</v>
      </c>
    </row>
    <row r="628">
      <c r="A628" s="7">
        <v>7.0</v>
      </c>
      <c r="B628" s="7">
        <v>2025.0</v>
      </c>
      <c r="C628" s="8">
        <v>45764.0</v>
      </c>
      <c r="D628" s="7" t="s">
        <v>25</v>
      </c>
      <c r="E628" s="7" t="s">
        <v>26</v>
      </c>
      <c r="F628" s="7">
        <v>1.0</v>
      </c>
      <c r="G628" s="7" t="s">
        <v>66</v>
      </c>
      <c r="H628" s="7">
        <v>1.0</v>
      </c>
      <c r="I628" s="7">
        <v>12.0</v>
      </c>
      <c r="J628" s="7">
        <v>9.0</v>
      </c>
      <c r="K628" s="7" t="s">
        <v>43</v>
      </c>
      <c r="L628" s="9" t="str">
        <f>VLOOKUP(K628, 'Alphabetical by species code'!A:B, 2, FALSE)</f>
        <v>Uropappus lindleyi</v>
      </c>
    </row>
    <row r="629">
      <c r="A629" s="7">
        <v>7.0</v>
      </c>
      <c r="B629" s="7">
        <v>2025.0</v>
      </c>
      <c r="C629" s="8">
        <v>45764.0</v>
      </c>
      <c r="D629" s="7" t="s">
        <v>25</v>
      </c>
      <c r="E629" s="7" t="s">
        <v>26</v>
      </c>
      <c r="F629" s="7">
        <v>1.0</v>
      </c>
      <c r="G629" s="7" t="s">
        <v>66</v>
      </c>
      <c r="H629" s="7">
        <v>1.0</v>
      </c>
      <c r="I629" s="7">
        <v>13.0</v>
      </c>
      <c r="J629" s="7">
        <v>10.0</v>
      </c>
      <c r="K629" s="7" t="s">
        <v>38</v>
      </c>
      <c r="L629" s="9" t="str">
        <f>VLOOKUP(K629, 'Alphabetical by species code'!A:B, 2, FALSE)</f>
        <v>Thatch</v>
      </c>
    </row>
    <row r="630">
      <c r="A630" s="7">
        <v>7.0</v>
      </c>
      <c r="B630" s="7">
        <v>2025.0</v>
      </c>
      <c r="C630" s="8">
        <v>45764.0</v>
      </c>
      <c r="D630" s="7" t="s">
        <v>25</v>
      </c>
      <c r="E630" s="7" t="s">
        <v>26</v>
      </c>
      <c r="F630" s="7">
        <v>1.0</v>
      </c>
      <c r="G630" s="7" t="s">
        <v>66</v>
      </c>
      <c r="H630" s="7">
        <v>1.0</v>
      </c>
      <c r="I630" s="7">
        <v>13.0</v>
      </c>
      <c r="J630" s="7">
        <v>10.0</v>
      </c>
      <c r="K630" s="7" t="s">
        <v>70</v>
      </c>
      <c r="L630" s="9" t="str">
        <f>VLOOKUP(K630, 'Alphabetical by species code'!A:B, 2, FALSE)</f>
        <v>Lupinus succulentus</v>
      </c>
    </row>
    <row r="631">
      <c r="A631" s="7">
        <v>7.0</v>
      </c>
      <c r="B631" s="7">
        <v>2025.0</v>
      </c>
      <c r="C631" s="8">
        <v>45764.0</v>
      </c>
      <c r="D631" s="7" t="s">
        <v>25</v>
      </c>
      <c r="E631" s="7" t="s">
        <v>26</v>
      </c>
      <c r="F631" s="7">
        <v>1.0</v>
      </c>
      <c r="G631" s="7" t="s">
        <v>66</v>
      </c>
      <c r="H631" s="7">
        <v>1.0</v>
      </c>
      <c r="I631" s="7">
        <v>13.0</v>
      </c>
      <c r="J631" s="7">
        <v>10.0</v>
      </c>
      <c r="K631" s="7" t="s">
        <v>35</v>
      </c>
      <c r="L631" s="9" t="str">
        <f>VLOOKUP(K631, 'Alphabetical by species code'!A:B, 2, FALSE)</f>
        <v>Deinandra fasciculata</v>
      </c>
    </row>
    <row r="632">
      <c r="A632" s="7">
        <v>7.0</v>
      </c>
      <c r="B632" s="7">
        <v>2025.0</v>
      </c>
      <c r="C632" s="8">
        <v>45764.0</v>
      </c>
      <c r="D632" s="7" t="s">
        <v>25</v>
      </c>
      <c r="E632" s="7" t="s">
        <v>26</v>
      </c>
      <c r="F632" s="7">
        <v>1.0</v>
      </c>
      <c r="G632" s="7" t="s">
        <v>66</v>
      </c>
      <c r="H632" s="7">
        <v>1.0</v>
      </c>
      <c r="I632" s="7">
        <v>14.0</v>
      </c>
      <c r="J632" s="7">
        <v>11.0</v>
      </c>
      <c r="K632" s="7" t="s">
        <v>28</v>
      </c>
      <c r="L632" s="9" t="str">
        <f>VLOOKUP(K632, 'Alphabetical by species code'!A:B, 2, FALSE)</f>
        <v>Litter</v>
      </c>
    </row>
    <row r="633">
      <c r="A633" s="7">
        <v>7.0</v>
      </c>
      <c r="B633" s="7">
        <v>2025.0</v>
      </c>
      <c r="C633" s="8">
        <v>45764.0</v>
      </c>
      <c r="D633" s="7" t="s">
        <v>25</v>
      </c>
      <c r="E633" s="7" t="s">
        <v>26</v>
      </c>
      <c r="F633" s="7">
        <v>1.0</v>
      </c>
      <c r="G633" s="7" t="s">
        <v>66</v>
      </c>
      <c r="H633" s="7">
        <v>1.0</v>
      </c>
      <c r="I633" s="7">
        <v>14.0</v>
      </c>
      <c r="J633" s="7">
        <v>11.0</v>
      </c>
      <c r="K633" s="7" t="s">
        <v>30</v>
      </c>
      <c r="L633" s="9" t="str">
        <f>VLOOKUP(K633, 'Alphabetical by species code'!A:B, 2, FALSE)</f>
        <v>Erodium moschatum</v>
      </c>
    </row>
    <row r="634">
      <c r="A634" s="7">
        <v>7.0</v>
      </c>
      <c r="B634" s="7">
        <v>2025.0</v>
      </c>
      <c r="C634" s="8">
        <v>45764.0</v>
      </c>
      <c r="D634" s="7" t="s">
        <v>25</v>
      </c>
      <c r="E634" s="7" t="s">
        <v>26</v>
      </c>
      <c r="F634" s="7">
        <v>1.0</v>
      </c>
      <c r="G634" s="7" t="s">
        <v>66</v>
      </c>
      <c r="H634" s="7">
        <v>1.0</v>
      </c>
      <c r="I634" s="7">
        <v>15.0</v>
      </c>
      <c r="J634" s="7">
        <v>12.0</v>
      </c>
      <c r="K634" s="7" t="s">
        <v>28</v>
      </c>
      <c r="L634" s="9" t="str">
        <f>VLOOKUP(K634, 'Alphabetical by species code'!A:B, 2, FALSE)</f>
        <v>Litter</v>
      </c>
    </row>
    <row r="635">
      <c r="A635" s="7">
        <v>7.0</v>
      </c>
      <c r="B635" s="7">
        <v>2025.0</v>
      </c>
      <c r="C635" s="8">
        <v>45764.0</v>
      </c>
      <c r="D635" s="7" t="s">
        <v>25</v>
      </c>
      <c r="E635" s="7" t="s">
        <v>26</v>
      </c>
      <c r="F635" s="7">
        <v>1.0</v>
      </c>
      <c r="G635" s="7" t="s">
        <v>66</v>
      </c>
      <c r="H635" s="7">
        <v>1.0</v>
      </c>
      <c r="I635" s="7">
        <v>15.0</v>
      </c>
      <c r="J635" s="7">
        <v>12.0</v>
      </c>
      <c r="K635" s="7" t="s">
        <v>40</v>
      </c>
      <c r="L635" s="9" t="str">
        <f>VLOOKUP(K635, 'Alphabetical by species code'!A:B, 2, FALSE)</f>
        <v>Cylindropuntia prolifera</v>
      </c>
    </row>
    <row r="636">
      <c r="A636" s="7">
        <v>7.0</v>
      </c>
      <c r="B636" s="7">
        <v>2025.0</v>
      </c>
      <c r="C636" s="8">
        <v>45764.0</v>
      </c>
      <c r="D636" s="7" t="s">
        <v>25</v>
      </c>
      <c r="E636" s="7" t="s">
        <v>26</v>
      </c>
      <c r="F636" s="7">
        <v>1.0</v>
      </c>
      <c r="G636" s="7" t="s">
        <v>66</v>
      </c>
      <c r="H636" s="7">
        <v>2.0</v>
      </c>
      <c r="I636" s="7">
        <v>1.0</v>
      </c>
      <c r="J636" s="7">
        <v>0.0</v>
      </c>
      <c r="K636" s="7" t="s">
        <v>51</v>
      </c>
      <c r="L636" s="9" t="str">
        <f>VLOOKUP(K636, 'Alphabetical by species code'!A:B, 2, FALSE)</f>
        <v>Bareground</v>
      </c>
    </row>
    <row r="637">
      <c r="A637" s="7">
        <v>7.0</v>
      </c>
      <c r="B637" s="7">
        <v>2025.0</v>
      </c>
      <c r="C637" s="8">
        <v>45764.0</v>
      </c>
      <c r="D637" s="7" t="s">
        <v>25</v>
      </c>
      <c r="E637" s="7" t="s">
        <v>26</v>
      </c>
      <c r="F637" s="7">
        <v>1.0</v>
      </c>
      <c r="G637" s="7" t="s">
        <v>66</v>
      </c>
      <c r="H637" s="7">
        <v>2.0</v>
      </c>
      <c r="I637" s="7">
        <v>1.0</v>
      </c>
      <c r="J637" s="7">
        <v>0.0</v>
      </c>
      <c r="K637" s="7" t="s">
        <v>34</v>
      </c>
      <c r="L637" s="9" t="str">
        <f>VLOOKUP(K637, 'Alphabetical by species code'!A:B, 2, FALSE)</f>
        <v>Erodium cicutarium</v>
      </c>
    </row>
    <row r="638">
      <c r="A638" s="7">
        <v>7.0</v>
      </c>
      <c r="B638" s="7">
        <v>2025.0</v>
      </c>
      <c r="C638" s="8">
        <v>45764.0</v>
      </c>
      <c r="D638" s="7" t="s">
        <v>25</v>
      </c>
      <c r="E638" s="7" t="s">
        <v>26</v>
      </c>
      <c r="F638" s="7">
        <v>1.0</v>
      </c>
      <c r="G638" s="7" t="s">
        <v>66</v>
      </c>
      <c r="H638" s="7">
        <v>2.0</v>
      </c>
      <c r="I638" s="7">
        <v>2.0</v>
      </c>
      <c r="J638" s="7">
        <v>1.0</v>
      </c>
      <c r="K638" s="7" t="s">
        <v>28</v>
      </c>
      <c r="L638" s="9" t="str">
        <f>VLOOKUP(K638, 'Alphabetical by species code'!A:B, 2, FALSE)</f>
        <v>Litter</v>
      </c>
    </row>
    <row r="639">
      <c r="A639" s="7">
        <v>7.0</v>
      </c>
      <c r="B639" s="7">
        <v>2025.0</v>
      </c>
      <c r="C639" s="8">
        <v>45764.0</v>
      </c>
      <c r="D639" s="7" t="s">
        <v>25</v>
      </c>
      <c r="E639" s="7" t="s">
        <v>26</v>
      </c>
      <c r="F639" s="7">
        <v>1.0</v>
      </c>
      <c r="G639" s="7" t="s">
        <v>66</v>
      </c>
      <c r="H639" s="7">
        <v>2.0</v>
      </c>
      <c r="I639" s="7">
        <v>2.0</v>
      </c>
      <c r="J639" s="7">
        <v>1.0</v>
      </c>
      <c r="K639" s="7" t="s">
        <v>30</v>
      </c>
      <c r="L639" s="9" t="str">
        <f>VLOOKUP(K639, 'Alphabetical by species code'!A:B, 2, FALSE)</f>
        <v>Erodium moschatum</v>
      </c>
    </row>
    <row r="640">
      <c r="A640" s="7">
        <v>7.0</v>
      </c>
      <c r="B640" s="7">
        <v>2025.0</v>
      </c>
      <c r="C640" s="8">
        <v>45764.0</v>
      </c>
      <c r="D640" s="7" t="s">
        <v>25</v>
      </c>
      <c r="E640" s="7" t="s">
        <v>26</v>
      </c>
      <c r="F640" s="7">
        <v>1.0</v>
      </c>
      <c r="G640" s="7" t="s">
        <v>66</v>
      </c>
      <c r="H640" s="7">
        <v>2.0</v>
      </c>
      <c r="I640" s="7">
        <v>2.0</v>
      </c>
      <c r="J640" s="7">
        <v>1.0</v>
      </c>
      <c r="K640" s="7" t="s">
        <v>33</v>
      </c>
      <c r="L640" s="9" t="str">
        <f>VLOOKUP(K640, 'Alphabetical by species code'!A:B, 2, FALSE)</f>
        <v>Unknown non-native grass</v>
      </c>
    </row>
    <row r="641">
      <c r="A641" s="7">
        <v>7.0</v>
      </c>
      <c r="B641" s="7">
        <v>2025.0</v>
      </c>
      <c r="C641" s="8">
        <v>45764.0</v>
      </c>
      <c r="D641" s="7" t="s">
        <v>25</v>
      </c>
      <c r="E641" s="7" t="s">
        <v>26</v>
      </c>
      <c r="F641" s="7">
        <v>1.0</v>
      </c>
      <c r="G641" s="7" t="s">
        <v>66</v>
      </c>
      <c r="H641" s="7">
        <v>2.0</v>
      </c>
      <c r="I641" s="7">
        <v>3.0</v>
      </c>
      <c r="J641" s="7">
        <v>1.5</v>
      </c>
      <c r="K641" s="7" t="s">
        <v>51</v>
      </c>
      <c r="L641" s="9" t="str">
        <f>VLOOKUP(K641, 'Alphabetical by species code'!A:B, 2, FALSE)</f>
        <v>Bareground</v>
      </c>
    </row>
    <row r="642">
      <c r="A642" s="7">
        <v>7.0</v>
      </c>
      <c r="B642" s="7">
        <v>2025.0</v>
      </c>
      <c r="C642" s="8">
        <v>45764.0</v>
      </c>
      <c r="D642" s="7" t="s">
        <v>25</v>
      </c>
      <c r="E642" s="7" t="s">
        <v>26</v>
      </c>
      <c r="F642" s="7">
        <v>1.0</v>
      </c>
      <c r="G642" s="7" t="s">
        <v>66</v>
      </c>
      <c r="H642" s="7">
        <v>2.0</v>
      </c>
      <c r="I642" s="7">
        <v>3.0</v>
      </c>
      <c r="J642" s="7">
        <v>1.5</v>
      </c>
      <c r="K642" s="7" t="s">
        <v>35</v>
      </c>
      <c r="L642" s="9" t="str">
        <f>VLOOKUP(K642, 'Alphabetical by species code'!A:B, 2, FALSE)</f>
        <v>Deinandra fasciculata</v>
      </c>
    </row>
    <row r="643">
      <c r="A643" s="7">
        <v>7.0</v>
      </c>
      <c r="B643" s="7">
        <v>2025.0</v>
      </c>
      <c r="C643" s="8">
        <v>45764.0</v>
      </c>
      <c r="D643" s="7" t="s">
        <v>25</v>
      </c>
      <c r="E643" s="7" t="s">
        <v>26</v>
      </c>
      <c r="F643" s="7">
        <v>1.0</v>
      </c>
      <c r="G643" s="7" t="s">
        <v>66</v>
      </c>
      <c r="H643" s="7">
        <v>2.0</v>
      </c>
      <c r="I643" s="7">
        <v>4.0</v>
      </c>
      <c r="J643" s="7">
        <v>2.0</v>
      </c>
      <c r="K643" s="7" t="s">
        <v>28</v>
      </c>
      <c r="L643" s="9" t="str">
        <f>VLOOKUP(K643, 'Alphabetical by species code'!A:B, 2, FALSE)</f>
        <v>Litter</v>
      </c>
    </row>
    <row r="644">
      <c r="A644" s="7">
        <v>7.0</v>
      </c>
      <c r="B644" s="7">
        <v>2025.0</v>
      </c>
      <c r="C644" s="8">
        <v>45764.0</v>
      </c>
      <c r="D644" s="7" t="s">
        <v>25</v>
      </c>
      <c r="E644" s="7" t="s">
        <v>26</v>
      </c>
      <c r="F644" s="7">
        <v>1.0</v>
      </c>
      <c r="G644" s="7" t="s">
        <v>66</v>
      </c>
      <c r="H644" s="7">
        <v>2.0</v>
      </c>
      <c r="I644" s="7">
        <v>4.0</v>
      </c>
      <c r="J644" s="7">
        <v>2.0</v>
      </c>
      <c r="K644" s="7" t="s">
        <v>31</v>
      </c>
      <c r="L644" s="9" t="str">
        <f>VLOOKUP(K644, 'Alphabetical by species code'!A:B, 2, FALSE)</f>
        <v>Festuca myuros</v>
      </c>
    </row>
    <row r="645">
      <c r="A645" s="7">
        <v>7.0</v>
      </c>
      <c r="B645" s="7">
        <v>2025.0</v>
      </c>
      <c r="C645" s="8">
        <v>45764.0</v>
      </c>
      <c r="D645" s="7" t="s">
        <v>25</v>
      </c>
      <c r="E645" s="7" t="s">
        <v>26</v>
      </c>
      <c r="F645" s="7">
        <v>1.0</v>
      </c>
      <c r="G645" s="7" t="s">
        <v>66</v>
      </c>
      <c r="H645" s="7">
        <v>2.0</v>
      </c>
      <c r="I645" s="7">
        <v>5.0</v>
      </c>
      <c r="J645" s="7">
        <v>3.0</v>
      </c>
      <c r="K645" s="7" t="s">
        <v>28</v>
      </c>
      <c r="L645" s="9" t="str">
        <f>VLOOKUP(K645, 'Alphabetical by species code'!A:B, 2, FALSE)</f>
        <v>Litter</v>
      </c>
    </row>
    <row r="646">
      <c r="A646" s="7">
        <v>7.0</v>
      </c>
      <c r="B646" s="7">
        <v>2025.0</v>
      </c>
      <c r="C646" s="8">
        <v>45764.0</v>
      </c>
      <c r="D646" s="7" t="s">
        <v>25</v>
      </c>
      <c r="E646" s="7" t="s">
        <v>26</v>
      </c>
      <c r="F646" s="7">
        <v>1.0</v>
      </c>
      <c r="G646" s="7" t="s">
        <v>66</v>
      </c>
      <c r="H646" s="7">
        <v>2.0</v>
      </c>
      <c r="I646" s="7">
        <v>5.0</v>
      </c>
      <c r="J646" s="7">
        <v>3.0</v>
      </c>
      <c r="K646" s="7" t="s">
        <v>30</v>
      </c>
      <c r="L646" s="9" t="str">
        <f>VLOOKUP(K646, 'Alphabetical by species code'!A:B, 2, FALSE)</f>
        <v>Erodium moschatum</v>
      </c>
    </row>
    <row r="647">
      <c r="A647" s="7">
        <v>7.0</v>
      </c>
      <c r="B647" s="7">
        <v>2025.0</v>
      </c>
      <c r="C647" s="8">
        <v>45764.0</v>
      </c>
      <c r="D647" s="7" t="s">
        <v>25</v>
      </c>
      <c r="E647" s="7" t="s">
        <v>26</v>
      </c>
      <c r="F647" s="7">
        <v>1.0</v>
      </c>
      <c r="G647" s="7" t="s">
        <v>66</v>
      </c>
      <c r="H647" s="7">
        <v>2.0</v>
      </c>
      <c r="I647" s="7">
        <v>6.0</v>
      </c>
      <c r="J647" s="7">
        <v>3.5</v>
      </c>
      <c r="K647" s="7" t="s">
        <v>28</v>
      </c>
      <c r="L647" s="9" t="str">
        <f>VLOOKUP(K647, 'Alphabetical by species code'!A:B, 2, FALSE)</f>
        <v>Litter</v>
      </c>
    </row>
    <row r="648">
      <c r="A648" s="7">
        <v>7.0</v>
      </c>
      <c r="B648" s="7">
        <v>2025.0</v>
      </c>
      <c r="C648" s="8">
        <v>45764.0</v>
      </c>
      <c r="D648" s="7" t="s">
        <v>25</v>
      </c>
      <c r="E648" s="7" t="s">
        <v>26</v>
      </c>
      <c r="F648" s="7">
        <v>1.0</v>
      </c>
      <c r="G648" s="7" t="s">
        <v>66</v>
      </c>
      <c r="H648" s="7">
        <v>2.0</v>
      </c>
      <c r="I648" s="7">
        <v>6.0</v>
      </c>
      <c r="J648" s="7">
        <v>3.5</v>
      </c>
      <c r="K648" s="7" t="s">
        <v>35</v>
      </c>
      <c r="L648" s="9" t="str">
        <f>VLOOKUP(K648, 'Alphabetical by species code'!A:B, 2, FALSE)</f>
        <v>Deinandra fasciculata</v>
      </c>
    </row>
    <row r="649">
      <c r="A649" s="7">
        <v>7.0</v>
      </c>
      <c r="B649" s="7">
        <v>2025.0</v>
      </c>
      <c r="C649" s="8">
        <v>45764.0</v>
      </c>
      <c r="D649" s="7" t="s">
        <v>25</v>
      </c>
      <c r="E649" s="7" t="s">
        <v>26</v>
      </c>
      <c r="F649" s="7">
        <v>1.0</v>
      </c>
      <c r="G649" s="7" t="s">
        <v>66</v>
      </c>
      <c r="H649" s="7">
        <v>2.0</v>
      </c>
      <c r="I649" s="7">
        <v>7.0</v>
      </c>
      <c r="J649" s="7">
        <v>4.0</v>
      </c>
      <c r="K649" s="7" t="s">
        <v>28</v>
      </c>
      <c r="L649" s="9" t="str">
        <f>VLOOKUP(K649, 'Alphabetical by species code'!A:B, 2, FALSE)</f>
        <v>Litter</v>
      </c>
    </row>
    <row r="650">
      <c r="A650" s="7">
        <v>7.0</v>
      </c>
      <c r="B650" s="7">
        <v>2025.0</v>
      </c>
      <c r="C650" s="8">
        <v>45764.0</v>
      </c>
      <c r="D650" s="7" t="s">
        <v>25</v>
      </c>
      <c r="E650" s="7" t="s">
        <v>26</v>
      </c>
      <c r="F650" s="7">
        <v>1.0</v>
      </c>
      <c r="G650" s="7" t="s">
        <v>66</v>
      </c>
      <c r="H650" s="7">
        <v>2.0</v>
      </c>
      <c r="I650" s="7">
        <v>7.0</v>
      </c>
      <c r="J650" s="7">
        <v>4.0</v>
      </c>
      <c r="K650" s="7" t="s">
        <v>30</v>
      </c>
      <c r="L650" s="9" t="str">
        <f>VLOOKUP(K650, 'Alphabetical by species code'!A:B, 2, FALSE)</f>
        <v>Erodium moschatum</v>
      </c>
    </row>
    <row r="651">
      <c r="A651" s="7">
        <v>7.0</v>
      </c>
      <c r="B651" s="7">
        <v>2025.0</v>
      </c>
      <c r="C651" s="8">
        <v>45764.0</v>
      </c>
      <c r="D651" s="7" t="s">
        <v>25</v>
      </c>
      <c r="E651" s="7" t="s">
        <v>26</v>
      </c>
      <c r="F651" s="7">
        <v>1.0</v>
      </c>
      <c r="G651" s="7" t="s">
        <v>66</v>
      </c>
      <c r="H651" s="7">
        <v>2.0</v>
      </c>
      <c r="I651" s="7">
        <v>8.0</v>
      </c>
      <c r="J651" s="7">
        <v>5.0</v>
      </c>
      <c r="K651" s="7" t="s">
        <v>28</v>
      </c>
      <c r="L651" s="9" t="str">
        <f>VLOOKUP(K651, 'Alphabetical by species code'!A:B, 2, FALSE)</f>
        <v>Litter</v>
      </c>
    </row>
    <row r="652">
      <c r="A652" s="7">
        <v>7.0</v>
      </c>
      <c r="B652" s="7">
        <v>2025.0</v>
      </c>
      <c r="C652" s="8">
        <v>45764.0</v>
      </c>
      <c r="D652" s="7" t="s">
        <v>25</v>
      </c>
      <c r="E652" s="7" t="s">
        <v>26</v>
      </c>
      <c r="F652" s="7">
        <v>1.0</v>
      </c>
      <c r="G652" s="7" t="s">
        <v>66</v>
      </c>
      <c r="H652" s="7">
        <v>2.0</v>
      </c>
      <c r="I652" s="7">
        <v>8.0</v>
      </c>
      <c r="J652" s="7">
        <v>5.0</v>
      </c>
      <c r="K652" s="7" t="s">
        <v>30</v>
      </c>
      <c r="L652" s="9" t="str">
        <f>VLOOKUP(K652, 'Alphabetical by species code'!A:B, 2, FALSE)</f>
        <v>Erodium moschatum</v>
      </c>
    </row>
    <row r="653">
      <c r="A653" s="7">
        <v>7.0</v>
      </c>
      <c r="B653" s="7">
        <v>2025.0</v>
      </c>
      <c r="C653" s="8">
        <v>45764.0</v>
      </c>
      <c r="D653" s="7" t="s">
        <v>25</v>
      </c>
      <c r="E653" s="7" t="s">
        <v>26</v>
      </c>
      <c r="F653" s="7">
        <v>1.0</v>
      </c>
      <c r="G653" s="7" t="s">
        <v>66</v>
      </c>
      <c r="H653" s="7">
        <v>2.0</v>
      </c>
      <c r="I653" s="7">
        <v>8.0</v>
      </c>
      <c r="J653" s="7">
        <v>5.0</v>
      </c>
      <c r="K653" s="7" t="s">
        <v>37</v>
      </c>
      <c r="L653" s="9" t="str">
        <f>VLOOKUP(K653, 'Alphabetical by species code'!A:B, 2, FALSE)</f>
        <v>Sonchus oleraceus</v>
      </c>
    </row>
    <row r="654">
      <c r="A654" s="7">
        <v>7.0</v>
      </c>
      <c r="B654" s="7">
        <v>2025.0</v>
      </c>
      <c r="C654" s="8">
        <v>45764.0</v>
      </c>
      <c r="D654" s="7" t="s">
        <v>25</v>
      </c>
      <c r="E654" s="7" t="s">
        <v>26</v>
      </c>
      <c r="F654" s="7">
        <v>1.0</v>
      </c>
      <c r="G654" s="7" t="s">
        <v>66</v>
      </c>
      <c r="H654" s="7">
        <v>2.0</v>
      </c>
      <c r="I654" s="7">
        <v>9.0</v>
      </c>
      <c r="J654" s="7">
        <v>7.0</v>
      </c>
      <c r="K654" s="7" t="s">
        <v>28</v>
      </c>
      <c r="L654" s="9" t="str">
        <f>VLOOKUP(K654, 'Alphabetical by species code'!A:B, 2, FALSE)</f>
        <v>Litter</v>
      </c>
    </row>
    <row r="655">
      <c r="A655" s="7">
        <v>7.0</v>
      </c>
      <c r="B655" s="7">
        <v>2025.0</v>
      </c>
      <c r="C655" s="8">
        <v>45764.0</v>
      </c>
      <c r="D655" s="7" t="s">
        <v>25</v>
      </c>
      <c r="E655" s="7" t="s">
        <v>26</v>
      </c>
      <c r="F655" s="7">
        <v>1.0</v>
      </c>
      <c r="G655" s="7" t="s">
        <v>66</v>
      </c>
      <c r="H655" s="7">
        <v>2.0</v>
      </c>
      <c r="I655" s="7">
        <v>9.0</v>
      </c>
      <c r="J655" s="7">
        <v>7.0</v>
      </c>
      <c r="K655" s="7" t="s">
        <v>42</v>
      </c>
      <c r="L655" s="9" t="str">
        <f>VLOOKUP(K655, 'Alphabetical by species code'!A:B, 2, FALSE)</f>
        <v>Centaurea melitensis</v>
      </c>
    </row>
    <row r="656">
      <c r="A656" s="7">
        <v>7.0</v>
      </c>
      <c r="B656" s="7">
        <v>2025.0</v>
      </c>
      <c r="C656" s="8">
        <v>45764.0</v>
      </c>
      <c r="D656" s="7" t="s">
        <v>25</v>
      </c>
      <c r="E656" s="7" t="s">
        <v>26</v>
      </c>
      <c r="F656" s="7">
        <v>1.0</v>
      </c>
      <c r="G656" s="7" t="s">
        <v>66</v>
      </c>
      <c r="H656" s="7">
        <v>2.0</v>
      </c>
      <c r="I656" s="7">
        <v>9.0</v>
      </c>
      <c r="J656" s="7">
        <v>7.0</v>
      </c>
      <c r="K656" s="7" t="s">
        <v>43</v>
      </c>
      <c r="L656" s="9" t="str">
        <f>VLOOKUP(K656, 'Alphabetical by species code'!A:B, 2, FALSE)</f>
        <v>Uropappus lindleyi</v>
      </c>
    </row>
    <row r="657">
      <c r="A657" s="7">
        <v>7.0</v>
      </c>
      <c r="B657" s="7">
        <v>2025.0</v>
      </c>
      <c r="C657" s="8">
        <v>45764.0</v>
      </c>
      <c r="D657" s="7" t="s">
        <v>25</v>
      </c>
      <c r="E657" s="7" t="s">
        <v>26</v>
      </c>
      <c r="F657" s="7">
        <v>1.0</v>
      </c>
      <c r="G657" s="7" t="s">
        <v>66</v>
      </c>
      <c r="H657" s="7">
        <v>2.0</v>
      </c>
      <c r="I657" s="7">
        <v>9.0</v>
      </c>
      <c r="J657" s="7">
        <v>7.0</v>
      </c>
      <c r="K657" s="7" t="s">
        <v>30</v>
      </c>
      <c r="L657" s="9" t="str">
        <f>VLOOKUP(K657, 'Alphabetical by species code'!A:B, 2, FALSE)</f>
        <v>Erodium moschatum</v>
      </c>
    </row>
    <row r="658">
      <c r="A658" s="7">
        <v>7.0</v>
      </c>
      <c r="B658" s="7">
        <v>2025.0</v>
      </c>
      <c r="C658" s="8">
        <v>45764.0</v>
      </c>
      <c r="D658" s="7" t="s">
        <v>25</v>
      </c>
      <c r="E658" s="7" t="s">
        <v>26</v>
      </c>
      <c r="F658" s="7">
        <v>1.0</v>
      </c>
      <c r="G658" s="7" t="s">
        <v>66</v>
      </c>
      <c r="H658" s="7">
        <v>2.0</v>
      </c>
      <c r="I658" s="7">
        <v>10.0</v>
      </c>
      <c r="J658" s="7">
        <v>8.0</v>
      </c>
      <c r="K658" s="7" t="s">
        <v>28</v>
      </c>
      <c r="L658" s="9" t="str">
        <f>VLOOKUP(K658, 'Alphabetical by species code'!A:B, 2, FALSE)</f>
        <v>Litter</v>
      </c>
    </row>
    <row r="659">
      <c r="A659" s="7">
        <v>7.0</v>
      </c>
      <c r="B659" s="7">
        <v>2025.0</v>
      </c>
      <c r="C659" s="8">
        <v>45764.0</v>
      </c>
      <c r="D659" s="7" t="s">
        <v>25</v>
      </c>
      <c r="E659" s="7" t="s">
        <v>26</v>
      </c>
      <c r="F659" s="7">
        <v>1.0</v>
      </c>
      <c r="G659" s="7" t="s">
        <v>66</v>
      </c>
      <c r="H659" s="7">
        <v>2.0</v>
      </c>
      <c r="I659" s="7">
        <v>10.0</v>
      </c>
      <c r="J659" s="7">
        <v>8.0</v>
      </c>
      <c r="K659" s="7" t="s">
        <v>30</v>
      </c>
      <c r="L659" s="9" t="str">
        <f>VLOOKUP(K659, 'Alphabetical by species code'!A:B, 2, FALSE)</f>
        <v>Erodium moschatum</v>
      </c>
    </row>
    <row r="660">
      <c r="A660" s="7">
        <v>7.0</v>
      </c>
      <c r="B660" s="7">
        <v>2025.0</v>
      </c>
      <c r="C660" s="8">
        <v>45764.0</v>
      </c>
      <c r="D660" s="7" t="s">
        <v>25</v>
      </c>
      <c r="E660" s="7" t="s">
        <v>26</v>
      </c>
      <c r="F660" s="7">
        <v>1.0</v>
      </c>
      <c r="G660" s="7" t="s">
        <v>66</v>
      </c>
      <c r="H660" s="7">
        <v>2.0</v>
      </c>
      <c r="I660" s="7">
        <v>10.0</v>
      </c>
      <c r="J660" s="7">
        <v>8.0</v>
      </c>
      <c r="K660" s="7" t="s">
        <v>39</v>
      </c>
      <c r="L660" s="9" t="str">
        <f>VLOOKUP(K660, 'Alphabetical by species code'!A:B, 2, FALSE)</f>
        <v>Stephanomeria diegensis</v>
      </c>
    </row>
    <row r="661">
      <c r="A661" s="7">
        <v>7.0</v>
      </c>
      <c r="B661" s="7">
        <v>2025.0</v>
      </c>
      <c r="C661" s="8">
        <v>45764.0</v>
      </c>
      <c r="D661" s="7" t="s">
        <v>25</v>
      </c>
      <c r="E661" s="7" t="s">
        <v>26</v>
      </c>
      <c r="F661" s="7">
        <v>1.0</v>
      </c>
      <c r="G661" s="7" t="s">
        <v>66</v>
      </c>
      <c r="H661" s="7">
        <v>2.0</v>
      </c>
      <c r="I661" s="7">
        <v>11.0</v>
      </c>
      <c r="J661" s="7">
        <v>8.5</v>
      </c>
      <c r="K661" s="7" t="s">
        <v>28</v>
      </c>
      <c r="L661" s="9" t="str">
        <f>VLOOKUP(K661, 'Alphabetical by species code'!A:B, 2, FALSE)</f>
        <v>Litter</v>
      </c>
    </row>
    <row r="662">
      <c r="A662" s="7">
        <v>7.0</v>
      </c>
      <c r="B662" s="7">
        <v>2025.0</v>
      </c>
      <c r="C662" s="8">
        <v>45764.0</v>
      </c>
      <c r="D662" s="7" t="s">
        <v>25</v>
      </c>
      <c r="E662" s="7" t="s">
        <v>26</v>
      </c>
      <c r="F662" s="7">
        <v>1.0</v>
      </c>
      <c r="G662" s="7" t="s">
        <v>66</v>
      </c>
      <c r="H662" s="7">
        <v>2.0</v>
      </c>
      <c r="I662" s="7">
        <v>11.0</v>
      </c>
      <c r="J662" s="7">
        <v>8.5</v>
      </c>
      <c r="K662" s="7" t="s">
        <v>42</v>
      </c>
      <c r="L662" s="9" t="str">
        <f>VLOOKUP(K662, 'Alphabetical by species code'!A:B, 2, FALSE)</f>
        <v>Centaurea melitensis</v>
      </c>
    </row>
    <row r="663">
      <c r="A663" s="7">
        <v>7.0</v>
      </c>
      <c r="B663" s="7">
        <v>2025.0</v>
      </c>
      <c r="C663" s="8">
        <v>45764.0</v>
      </c>
      <c r="D663" s="7" t="s">
        <v>25</v>
      </c>
      <c r="E663" s="7" t="s">
        <v>26</v>
      </c>
      <c r="F663" s="7">
        <v>1.0</v>
      </c>
      <c r="G663" s="7" t="s">
        <v>66</v>
      </c>
      <c r="H663" s="7">
        <v>2.0</v>
      </c>
      <c r="I663" s="7">
        <v>11.0</v>
      </c>
      <c r="J663" s="7">
        <v>8.5</v>
      </c>
      <c r="K663" s="7" t="s">
        <v>36</v>
      </c>
      <c r="L663" s="9" t="str">
        <f>VLOOKUP(K663, 'Alphabetical by species code'!A:B, 2, FALSE)</f>
        <v>Bromus madritensis</v>
      </c>
    </row>
    <row r="664">
      <c r="A664" s="7">
        <v>7.0</v>
      </c>
      <c r="B664" s="7">
        <v>2025.0</v>
      </c>
      <c r="C664" s="8">
        <v>45764.0</v>
      </c>
      <c r="D664" s="7" t="s">
        <v>25</v>
      </c>
      <c r="E664" s="7" t="s">
        <v>26</v>
      </c>
      <c r="F664" s="7">
        <v>1.0</v>
      </c>
      <c r="G664" s="7" t="s">
        <v>66</v>
      </c>
      <c r="H664" s="7">
        <v>2.0</v>
      </c>
      <c r="I664" s="7">
        <v>12.0</v>
      </c>
      <c r="J664" s="7">
        <v>9.0</v>
      </c>
      <c r="K664" s="7" t="s">
        <v>28</v>
      </c>
      <c r="L664" s="9" t="str">
        <f>VLOOKUP(K664, 'Alphabetical by species code'!A:B, 2, FALSE)</f>
        <v>Litter</v>
      </c>
    </row>
    <row r="665">
      <c r="A665" s="7">
        <v>7.0</v>
      </c>
      <c r="B665" s="7">
        <v>2025.0</v>
      </c>
      <c r="C665" s="8">
        <v>45764.0</v>
      </c>
      <c r="D665" s="7" t="s">
        <v>25</v>
      </c>
      <c r="E665" s="7" t="s">
        <v>26</v>
      </c>
      <c r="F665" s="7">
        <v>1.0</v>
      </c>
      <c r="G665" s="7" t="s">
        <v>66</v>
      </c>
      <c r="H665" s="7">
        <v>2.0</v>
      </c>
      <c r="I665" s="7">
        <v>12.0</v>
      </c>
      <c r="J665" s="7">
        <v>9.0</v>
      </c>
      <c r="K665" s="7" t="s">
        <v>35</v>
      </c>
      <c r="L665" s="9" t="str">
        <f>VLOOKUP(K665, 'Alphabetical by species code'!A:B, 2, FALSE)</f>
        <v>Deinandra fasciculata</v>
      </c>
    </row>
    <row r="666">
      <c r="A666" s="7">
        <v>7.0</v>
      </c>
      <c r="B666" s="7">
        <v>2025.0</v>
      </c>
      <c r="C666" s="8">
        <v>45764.0</v>
      </c>
      <c r="D666" s="7" t="s">
        <v>25</v>
      </c>
      <c r="E666" s="7" t="s">
        <v>26</v>
      </c>
      <c r="F666" s="7">
        <v>1.0</v>
      </c>
      <c r="G666" s="7" t="s">
        <v>66</v>
      </c>
      <c r="H666" s="7">
        <v>2.0</v>
      </c>
      <c r="I666" s="7">
        <v>12.0</v>
      </c>
      <c r="J666" s="7">
        <v>9.0</v>
      </c>
      <c r="K666" s="7" t="s">
        <v>32</v>
      </c>
      <c r="L666" s="9" t="str">
        <f>VLOOKUP(K666, 'Alphabetical by species code'!A:B, 2, FALSE)</f>
        <v>Medicago polymorpha</v>
      </c>
    </row>
    <row r="667">
      <c r="A667" s="7">
        <v>7.0</v>
      </c>
      <c r="B667" s="7">
        <v>2025.0</v>
      </c>
      <c r="C667" s="8">
        <v>45764.0</v>
      </c>
      <c r="D667" s="7" t="s">
        <v>25</v>
      </c>
      <c r="E667" s="7" t="s">
        <v>26</v>
      </c>
      <c r="F667" s="7">
        <v>1.0</v>
      </c>
      <c r="G667" s="7" t="s">
        <v>66</v>
      </c>
      <c r="H667" s="7">
        <v>2.0</v>
      </c>
      <c r="I667" s="7">
        <v>13.0</v>
      </c>
      <c r="J667" s="7">
        <v>10.0</v>
      </c>
      <c r="K667" s="7" t="s">
        <v>28</v>
      </c>
      <c r="L667" s="9" t="str">
        <f>VLOOKUP(K667, 'Alphabetical by species code'!A:B, 2, FALSE)</f>
        <v>Litter</v>
      </c>
    </row>
    <row r="668">
      <c r="A668" s="7">
        <v>7.0</v>
      </c>
      <c r="B668" s="7">
        <v>2025.0</v>
      </c>
      <c r="C668" s="8">
        <v>45764.0</v>
      </c>
      <c r="D668" s="7" t="s">
        <v>25</v>
      </c>
      <c r="E668" s="7" t="s">
        <v>26</v>
      </c>
      <c r="F668" s="7">
        <v>1.0</v>
      </c>
      <c r="G668" s="7" t="s">
        <v>66</v>
      </c>
      <c r="H668" s="7">
        <v>2.0</v>
      </c>
      <c r="I668" s="7">
        <v>14.0</v>
      </c>
      <c r="J668" s="7">
        <v>11.0</v>
      </c>
      <c r="K668" s="7" t="s">
        <v>28</v>
      </c>
      <c r="L668" s="9" t="str">
        <f>VLOOKUP(K668, 'Alphabetical by species code'!A:B, 2, FALSE)</f>
        <v>Litter</v>
      </c>
    </row>
    <row r="669">
      <c r="A669" s="7">
        <v>7.0</v>
      </c>
      <c r="B669" s="7">
        <v>2025.0</v>
      </c>
      <c r="C669" s="8">
        <v>45764.0</v>
      </c>
      <c r="D669" s="7" t="s">
        <v>25</v>
      </c>
      <c r="E669" s="7" t="s">
        <v>26</v>
      </c>
      <c r="F669" s="7">
        <v>1.0</v>
      </c>
      <c r="G669" s="7" t="s">
        <v>66</v>
      </c>
      <c r="H669" s="7">
        <v>2.0</v>
      </c>
      <c r="I669" s="7">
        <v>14.0</v>
      </c>
      <c r="J669" s="7">
        <v>11.0</v>
      </c>
      <c r="K669" s="7" t="s">
        <v>35</v>
      </c>
      <c r="L669" s="9" t="str">
        <f>VLOOKUP(K669, 'Alphabetical by species code'!A:B, 2, FALSE)</f>
        <v>Deinandra fasciculata</v>
      </c>
    </row>
    <row r="670">
      <c r="A670" s="7">
        <v>7.0</v>
      </c>
      <c r="B670" s="7">
        <v>2025.0</v>
      </c>
      <c r="C670" s="8">
        <v>45764.0</v>
      </c>
      <c r="D670" s="7" t="s">
        <v>25</v>
      </c>
      <c r="E670" s="7" t="s">
        <v>26</v>
      </c>
      <c r="F670" s="7">
        <v>1.0</v>
      </c>
      <c r="G670" s="7" t="s">
        <v>66</v>
      </c>
      <c r="H670" s="7">
        <v>2.0</v>
      </c>
      <c r="I670" s="7">
        <v>14.0</v>
      </c>
      <c r="J670" s="7">
        <v>11.0</v>
      </c>
      <c r="K670" s="7" t="s">
        <v>32</v>
      </c>
      <c r="L670" s="9" t="str">
        <f>VLOOKUP(K670, 'Alphabetical by species code'!A:B, 2, FALSE)</f>
        <v>Medicago polymorpha</v>
      </c>
    </row>
    <row r="671">
      <c r="A671" s="7">
        <v>7.0</v>
      </c>
      <c r="B671" s="7">
        <v>2025.0</v>
      </c>
      <c r="C671" s="8">
        <v>45764.0</v>
      </c>
      <c r="D671" s="7" t="s">
        <v>25</v>
      </c>
      <c r="E671" s="7" t="s">
        <v>26</v>
      </c>
      <c r="F671" s="7">
        <v>1.0</v>
      </c>
      <c r="G671" s="7" t="s">
        <v>66</v>
      </c>
      <c r="H671" s="7">
        <v>2.0</v>
      </c>
      <c r="I671" s="7">
        <v>14.0</v>
      </c>
      <c r="J671" s="7">
        <v>11.0</v>
      </c>
      <c r="K671" s="7" t="s">
        <v>43</v>
      </c>
      <c r="L671" s="9" t="str">
        <f>VLOOKUP(K671, 'Alphabetical by species code'!A:B, 2, FALSE)</f>
        <v>Uropappus lindleyi</v>
      </c>
    </row>
    <row r="672">
      <c r="A672" s="7">
        <v>7.0</v>
      </c>
      <c r="B672" s="7">
        <v>2025.0</v>
      </c>
      <c r="C672" s="8">
        <v>45764.0</v>
      </c>
      <c r="D672" s="7" t="s">
        <v>25</v>
      </c>
      <c r="E672" s="7" t="s">
        <v>26</v>
      </c>
      <c r="F672" s="7">
        <v>1.0</v>
      </c>
      <c r="G672" s="7" t="s">
        <v>66</v>
      </c>
      <c r="H672" s="7">
        <v>2.0</v>
      </c>
      <c r="I672" s="7">
        <v>15.0</v>
      </c>
      <c r="J672" s="7">
        <v>12.0</v>
      </c>
      <c r="K672" s="7" t="s">
        <v>28</v>
      </c>
      <c r="L672" s="9" t="str">
        <f>VLOOKUP(K672, 'Alphabetical by species code'!A:B, 2, FALSE)</f>
        <v>Litter</v>
      </c>
    </row>
    <row r="673">
      <c r="A673" s="7">
        <v>7.0</v>
      </c>
      <c r="B673" s="7">
        <v>2025.0</v>
      </c>
      <c r="C673" s="8">
        <v>45764.0</v>
      </c>
      <c r="D673" s="7" t="s">
        <v>25</v>
      </c>
      <c r="E673" s="7" t="s">
        <v>26</v>
      </c>
      <c r="F673" s="7">
        <v>1.0</v>
      </c>
      <c r="G673" s="7" t="s">
        <v>66</v>
      </c>
      <c r="H673" s="7">
        <v>2.0</v>
      </c>
      <c r="I673" s="7">
        <v>15.0</v>
      </c>
      <c r="J673" s="7">
        <v>12.0</v>
      </c>
      <c r="K673" s="7" t="s">
        <v>42</v>
      </c>
      <c r="L673" s="9" t="str">
        <f>VLOOKUP(K673, 'Alphabetical by species code'!A:B, 2, FALSE)</f>
        <v>Centaurea melitensis</v>
      </c>
    </row>
    <row r="674">
      <c r="A674" s="7">
        <v>7.0</v>
      </c>
      <c r="B674" s="7">
        <v>2025.0</v>
      </c>
      <c r="C674" s="8">
        <v>45764.0</v>
      </c>
      <c r="D674" s="7" t="s">
        <v>25</v>
      </c>
      <c r="E674" s="7" t="s">
        <v>26</v>
      </c>
      <c r="F674" s="7">
        <v>1.0</v>
      </c>
      <c r="G674" s="7" t="s">
        <v>66</v>
      </c>
      <c r="H674" s="7">
        <v>2.0</v>
      </c>
      <c r="I674" s="7">
        <v>15.0</v>
      </c>
      <c r="J674" s="7">
        <v>12.0</v>
      </c>
      <c r="K674" s="7" t="s">
        <v>31</v>
      </c>
      <c r="L674" s="9" t="str">
        <f>VLOOKUP(K674, 'Alphabetical by species code'!A:B, 2, FALSE)</f>
        <v>Festuca myuros</v>
      </c>
    </row>
    <row r="675">
      <c r="A675" s="7">
        <v>7.0</v>
      </c>
      <c r="B675" s="7">
        <v>2025.0</v>
      </c>
      <c r="C675" s="8">
        <v>45764.0</v>
      </c>
      <c r="D675" s="7" t="s">
        <v>25</v>
      </c>
      <c r="E675" s="7" t="s">
        <v>26</v>
      </c>
      <c r="F675" s="7">
        <v>1.0</v>
      </c>
      <c r="G675" s="7" t="s">
        <v>66</v>
      </c>
      <c r="H675" s="7">
        <v>2.0</v>
      </c>
      <c r="I675" s="7">
        <v>15.0</v>
      </c>
      <c r="J675" s="7">
        <v>12.0</v>
      </c>
      <c r="K675" s="7" t="s">
        <v>71</v>
      </c>
      <c r="L675" s="9" t="str">
        <f>VLOOKUP(K675, 'Alphabetical by species code'!A:B, 2, FALSE)</f>
        <v>Lasthenia californica</v>
      </c>
    </row>
    <row r="676">
      <c r="A676" s="7">
        <v>7.0</v>
      </c>
      <c r="B676" s="7">
        <v>2025.0</v>
      </c>
      <c r="C676" s="8">
        <v>45764.0</v>
      </c>
      <c r="D676" s="7" t="s">
        <v>25</v>
      </c>
      <c r="E676" s="7" t="s">
        <v>26</v>
      </c>
      <c r="F676" s="7">
        <v>1.0</v>
      </c>
      <c r="G676" s="7" t="s">
        <v>66</v>
      </c>
      <c r="H676" s="7">
        <v>2.0</v>
      </c>
      <c r="I676" s="7">
        <v>15.0</v>
      </c>
      <c r="J676" s="7">
        <v>12.0</v>
      </c>
      <c r="K676" s="7" t="s">
        <v>30</v>
      </c>
      <c r="L676" s="9" t="str">
        <f>VLOOKUP(K676, 'Alphabetical by species code'!A:B, 2, FALSE)</f>
        <v>Erodium moschatum</v>
      </c>
    </row>
    <row r="677">
      <c r="A677" s="7">
        <v>8.0</v>
      </c>
      <c r="B677" s="7">
        <v>2025.0</v>
      </c>
      <c r="C677" s="8">
        <v>45764.0</v>
      </c>
      <c r="D677" s="7" t="s">
        <v>72</v>
      </c>
      <c r="E677" s="7" t="s">
        <v>26</v>
      </c>
      <c r="F677" s="7">
        <v>1.0</v>
      </c>
      <c r="G677" s="7" t="s">
        <v>63</v>
      </c>
      <c r="H677" s="7">
        <v>1.0</v>
      </c>
      <c r="I677" s="7">
        <v>1.0</v>
      </c>
      <c r="J677" s="7">
        <v>0.0</v>
      </c>
      <c r="K677" s="7" t="s">
        <v>28</v>
      </c>
      <c r="L677" s="9" t="str">
        <f>VLOOKUP(K677, 'Alphabetical by species code'!A:B, 2, FALSE)</f>
        <v>Litter</v>
      </c>
    </row>
    <row r="678">
      <c r="A678" s="7">
        <v>8.0</v>
      </c>
      <c r="B678" s="7">
        <v>2025.0</v>
      </c>
      <c r="C678" s="8">
        <v>45764.0</v>
      </c>
      <c r="D678" s="7" t="s">
        <v>72</v>
      </c>
      <c r="E678" s="7" t="s">
        <v>26</v>
      </c>
      <c r="F678" s="7">
        <v>1.0</v>
      </c>
      <c r="G678" s="7" t="s">
        <v>63</v>
      </c>
      <c r="H678" s="7">
        <v>1.0</v>
      </c>
      <c r="I678" s="7">
        <v>1.0</v>
      </c>
      <c r="J678" s="7">
        <v>0.0</v>
      </c>
      <c r="K678" s="7" t="s">
        <v>42</v>
      </c>
      <c r="L678" s="9" t="str">
        <f>VLOOKUP(K678, 'Alphabetical by species code'!A:B, 2, FALSE)</f>
        <v>Centaurea melitensis</v>
      </c>
    </row>
    <row r="679">
      <c r="A679" s="7">
        <v>8.0</v>
      </c>
      <c r="B679" s="7">
        <v>2025.0</v>
      </c>
      <c r="C679" s="8">
        <v>45764.0</v>
      </c>
      <c r="D679" s="7" t="s">
        <v>72</v>
      </c>
      <c r="E679" s="7" t="s">
        <v>26</v>
      </c>
      <c r="F679" s="7">
        <v>1.0</v>
      </c>
      <c r="G679" s="7" t="s">
        <v>63</v>
      </c>
      <c r="H679" s="7">
        <v>1.0</v>
      </c>
      <c r="I679" s="7">
        <v>1.0</v>
      </c>
      <c r="J679" s="7">
        <v>0.0</v>
      </c>
      <c r="K679" s="7" t="s">
        <v>31</v>
      </c>
      <c r="L679" s="9" t="str">
        <f>VLOOKUP(K679, 'Alphabetical by species code'!A:B, 2, FALSE)</f>
        <v>Festuca myuros</v>
      </c>
    </row>
    <row r="680">
      <c r="A680" s="7">
        <v>8.0</v>
      </c>
      <c r="B680" s="7">
        <v>2025.0</v>
      </c>
      <c r="C680" s="8">
        <v>45764.0</v>
      </c>
      <c r="D680" s="7" t="s">
        <v>72</v>
      </c>
      <c r="E680" s="7" t="s">
        <v>26</v>
      </c>
      <c r="F680" s="7">
        <v>1.0</v>
      </c>
      <c r="G680" s="7" t="s">
        <v>63</v>
      </c>
      <c r="H680" s="7">
        <v>1.0</v>
      </c>
      <c r="I680" s="7">
        <v>1.0</v>
      </c>
      <c r="J680" s="7">
        <v>0.0</v>
      </c>
      <c r="K680" s="7" t="s">
        <v>35</v>
      </c>
      <c r="L680" s="9" t="str">
        <f>VLOOKUP(K680, 'Alphabetical by species code'!A:B, 2, FALSE)</f>
        <v>Deinandra fasciculata</v>
      </c>
    </row>
    <row r="681">
      <c r="A681" s="7">
        <v>8.0</v>
      </c>
      <c r="B681" s="7">
        <v>2025.0</v>
      </c>
      <c r="C681" s="8">
        <v>45764.0</v>
      </c>
      <c r="D681" s="7" t="s">
        <v>72</v>
      </c>
      <c r="E681" s="7" t="s">
        <v>26</v>
      </c>
      <c r="F681" s="7">
        <v>1.0</v>
      </c>
      <c r="G681" s="7" t="s">
        <v>63</v>
      </c>
      <c r="H681" s="7">
        <v>1.0</v>
      </c>
      <c r="I681" s="7">
        <v>1.0</v>
      </c>
      <c r="J681" s="7">
        <v>0.0</v>
      </c>
      <c r="K681" s="7" t="s">
        <v>48</v>
      </c>
      <c r="L681" s="9" t="str">
        <f>VLOOKUP(K681, 'Alphabetical by species code'!A:B, 2, FALSE)</f>
        <v>Sonchus asper</v>
      </c>
    </row>
    <row r="682">
      <c r="A682" s="7">
        <v>8.0</v>
      </c>
      <c r="B682" s="7">
        <v>2025.0</v>
      </c>
      <c r="C682" s="8">
        <v>45764.0</v>
      </c>
      <c r="D682" s="7" t="s">
        <v>72</v>
      </c>
      <c r="E682" s="7" t="s">
        <v>26</v>
      </c>
      <c r="F682" s="7">
        <v>1.0</v>
      </c>
      <c r="G682" s="7" t="s">
        <v>63</v>
      </c>
      <c r="H682" s="7">
        <v>1.0</v>
      </c>
      <c r="I682" s="7">
        <v>2.0</v>
      </c>
      <c r="J682" s="7">
        <v>1.0</v>
      </c>
      <c r="K682" s="7" t="s">
        <v>28</v>
      </c>
      <c r="L682" s="9" t="str">
        <f>VLOOKUP(K682, 'Alphabetical by species code'!A:B, 2, FALSE)</f>
        <v>Litter</v>
      </c>
    </row>
    <row r="683">
      <c r="A683" s="7">
        <v>8.0</v>
      </c>
      <c r="B683" s="7">
        <v>2025.0</v>
      </c>
      <c r="C683" s="8">
        <v>45764.0</v>
      </c>
      <c r="D683" s="7" t="s">
        <v>72</v>
      </c>
      <c r="E683" s="7" t="s">
        <v>26</v>
      </c>
      <c r="F683" s="7">
        <v>1.0</v>
      </c>
      <c r="G683" s="7" t="s">
        <v>63</v>
      </c>
      <c r="H683" s="7">
        <v>1.0</v>
      </c>
      <c r="I683" s="7">
        <v>2.0</v>
      </c>
      <c r="J683" s="7">
        <v>1.0</v>
      </c>
      <c r="K683" s="7" t="s">
        <v>32</v>
      </c>
      <c r="L683" s="9" t="str">
        <f>VLOOKUP(K683, 'Alphabetical by species code'!A:B, 2, FALSE)</f>
        <v>Medicago polymorpha</v>
      </c>
    </row>
    <row r="684">
      <c r="A684" s="7">
        <v>8.0</v>
      </c>
      <c r="B684" s="7">
        <v>2025.0</v>
      </c>
      <c r="C684" s="8">
        <v>45764.0</v>
      </c>
      <c r="D684" s="7" t="s">
        <v>72</v>
      </c>
      <c r="E684" s="7" t="s">
        <v>26</v>
      </c>
      <c r="F684" s="7">
        <v>1.0</v>
      </c>
      <c r="G684" s="7" t="s">
        <v>63</v>
      </c>
      <c r="H684" s="7">
        <v>1.0</v>
      </c>
      <c r="I684" s="7">
        <v>2.0</v>
      </c>
      <c r="J684" s="7">
        <v>1.0</v>
      </c>
      <c r="K684" s="7" t="s">
        <v>42</v>
      </c>
      <c r="L684" s="9" t="str">
        <f>VLOOKUP(K684, 'Alphabetical by species code'!A:B, 2, FALSE)</f>
        <v>Centaurea melitensis</v>
      </c>
    </row>
    <row r="685">
      <c r="A685" s="7">
        <v>8.0</v>
      </c>
      <c r="B685" s="7">
        <v>2025.0</v>
      </c>
      <c r="C685" s="8">
        <v>45764.0</v>
      </c>
      <c r="D685" s="7" t="s">
        <v>72</v>
      </c>
      <c r="E685" s="7" t="s">
        <v>26</v>
      </c>
      <c r="F685" s="7">
        <v>1.0</v>
      </c>
      <c r="G685" s="7" t="s">
        <v>63</v>
      </c>
      <c r="H685" s="7">
        <v>1.0</v>
      </c>
      <c r="I685" s="7">
        <v>3.0</v>
      </c>
      <c r="J685" s="7">
        <v>1.5</v>
      </c>
      <c r="K685" s="7" t="s">
        <v>28</v>
      </c>
      <c r="L685" s="9" t="str">
        <f>VLOOKUP(K685, 'Alphabetical by species code'!A:B, 2, FALSE)</f>
        <v>Litter</v>
      </c>
    </row>
    <row r="686">
      <c r="A686" s="7">
        <v>8.0</v>
      </c>
      <c r="B686" s="7">
        <v>2025.0</v>
      </c>
      <c r="C686" s="8">
        <v>45764.0</v>
      </c>
      <c r="D686" s="7" t="s">
        <v>72</v>
      </c>
      <c r="E686" s="7" t="s">
        <v>26</v>
      </c>
      <c r="F686" s="7">
        <v>1.0</v>
      </c>
      <c r="G686" s="7" t="s">
        <v>63</v>
      </c>
      <c r="H686" s="7">
        <v>1.0</v>
      </c>
      <c r="I686" s="7">
        <v>3.0</v>
      </c>
      <c r="J686" s="7">
        <v>1.5</v>
      </c>
      <c r="K686" s="7" t="s">
        <v>30</v>
      </c>
      <c r="L686" s="9" t="str">
        <f>VLOOKUP(K686, 'Alphabetical by species code'!A:B, 2, FALSE)</f>
        <v>Erodium moschatum</v>
      </c>
    </row>
    <row r="687">
      <c r="A687" s="7">
        <v>8.0</v>
      </c>
      <c r="B687" s="7">
        <v>2025.0</v>
      </c>
      <c r="C687" s="8">
        <v>45764.0</v>
      </c>
      <c r="D687" s="7" t="s">
        <v>72</v>
      </c>
      <c r="E687" s="7" t="s">
        <v>26</v>
      </c>
      <c r="F687" s="7">
        <v>1.0</v>
      </c>
      <c r="G687" s="7" t="s">
        <v>63</v>
      </c>
      <c r="H687" s="7">
        <v>1.0</v>
      </c>
      <c r="I687" s="7">
        <v>4.0</v>
      </c>
      <c r="J687" s="7">
        <v>2.0</v>
      </c>
      <c r="K687" s="7" t="s">
        <v>28</v>
      </c>
      <c r="L687" s="9" t="str">
        <f>VLOOKUP(K687, 'Alphabetical by species code'!A:B, 2, FALSE)</f>
        <v>Litter</v>
      </c>
    </row>
    <row r="688">
      <c r="A688" s="7">
        <v>8.0</v>
      </c>
      <c r="B688" s="7">
        <v>2025.0</v>
      </c>
      <c r="C688" s="8">
        <v>45764.0</v>
      </c>
      <c r="D688" s="7" t="s">
        <v>72</v>
      </c>
      <c r="E688" s="7" t="s">
        <v>26</v>
      </c>
      <c r="F688" s="7">
        <v>1.0</v>
      </c>
      <c r="G688" s="7" t="s">
        <v>63</v>
      </c>
      <c r="H688" s="7">
        <v>1.0</v>
      </c>
      <c r="I688" s="7">
        <v>4.0</v>
      </c>
      <c r="J688" s="7">
        <v>2.0</v>
      </c>
      <c r="K688" s="7" t="s">
        <v>35</v>
      </c>
      <c r="L688" s="9" t="str">
        <f>VLOOKUP(K688, 'Alphabetical by species code'!A:B, 2, FALSE)</f>
        <v>Deinandra fasciculata</v>
      </c>
    </row>
    <row r="689">
      <c r="A689" s="7">
        <v>8.0</v>
      </c>
      <c r="B689" s="7">
        <v>2025.0</v>
      </c>
      <c r="C689" s="8">
        <v>45764.0</v>
      </c>
      <c r="D689" s="7" t="s">
        <v>72</v>
      </c>
      <c r="E689" s="7" t="s">
        <v>26</v>
      </c>
      <c r="F689" s="7">
        <v>1.0</v>
      </c>
      <c r="G689" s="7" t="s">
        <v>63</v>
      </c>
      <c r="H689" s="7">
        <v>1.0</v>
      </c>
      <c r="I689" s="7">
        <v>5.0</v>
      </c>
      <c r="J689" s="7">
        <v>3.0</v>
      </c>
      <c r="K689" s="7" t="s">
        <v>28</v>
      </c>
      <c r="L689" s="9" t="str">
        <f>VLOOKUP(K689, 'Alphabetical by species code'!A:B, 2, FALSE)</f>
        <v>Litter</v>
      </c>
    </row>
    <row r="690">
      <c r="A690" s="7">
        <v>8.0</v>
      </c>
      <c r="B690" s="7">
        <v>2025.0</v>
      </c>
      <c r="C690" s="8">
        <v>45764.0</v>
      </c>
      <c r="D690" s="7" t="s">
        <v>72</v>
      </c>
      <c r="E690" s="7" t="s">
        <v>26</v>
      </c>
      <c r="F690" s="7">
        <v>1.0</v>
      </c>
      <c r="G690" s="7" t="s">
        <v>63</v>
      </c>
      <c r="H690" s="7">
        <v>1.0</v>
      </c>
      <c r="I690" s="7">
        <v>6.0</v>
      </c>
      <c r="J690" s="7">
        <v>3.5</v>
      </c>
      <c r="K690" s="7" t="s">
        <v>28</v>
      </c>
      <c r="L690" s="9" t="str">
        <f>VLOOKUP(K690, 'Alphabetical by species code'!A:B, 2, FALSE)</f>
        <v>Litter</v>
      </c>
    </row>
    <row r="691">
      <c r="A691" s="7">
        <v>8.0</v>
      </c>
      <c r="B691" s="7">
        <v>2025.0</v>
      </c>
      <c r="C691" s="8">
        <v>45764.0</v>
      </c>
      <c r="D691" s="7" t="s">
        <v>72</v>
      </c>
      <c r="E691" s="7" t="s">
        <v>26</v>
      </c>
      <c r="F691" s="7">
        <v>1.0</v>
      </c>
      <c r="G691" s="7" t="s">
        <v>63</v>
      </c>
      <c r="H691" s="7">
        <v>1.0</v>
      </c>
      <c r="I691" s="7">
        <v>6.0</v>
      </c>
      <c r="J691" s="7">
        <v>3.5</v>
      </c>
      <c r="K691" s="7" t="s">
        <v>32</v>
      </c>
      <c r="L691" s="9" t="str">
        <f>VLOOKUP(K691, 'Alphabetical by species code'!A:B, 2, FALSE)</f>
        <v>Medicago polymorpha</v>
      </c>
    </row>
    <row r="692">
      <c r="A692" s="7">
        <v>8.0</v>
      </c>
      <c r="B692" s="7">
        <v>2025.0</v>
      </c>
      <c r="C692" s="8">
        <v>45764.0</v>
      </c>
      <c r="D692" s="7" t="s">
        <v>72</v>
      </c>
      <c r="E692" s="7" t="s">
        <v>26</v>
      </c>
      <c r="F692" s="7">
        <v>1.0</v>
      </c>
      <c r="G692" s="7" t="s">
        <v>63</v>
      </c>
      <c r="H692" s="7">
        <v>1.0</v>
      </c>
      <c r="I692" s="7">
        <v>6.0</v>
      </c>
      <c r="J692" s="7">
        <v>3.5</v>
      </c>
      <c r="K692" s="7" t="s">
        <v>30</v>
      </c>
      <c r="L692" s="9" t="str">
        <f>VLOOKUP(K692, 'Alphabetical by species code'!A:B, 2, FALSE)</f>
        <v>Erodium moschatum</v>
      </c>
    </row>
    <row r="693">
      <c r="A693" s="7">
        <v>8.0</v>
      </c>
      <c r="B693" s="7">
        <v>2025.0</v>
      </c>
      <c r="C693" s="8">
        <v>45764.0</v>
      </c>
      <c r="D693" s="7" t="s">
        <v>72</v>
      </c>
      <c r="E693" s="7" t="s">
        <v>26</v>
      </c>
      <c r="F693" s="7">
        <v>1.0</v>
      </c>
      <c r="G693" s="7" t="s">
        <v>63</v>
      </c>
      <c r="H693" s="7">
        <v>1.0</v>
      </c>
      <c r="I693" s="7">
        <v>6.0</v>
      </c>
      <c r="J693" s="7">
        <v>3.5</v>
      </c>
      <c r="K693" s="7" t="s">
        <v>35</v>
      </c>
      <c r="L693" s="9" t="str">
        <f>VLOOKUP(K693, 'Alphabetical by species code'!A:B, 2, FALSE)</f>
        <v>Deinandra fasciculata</v>
      </c>
    </row>
    <row r="694">
      <c r="A694" s="7">
        <v>8.0</v>
      </c>
      <c r="B694" s="7">
        <v>2025.0</v>
      </c>
      <c r="C694" s="8">
        <v>45764.0</v>
      </c>
      <c r="D694" s="7" t="s">
        <v>72</v>
      </c>
      <c r="E694" s="7" t="s">
        <v>26</v>
      </c>
      <c r="F694" s="7">
        <v>1.0</v>
      </c>
      <c r="G694" s="7" t="s">
        <v>63</v>
      </c>
      <c r="H694" s="7">
        <v>1.0</v>
      </c>
      <c r="I694" s="7">
        <v>7.0</v>
      </c>
      <c r="J694" s="7">
        <v>4.0</v>
      </c>
      <c r="K694" s="7" t="s">
        <v>28</v>
      </c>
      <c r="L694" s="9" t="str">
        <f>VLOOKUP(K694, 'Alphabetical by species code'!A:B, 2, FALSE)</f>
        <v>Litter</v>
      </c>
    </row>
    <row r="695">
      <c r="A695" s="7">
        <v>8.0</v>
      </c>
      <c r="B695" s="7">
        <v>2025.0</v>
      </c>
      <c r="C695" s="8">
        <v>45764.0</v>
      </c>
      <c r="D695" s="7" t="s">
        <v>72</v>
      </c>
      <c r="E695" s="7" t="s">
        <v>26</v>
      </c>
      <c r="F695" s="7">
        <v>1.0</v>
      </c>
      <c r="G695" s="7" t="s">
        <v>63</v>
      </c>
      <c r="H695" s="7">
        <v>1.0</v>
      </c>
      <c r="I695" s="7">
        <v>7.0</v>
      </c>
      <c r="J695" s="7">
        <v>4.0</v>
      </c>
      <c r="K695" s="7" t="s">
        <v>30</v>
      </c>
      <c r="L695" s="9" t="str">
        <f>VLOOKUP(K695, 'Alphabetical by species code'!A:B, 2, FALSE)</f>
        <v>Erodium moschatum</v>
      </c>
    </row>
    <row r="696">
      <c r="A696" s="7">
        <v>8.0</v>
      </c>
      <c r="B696" s="7">
        <v>2025.0</v>
      </c>
      <c r="C696" s="8">
        <v>45764.0</v>
      </c>
      <c r="D696" s="7" t="s">
        <v>72</v>
      </c>
      <c r="E696" s="7" t="s">
        <v>26</v>
      </c>
      <c r="F696" s="7">
        <v>1.0</v>
      </c>
      <c r="G696" s="7" t="s">
        <v>63</v>
      </c>
      <c r="H696" s="7">
        <v>1.0</v>
      </c>
      <c r="I696" s="7">
        <v>7.0</v>
      </c>
      <c r="J696" s="7">
        <v>4.0</v>
      </c>
      <c r="K696" s="7" t="s">
        <v>37</v>
      </c>
      <c r="L696" s="9" t="str">
        <f>VLOOKUP(K696, 'Alphabetical by species code'!A:B, 2, FALSE)</f>
        <v>Sonchus oleraceus</v>
      </c>
    </row>
    <row r="697">
      <c r="A697" s="7">
        <v>8.0</v>
      </c>
      <c r="B697" s="7">
        <v>2025.0</v>
      </c>
      <c r="C697" s="8">
        <v>45764.0</v>
      </c>
      <c r="D697" s="7" t="s">
        <v>72</v>
      </c>
      <c r="E697" s="7" t="s">
        <v>26</v>
      </c>
      <c r="F697" s="7">
        <v>1.0</v>
      </c>
      <c r="G697" s="7" t="s">
        <v>63</v>
      </c>
      <c r="H697" s="7">
        <v>1.0</v>
      </c>
      <c r="I697" s="7">
        <v>7.0</v>
      </c>
      <c r="J697" s="7">
        <v>4.0</v>
      </c>
      <c r="K697" s="7" t="s">
        <v>35</v>
      </c>
      <c r="L697" s="9" t="str">
        <f>VLOOKUP(K697, 'Alphabetical by species code'!A:B, 2, FALSE)</f>
        <v>Deinandra fasciculata</v>
      </c>
    </row>
    <row r="698">
      <c r="A698" s="7">
        <v>8.0</v>
      </c>
      <c r="B698" s="7">
        <v>2025.0</v>
      </c>
      <c r="C698" s="8">
        <v>45764.0</v>
      </c>
      <c r="D698" s="7" t="s">
        <v>72</v>
      </c>
      <c r="E698" s="7" t="s">
        <v>26</v>
      </c>
      <c r="F698" s="7">
        <v>1.0</v>
      </c>
      <c r="G698" s="7" t="s">
        <v>63</v>
      </c>
      <c r="H698" s="7">
        <v>1.0</v>
      </c>
      <c r="I698" s="7">
        <v>8.0</v>
      </c>
      <c r="J698" s="7">
        <v>5.0</v>
      </c>
      <c r="K698" s="7" t="s">
        <v>28</v>
      </c>
      <c r="L698" s="9" t="str">
        <f>VLOOKUP(K698, 'Alphabetical by species code'!A:B, 2, FALSE)</f>
        <v>Litter</v>
      </c>
    </row>
    <row r="699">
      <c r="A699" s="7">
        <v>8.0</v>
      </c>
      <c r="B699" s="7">
        <v>2025.0</v>
      </c>
      <c r="C699" s="8">
        <v>45764.0</v>
      </c>
      <c r="D699" s="7" t="s">
        <v>72</v>
      </c>
      <c r="E699" s="7" t="s">
        <v>26</v>
      </c>
      <c r="F699" s="7">
        <v>1.0</v>
      </c>
      <c r="G699" s="7" t="s">
        <v>63</v>
      </c>
      <c r="H699" s="7">
        <v>1.0</v>
      </c>
      <c r="I699" s="7">
        <v>8.0</v>
      </c>
      <c r="J699" s="7">
        <v>5.0</v>
      </c>
      <c r="K699" s="7" t="s">
        <v>30</v>
      </c>
      <c r="L699" s="9" t="str">
        <f>VLOOKUP(K699, 'Alphabetical by species code'!A:B, 2, FALSE)</f>
        <v>Erodium moschatum</v>
      </c>
    </row>
    <row r="700">
      <c r="A700" s="7">
        <v>8.0</v>
      </c>
      <c r="B700" s="7">
        <v>2025.0</v>
      </c>
      <c r="C700" s="8">
        <v>45764.0</v>
      </c>
      <c r="D700" s="7" t="s">
        <v>72</v>
      </c>
      <c r="E700" s="7" t="s">
        <v>26</v>
      </c>
      <c r="F700" s="7">
        <v>1.0</v>
      </c>
      <c r="G700" s="7" t="s">
        <v>63</v>
      </c>
      <c r="H700" s="7">
        <v>1.0</v>
      </c>
      <c r="I700" s="7">
        <v>9.0</v>
      </c>
      <c r="J700" s="7">
        <v>7.0</v>
      </c>
      <c r="K700" s="7" t="s">
        <v>28</v>
      </c>
      <c r="L700" s="9" t="str">
        <f>VLOOKUP(K700, 'Alphabetical by species code'!A:B, 2, FALSE)</f>
        <v>Litter</v>
      </c>
    </row>
    <row r="701">
      <c r="A701" s="7">
        <v>8.0</v>
      </c>
      <c r="B701" s="7">
        <v>2025.0</v>
      </c>
      <c r="C701" s="8">
        <v>45764.0</v>
      </c>
      <c r="D701" s="7" t="s">
        <v>72</v>
      </c>
      <c r="E701" s="7" t="s">
        <v>26</v>
      </c>
      <c r="F701" s="7">
        <v>1.0</v>
      </c>
      <c r="G701" s="7" t="s">
        <v>63</v>
      </c>
      <c r="H701" s="7">
        <v>1.0</v>
      </c>
      <c r="I701" s="7">
        <v>9.0</v>
      </c>
      <c r="J701" s="7">
        <v>7.0</v>
      </c>
      <c r="K701" s="7" t="s">
        <v>36</v>
      </c>
      <c r="L701" s="9" t="str">
        <f>VLOOKUP(K701, 'Alphabetical by species code'!A:B, 2, FALSE)</f>
        <v>Bromus madritensis</v>
      </c>
    </row>
    <row r="702">
      <c r="A702" s="7">
        <v>8.0</v>
      </c>
      <c r="B702" s="7">
        <v>2025.0</v>
      </c>
      <c r="C702" s="8">
        <v>45764.0</v>
      </c>
      <c r="D702" s="7" t="s">
        <v>72</v>
      </c>
      <c r="E702" s="7" t="s">
        <v>26</v>
      </c>
      <c r="F702" s="7">
        <v>1.0</v>
      </c>
      <c r="G702" s="7" t="s">
        <v>63</v>
      </c>
      <c r="H702" s="7">
        <v>1.0</v>
      </c>
      <c r="I702" s="7">
        <v>9.0</v>
      </c>
      <c r="J702" s="7">
        <v>7.0</v>
      </c>
      <c r="K702" s="7" t="s">
        <v>35</v>
      </c>
      <c r="L702" s="9" t="str">
        <f>VLOOKUP(K702, 'Alphabetical by species code'!A:B, 2, FALSE)</f>
        <v>Deinandra fasciculata</v>
      </c>
    </row>
    <row r="703">
      <c r="A703" s="7">
        <v>8.0</v>
      </c>
      <c r="B703" s="7">
        <v>2025.0</v>
      </c>
      <c r="C703" s="8">
        <v>45764.0</v>
      </c>
      <c r="D703" s="7" t="s">
        <v>72</v>
      </c>
      <c r="E703" s="7" t="s">
        <v>26</v>
      </c>
      <c r="F703" s="7">
        <v>1.0</v>
      </c>
      <c r="G703" s="7" t="s">
        <v>63</v>
      </c>
      <c r="H703" s="7">
        <v>1.0</v>
      </c>
      <c r="I703" s="7">
        <v>9.0</v>
      </c>
      <c r="J703" s="7">
        <v>7.0</v>
      </c>
      <c r="K703" s="7" t="s">
        <v>48</v>
      </c>
      <c r="L703" s="9" t="str">
        <f>VLOOKUP(K703, 'Alphabetical by species code'!A:B, 2, FALSE)</f>
        <v>Sonchus asper</v>
      </c>
    </row>
    <row r="704">
      <c r="A704" s="7">
        <v>8.0</v>
      </c>
      <c r="B704" s="7">
        <v>2025.0</v>
      </c>
      <c r="C704" s="8">
        <v>45764.0</v>
      </c>
      <c r="D704" s="7" t="s">
        <v>72</v>
      </c>
      <c r="E704" s="7" t="s">
        <v>26</v>
      </c>
      <c r="F704" s="7">
        <v>1.0</v>
      </c>
      <c r="G704" s="7" t="s">
        <v>63</v>
      </c>
      <c r="H704" s="7">
        <v>1.0</v>
      </c>
      <c r="I704" s="7">
        <v>10.0</v>
      </c>
      <c r="J704" s="7">
        <v>8.0</v>
      </c>
      <c r="K704" s="7" t="s">
        <v>28</v>
      </c>
      <c r="L704" s="9" t="str">
        <f>VLOOKUP(K704, 'Alphabetical by species code'!A:B, 2, FALSE)</f>
        <v>Litter</v>
      </c>
    </row>
    <row r="705">
      <c r="A705" s="7">
        <v>8.0</v>
      </c>
      <c r="B705" s="7">
        <v>2025.0</v>
      </c>
      <c r="C705" s="8">
        <v>45764.0</v>
      </c>
      <c r="D705" s="7" t="s">
        <v>72</v>
      </c>
      <c r="E705" s="7" t="s">
        <v>26</v>
      </c>
      <c r="F705" s="7">
        <v>1.0</v>
      </c>
      <c r="G705" s="7" t="s">
        <v>63</v>
      </c>
      <c r="H705" s="7">
        <v>1.0</v>
      </c>
      <c r="I705" s="7">
        <v>10.0</v>
      </c>
      <c r="J705" s="7">
        <v>8.0</v>
      </c>
      <c r="K705" s="7" t="s">
        <v>37</v>
      </c>
      <c r="L705" s="9" t="str">
        <f>VLOOKUP(K705, 'Alphabetical by species code'!A:B, 2, FALSE)</f>
        <v>Sonchus oleraceus</v>
      </c>
    </row>
    <row r="706">
      <c r="A706" s="7">
        <v>8.0</v>
      </c>
      <c r="B706" s="7">
        <v>2025.0</v>
      </c>
      <c r="C706" s="8">
        <v>45764.0</v>
      </c>
      <c r="D706" s="7" t="s">
        <v>72</v>
      </c>
      <c r="E706" s="7" t="s">
        <v>26</v>
      </c>
      <c r="F706" s="7">
        <v>1.0</v>
      </c>
      <c r="G706" s="7" t="s">
        <v>63</v>
      </c>
      <c r="H706" s="7">
        <v>1.0</v>
      </c>
      <c r="I706" s="7">
        <v>10.0</v>
      </c>
      <c r="J706" s="7">
        <v>8.0</v>
      </c>
      <c r="K706" s="7" t="s">
        <v>36</v>
      </c>
      <c r="L706" s="9" t="str">
        <f>VLOOKUP(K706, 'Alphabetical by species code'!A:B, 2, FALSE)</f>
        <v>Bromus madritensis</v>
      </c>
    </row>
    <row r="707">
      <c r="A707" s="7">
        <v>8.0</v>
      </c>
      <c r="B707" s="7">
        <v>2025.0</v>
      </c>
      <c r="C707" s="8">
        <v>45764.0</v>
      </c>
      <c r="D707" s="7" t="s">
        <v>72</v>
      </c>
      <c r="E707" s="7" t="s">
        <v>26</v>
      </c>
      <c r="F707" s="7">
        <v>1.0</v>
      </c>
      <c r="G707" s="7" t="s">
        <v>63</v>
      </c>
      <c r="H707" s="7">
        <v>1.0</v>
      </c>
      <c r="I707" s="7">
        <v>11.0</v>
      </c>
      <c r="J707" s="7">
        <v>8.5</v>
      </c>
      <c r="K707" s="7" t="s">
        <v>28</v>
      </c>
      <c r="L707" s="9" t="str">
        <f>VLOOKUP(K707, 'Alphabetical by species code'!A:B, 2, FALSE)</f>
        <v>Litter</v>
      </c>
    </row>
    <row r="708">
      <c r="A708" s="7">
        <v>8.0</v>
      </c>
      <c r="B708" s="7">
        <v>2025.0</v>
      </c>
      <c r="C708" s="8">
        <v>45764.0</v>
      </c>
      <c r="D708" s="7" t="s">
        <v>72</v>
      </c>
      <c r="E708" s="7" t="s">
        <v>26</v>
      </c>
      <c r="F708" s="7">
        <v>1.0</v>
      </c>
      <c r="G708" s="7" t="s">
        <v>63</v>
      </c>
      <c r="H708" s="7">
        <v>1.0</v>
      </c>
      <c r="I708" s="7">
        <v>11.0</v>
      </c>
      <c r="J708" s="7">
        <v>8.5</v>
      </c>
      <c r="K708" s="7" t="s">
        <v>31</v>
      </c>
      <c r="L708" s="9" t="str">
        <f>VLOOKUP(K708, 'Alphabetical by species code'!A:B, 2, FALSE)</f>
        <v>Festuca myuros</v>
      </c>
    </row>
    <row r="709">
      <c r="A709" s="7">
        <v>8.0</v>
      </c>
      <c r="B709" s="7">
        <v>2025.0</v>
      </c>
      <c r="C709" s="8">
        <v>45764.0</v>
      </c>
      <c r="D709" s="7" t="s">
        <v>72</v>
      </c>
      <c r="E709" s="7" t="s">
        <v>26</v>
      </c>
      <c r="F709" s="7">
        <v>1.0</v>
      </c>
      <c r="G709" s="7" t="s">
        <v>63</v>
      </c>
      <c r="H709" s="7">
        <v>1.0</v>
      </c>
      <c r="I709" s="7">
        <v>11.0</v>
      </c>
      <c r="J709" s="7">
        <v>8.5</v>
      </c>
      <c r="K709" s="7" t="s">
        <v>35</v>
      </c>
      <c r="L709" s="9" t="str">
        <f>VLOOKUP(K709, 'Alphabetical by species code'!A:B, 2, FALSE)</f>
        <v>Deinandra fasciculata</v>
      </c>
    </row>
    <row r="710">
      <c r="A710" s="7">
        <v>8.0</v>
      </c>
      <c r="B710" s="7">
        <v>2025.0</v>
      </c>
      <c r="C710" s="8">
        <v>45764.0</v>
      </c>
      <c r="D710" s="7" t="s">
        <v>72</v>
      </c>
      <c r="E710" s="7" t="s">
        <v>26</v>
      </c>
      <c r="F710" s="7">
        <v>1.0</v>
      </c>
      <c r="G710" s="7" t="s">
        <v>63</v>
      </c>
      <c r="H710" s="7">
        <v>1.0</v>
      </c>
      <c r="I710" s="7">
        <v>12.0</v>
      </c>
      <c r="J710" s="7">
        <v>9.0</v>
      </c>
      <c r="K710" s="7" t="s">
        <v>28</v>
      </c>
      <c r="L710" s="9" t="str">
        <f>VLOOKUP(K710, 'Alphabetical by species code'!A:B, 2, FALSE)</f>
        <v>Litter</v>
      </c>
    </row>
    <row r="711">
      <c r="A711" s="7">
        <v>8.0</v>
      </c>
      <c r="B711" s="7">
        <v>2025.0</v>
      </c>
      <c r="C711" s="8">
        <v>45764.0</v>
      </c>
      <c r="D711" s="7" t="s">
        <v>72</v>
      </c>
      <c r="E711" s="7" t="s">
        <v>26</v>
      </c>
      <c r="F711" s="7">
        <v>1.0</v>
      </c>
      <c r="G711" s="7" t="s">
        <v>63</v>
      </c>
      <c r="H711" s="7">
        <v>1.0</v>
      </c>
      <c r="I711" s="7">
        <v>12.0</v>
      </c>
      <c r="J711" s="7">
        <v>9.0</v>
      </c>
      <c r="K711" s="7" t="s">
        <v>48</v>
      </c>
      <c r="L711" s="9" t="str">
        <f>VLOOKUP(K711, 'Alphabetical by species code'!A:B, 2, FALSE)</f>
        <v>Sonchus asper</v>
      </c>
    </row>
    <row r="712">
      <c r="A712" s="7">
        <v>8.0</v>
      </c>
      <c r="B712" s="7">
        <v>2025.0</v>
      </c>
      <c r="C712" s="8">
        <v>45764.0</v>
      </c>
      <c r="D712" s="7" t="s">
        <v>72</v>
      </c>
      <c r="E712" s="7" t="s">
        <v>26</v>
      </c>
      <c r="F712" s="7">
        <v>1.0</v>
      </c>
      <c r="G712" s="7" t="s">
        <v>63</v>
      </c>
      <c r="H712" s="7">
        <v>1.0</v>
      </c>
      <c r="I712" s="7">
        <v>13.0</v>
      </c>
      <c r="J712" s="7">
        <v>10.0</v>
      </c>
      <c r="K712" s="7" t="s">
        <v>28</v>
      </c>
      <c r="L712" s="9" t="str">
        <f>VLOOKUP(K712, 'Alphabetical by species code'!A:B, 2, FALSE)</f>
        <v>Litter</v>
      </c>
    </row>
    <row r="713">
      <c r="A713" s="7">
        <v>8.0</v>
      </c>
      <c r="B713" s="7">
        <v>2025.0</v>
      </c>
      <c r="C713" s="8">
        <v>45764.0</v>
      </c>
      <c r="D713" s="7" t="s">
        <v>72</v>
      </c>
      <c r="E713" s="7" t="s">
        <v>26</v>
      </c>
      <c r="F713" s="7">
        <v>1.0</v>
      </c>
      <c r="G713" s="7" t="s">
        <v>63</v>
      </c>
      <c r="H713" s="7">
        <v>1.0</v>
      </c>
      <c r="I713" s="7">
        <v>13.0</v>
      </c>
      <c r="J713" s="7">
        <v>10.0</v>
      </c>
      <c r="K713" s="7" t="s">
        <v>35</v>
      </c>
      <c r="L713" s="9" t="str">
        <f>VLOOKUP(K713, 'Alphabetical by species code'!A:B, 2, FALSE)</f>
        <v>Deinandra fasciculata</v>
      </c>
    </row>
    <row r="714">
      <c r="A714" s="7">
        <v>8.0</v>
      </c>
      <c r="B714" s="7">
        <v>2025.0</v>
      </c>
      <c r="C714" s="8">
        <v>45764.0</v>
      </c>
      <c r="D714" s="7" t="s">
        <v>72</v>
      </c>
      <c r="E714" s="7" t="s">
        <v>26</v>
      </c>
      <c r="F714" s="7">
        <v>1.0</v>
      </c>
      <c r="G714" s="7" t="s">
        <v>63</v>
      </c>
      <c r="H714" s="7">
        <v>1.0</v>
      </c>
      <c r="I714" s="7">
        <v>14.0</v>
      </c>
      <c r="J714" s="7">
        <v>11.0</v>
      </c>
      <c r="K714" s="7" t="s">
        <v>28</v>
      </c>
      <c r="L714" s="9" t="str">
        <f>VLOOKUP(K714, 'Alphabetical by species code'!A:B, 2, FALSE)</f>
        <v>Litter</v>
      </c>
    </row>
    <row r="715">
      <c r="A715" s="7">
        <v>8.0</v>
      </c>
      <c r="B715" s="7">
        <v>2025.0</v>
      </c>
      <c r="C715" s="8">
        <v>45764.0</v>
      </c>
      <c r="D715" s="7" t="s">
        <v>72</v>
      </c>
      <c r="E715" s="7" t="s">
        <v>26</v>
      </c>
      <c r="F715" s="7">
        <v>1.0</v>
      </c>
      <c r="G715" s="7" t="s">
        <v>63</v>
      </c>
      <c r="H715" s="7">
        <v>1.0</v>
      </c>
      <c r="I715" s="7">
        <v>14.0</v>
      </c>
      <c r="J715" s="7">
        <v>11.0</v>
      </c>
      <c r="K715" s="7" t="s">
        <v>36</v>
      </c>
      <c r="L715" s="9" t="str">
        <f>VLOOKUP(K715, 'Alphabetical by species code'!A:B, 2, FALSE)</f>
        <v>Bromus madritensis</v>
      </c>
    </row>
    <row r="716">
      <c r="A716" s="7">
        <v>8.0</v>
      </c>
      <c r="B716" s="7">
        <v>2025.0</v>
      </c>
      <c r="C716" s="8">
        <v>45764.0</v>
      </c>
      <c r="D716" s="7" t="s">
        <v>72</v>
      </c>
      <c r="E716" s="7" t="s">
        <v>26</v>
      </c>
      <c r="F716" s="7">
        <v>1.0</v>
      </c>
      <c r="G716" s="7" t="s">
        <v>63</v>
      </c>
      <c r="H716" s="7">
        <v>1.0</v>
      </c>
      <c r="I716" s="7">
        <v>15.0</v>
      </c>
      <c r="J716" s="7">
        <v>12.0</v>
      </c>
      <c r="K716" s="7" t="s">
        <v>51</v>
      </c>
      <c r="L716" s="9" t="str">
        <f>VLOOKUP(K716, 'Alphabetical by species code'!A:B, 2, FALSE)</f>
        <v>Bareground</v>
      </c>
    </row>
    <row r="717">
      <c r="A717" s="7">
        <v>8.0</v>
      </c>
      <c r="B717" s="7">
        <v>2025.0</v>
      </c>
      <c r="C717" s="8">
        <v>45764.0</v>
      </c>
      <c r="D717" s="7" t="s">
        <v>72</v>
      </c>
      <c r="E717" s="7" t="s">
        <v>26</v>
      </c>
      <c r="F717" s="7">
        <v>1.0</v>
      </c>
      <c r="G717" s="7" t="s">
        <v>63</v>
      </c>
      <c r="H717" s="7">
        <v>2.0</v>
      </c>
      <c r="I717" s="7">
        <v>1.0</v>
      </c>
      <c r="J717" s="7">
        <v>0.0</v>
      </c>
      <c r="K717" s="7" t="s">
        <v>60</v>
      </c>
      <c r="L717" s="9" t="str">
        <f>VLOOKUP(K717, 'Alphabetical by species code'!A:B, 2, FALSE)</f>
        <v>Moss</v>
      </c>
    </row>
    <row r="718">
      <c r="A718" s="7">
        <v>8.0</v>
      </c>
      <c r="B718" s="7">
        <v>2025.0</v>
      </c>
      <c r="C718" s="8">
        <v>45764.0</v>
      </c>
      <c r="D718" s="7" t="s">
        <v>72</v>
      </c>
      <c r="E718" s="7" t="s">
        <v>26</v>
      </c>
      <c r="F718" s="7">
        <v>1.0</v>
      </c>
      <c r="G718" s="7" t="s">
        <v>63</v>
      </c>
      <c r="H718" s="7">
        <v>2.0</v>
      </c>
      <c r="I718" s="7">
        <v>1.0</v>
      </c>
      <c r="J718" s="7">
        <v>0.0</v>
      </c>
      <c r="K718" s="7" t="s">
        <v>40</v>
      </c>
      <c r="L718" s="9" t="str">
        <f>VLOOKUP(K718, 'Alphabetical by species code'!A:B, 2, FALSE)</f>
        <v>Cylindropuntia prolifera</v>
      </c>
    </row>
    <row r="719">
      <c r="A719" s="7">
        <v>8.0</v>
      </c>
      <c r="B719" s="7">
        <v>2025.0</v>
      </c>
      <c r="C719" s="8">
        <v>45764.0</v>
      </c>
      <c r="D719" s="7" t="s">
        <v>72</v>
      </c>
      <c r="E719" s="7" t="s">
        <v>26</v>
      </c>
      <c r="F719" s="7">
        <v>1.0</v>
      </c>
      <c r="G719" s="7" t="s">
        <v>63</v>
      </c>
      <c r="H719" s="7">
        <v>2.0</v>
      </c>
      <c r="I719" s="7">
        <v>1.0</v>
      </c>
      <c r="J719" s="7">
        <v>0.0</v>
      </c>
      <c r="K719" s="7" t="s">
        <v>37</v>
      </c>
      <c r="L719" s="9" t="str">
        <f>VLOOKUP(K719, 'Alphabetical by species code'!A:B, 2, FALSE)</f>
        <v>Sonchus oleraceus</v>
      </c>
    </row>
    <row r="720">
      <c r="A720" s="7">
        <v>8.0</v>
      </c>
      <c r="B720" s="7">
        <v>2025.0</v>
      </c>
      <c r="C720" s="8">
        <v>45764.0</v>
      </c>
      <c r="D720" s="7" t="s">
        <v>72</v>
      </c>
      <c r="E720" s="7" t="s">
        <v>26</v>
      </c>
      <c r="F720" s="7">
        <v>1.0</v>
      </c>
      <c r="G720" s="7" t="s">
        <v>63</v>
      </c>
      <c r="H720" s="7">
        <v>2.0</v>
      </c>
      <c r="I720" s="7">
        <v>1.0</v>
      </c>
      <c r="J720" s="7">
        <v>0.0</v>
      </c>
      <c r="K720" s="7" t="s">
        <v>73</v>
      </c>
      <c r="L720" s="9" t="str">
        <f>VLOOKUP(K720, 'Alphabetical by species code'!A:B, 2, FALSE)</f>
        <v>Eriogonum fasciculatum</v>
      </c>
    </row>
    <row r="721">
      <c r="A721" s="7">
        <v>8.0</v>
      </c>
      <c r="B721" s="7">
        <v>2025.0</v>
      </c>
      <c r="C721" s="8">
        <v>45764.0</v>
      </c>
      <c r="D721" s="7" t="s">
        <v>72</v>
      </c>
      <c r="E721" s="7" t="s">
        <v>26</v>
      </c>
      <c r="F721" s="7">
        <v>1.0</v>
      </c>
      <c r="G721" s="7" t="s">
        <v>63</v>
      </c>
      <c r="H721" s="7">
        <v>2.0</v>
      </c>
      <c r="I721" s="7">
        <v>2.0</v>
      </c>
      <c r="J721" s="7">
        <v>1.0</v>
      </c>
      <c r="K721" s="7" t="s">
        <v>28</v>
      </c>
      <c r="L721" s="9" t="str">
        <f>VLOOKUP(K721, 'Alphabetical by species code'!A:B, 2, FALSE)</f>
        <v>Litter</v>
      </c>
    </row>
    <row r="722">
      <c r="A722" s="7">
        <v>8.0</v>
      </c>
      <c r="B722" s="7">
        <v>2025.0</v>
      </c>
      <c r="C722" s="8">
        <v>45764.0</v>
      </c>
      <c r="D722" s="7" t="s">
        <v>72</v>
      </c>
      <c r="E722" s="7" t="s">
        <v>26</v>
      </c>
      <c r="F722" s="7">
        <v>1.0</v>
      </c>
      <c r="G722" s="7" t="s">
        <v>63</v>
      </c>
      <c r="H722" s="7">
        <v>2.0</v>
      </c>
      <c r="I722" s="7">
        <v>2.0</v>
      </c>
      <c r="J722" s="7">
        <v>1.0</v>
      </c>
      <c r="K722" s="7" t="s">
        <v>32</v>
      </c>
      <c r="L722" s="9" t="str">
        <f>VLOOKUP(K722, 'Alphabetical by species code'!A:B, 2, FALSE)</f>
        <v>Medicago polymorpha</v>
      </c>
    </row>
    <row r="723">
      <c r="A723" s="7">
        <v>8.0</v>
      </c>
      <c r="B723" s="7">
        <v>2025.0</v>
      </c>
      <c r="C723" s="8">
        <v>45764.0</v>
      </c>
      <c r="D723" s="7" t="s">
        <v>72</v>
      </c>
      <c r="E723" s="7" t="s">
        <v>26</v>
      </c>
      <c r="F723" s="7">
        <v>1.0</v>
      </c>
      <c r="G723" s="7" t="s">
        <v>63</v>
      </c>
      <c r="H723" s="7">
        <v>2.0</v>
      </c>
      <c r="I723" s="7">
        <v>2.0</v>
      </c>
      <c r="J723" s="7">
        <v>1.0</v>
      </c>
      <c r="K723" s="7" t="s">
        <v>34</v>
      </c>
      <c r="L723" s="9" t="str">
        <f>VLOOKUP(K723, 'Alphabetical by species code'!A:B, 2, FALSE)</f>
        <v>Erodium cicutarium</v>
      </c>
    </row>
    <row r="724">
      <c r="A724" s="7">
        <v>8.0</v>
      </c>
      <c r="B724" s="7">
        <v>2025.0</v>
      </c>
      <c r="C724" s="8">
        <v>45764.0</v>
      </c>
      <c r="D724" s="7" t="s">
        <v>72</v>
      </c>
      <c r="E724" s="7" t="s">
        <v>26</v>
      </c>
      <c r="F724" s="7">
        <v>1.0</v>
      </c>
      <c r="G724" s="7" t="s">
        <v>63</v>
      </c>
      <c r="H724" s="7">
        <v>2.0</v>
      </c>
      <c r="I724" s="7">
        <v>3.0</v>
      </c>
      <c r="J724" s="7">
        <v>1.5</v>
      </c>
      <c r="K724" s="7" t="s">
        <v>28</v>
      </c>
      <c r="L724" s="9" t="str">
        <f>VLOOKUP(K724, 'Alphabetical by species code'!A:B, 2, FALSE)</f>
        <v>Litter</v>
      </c>
    </row>
    <row r="725">
      <c r="A725" s="7">
        <v>8.0</v>
      </c>
      <c r="B725" s="7">
        <v>2025.0</v>
      </c>
      <c r="C725" s="8">
        <v>45764.0</v>
      </c>
      <c r="D725" s="7" t="s">
        <v>72</v>
      </c>
      <c r="E725" s="7" t="s">
        <v>26</v>
      </c>
      <c r="F725" s="7">
        <v>1.0</v>
      </c>
      <c r="G725" s="7" t="s">
        <v>63</v>
      </c>
      <c r="H725" s="7">
        <v>2.0</v>
      </c>
      <c r="I725" s="7">
        <v>3.0</v>
      </c>
      <c r="J725" s="7">
        <v>1.5</v>
      </c>
      <c r="K725" s="7" t="s">
        <v>35</v>
      </c>
      <c r="L725" s="9" t="str">
        <f>VLOOKUP(K725, 'Alphabetical by species code'!A:B, 2, FALSE)</f>
        <v>Deinandra fasciculata</v>
      </c>
    </row>
    <row r="726">
      <c r="A726" s="7">
        <v>8.0</v>
      </c>
      <c r="B726" s="7">
        <v>2025.0</v>
      </c>
      <c r="C726" s="8">
        <v>45764.0</v>
      </c>
      <c r="D726" s="7" t="s">
        <v>72</v>
      </c>
      <c r="E726" s="7" t="s">
        <v>26</v>
      </c>
      <c r="F726" s="7">
        <v>1.0</v>
      </c>
      <c r="G726" s="7" t="s">
        <v>63</v>
      </c>
      <c r="H726" s="7">
        <v>2.0</v>
      </c>
      <c r="I726" s="7">
        <v>3.0</v>
      </c>
      <c r="J726" s="7">
        <v>1.5</v>
      </c>
      <c r="K726" s="7" t="s">
        <v>30</v>
      </c>
      <c r="L726" s="9" t="str">
        <f>VLOOKUP(K726, 'Alphabetical by species code'!A:B, 2, FALSE)</f>
        <v>Erodium moschatum</v>
      </c>
    </row>
    <row r="727">
      <c r="A727" s="7">
        <v>8.0</v>
      </c>
      <c r="B727" s="7">
        <v>2025.0</v>
      </c>
      <c r="C727" s="8">
        <v>45764.0</v>
      </c>
      <c r="D727" s="7" t="s">
        <v>72</v>
      </c>
      <c r="E727" s="7" t="s">
        <v>26</v>
      </c>
      <c r="F727" s="7">
        <v>1.0</v>
      </c>
      <c r="G727" s="7" t="s">
        <v>63</v>
      </c>
      <c r="H727" s="7">
        <v>2.0</v>
      </c>
      <c r="I727" s="7">
        <v>4.0</v>
      </c>
      <c r="J727" s="7">
        <v>2.0</v>
      </c>
      <c r="K727" s="7" t="s">
        <v>28</v>
      </c>
      <c r="L727" s="9" t="str">
        <f>VLOOKUP(K727, 'Alphabetical by species code'!A:B, 2, FALSE)</f>
        <v>Litter</v>
      </c>
    </row>
    <row r="728">
      <c r="A728" s="7">
        <v>8.0</v>
      </c>
      <c r="B728" s="7">
        <v>2025.0</v>
      </c>
      <c r="C728" s="8">
        <v>45764.0</v>
      </c>
      <c r="D728" s="7" t="s">
        <v>72</v>
      </c>
      <c r="E728" s="7" t="s">
        <v>26</v>
      </c>
      <c r="F728" s="7">
        <v>1.0</v>
      </c>
      <c r="G728" s="7" t="s">
        <v>63</v>
      </c>
      <c r="H728" s="7">
        <v>2.0</v>
      </c>
      <c r="I728" s="7">
        <v>4.0</v>
      </c>
      <c r="J728" s="7">
        <v>2.0</v>
      </c>
      <c r="K728" s="7" t="s">
        <v>36</v>
      </c>
      <c r="L728" s="9" t="str">
        <f>VLOOKUP(K728, 'Alphabetical by species code'!A:B, 2, FALSE)</f>
        <v>Bromus madritensis</v>
      </c>
    </row>
    <row r="729">
      <c r="A729" s="7">
        <v>8.0</v>
      </c>
      <c r="B729" s="7">
        <v>2025.0</v>
      </c>
      <c r="C729" s="8">
        <v>45764.0</v>
      </c>
      <c r="D729" s="7" t="s">
        <v>72</v>
      </c>
      <c r="E729" s="7" t="s">
        <v>26</v>
      </c>
      <c r="F729" s="7">
        <v>1.0</v>
      </c>
      <c r="G729" s="7" t="s">
        <v>63</v>
      </c>
      <c r="H729" s="7">
        <v>2.0</v>
      </c>
      <c r="I729" s="7">
        <v>5.0</v>
      </c>
      <c r="J729" s="7">
        <v>3.0</v>
      </c>
      <c r="K729" s="7" t="s">
        <v>51</v>
      </c>
      <c r="L729" s="9" t="str">
        <f>VLOOKUP(K729, 'Alphabetical by species code'!A:B, 2, FALSE)</f>
        <v>Bareground</v>
      </c>
    </row>
    <row r="730">
      <c r="A730" s="7">
        <v>8.0</v>
      </c>
      <c r="B730" s="7">
        <v>2025.0</v>
      </c>
      <c r="C730" s="8">
        <v>45764.0</v>
      </c>
      <c r="D730" s="7" t="s">
        <v>72</v>
      </c>
      <c r="E730" s="7" t="s">
        <v>26</v>
      </c>
      <c r="F730" s="7">
        <v>1.0</v>
      </c>
      <c r="G730" s="7" t="s">
        <v>63</v>
      </c>
      <c r="H730" s="7">
        <v>2.0</v>
      </c>
      <c r="I730" s="7">
        <v>5.0</v>
      </c>
      <c r="J730" s="7">
        <v>3.0</v>
      </c>
      <c r="K730" s="7" t="s">
        <v>36</v>
      </c>
      <c r="L730" s="9" t="str">
        <f>VLOOKUP(K730, 'Alphabetical by species code'!A:B, 2, FALSE)</f>
        <v>Bromus madritensis</v>
      </c>
    </row>
    <row r="731">
      <c r="A731" s="7">
        <v>8.0</v>
      </c>
      <c r="B731" s="7">
        <v>2025.0</v>
      </c>
      <c r="C731" s="8">
        <v>45764.0</v>
      </c>
      <c r="D731" s="7" t="s">
        <v>72</v>
      </c>
      <c r="E731" s="7" t="s">
        <v>26</v>
      </c>
      <c r="F731" s="7">
        <v>1.0</v>
      </c>
      <c r="G731" s="7" t="s">
        <v>63</v>
      </c>
      <c r="H731" s="7">
        <v>2.0</v>
      </c>
      <c r="I731" s="7">
        <v>6.0</v>
      </c>
      <c r="J731" s="7">
        <v>3.5</v>
      </c>
      <c r="K731" s="7" t="s">
        <v>28</v>
      </c>
      <c r="L731" s="9" t="str">
        <f>VLOOKUP(K731, 'Alphabetical by species code'!A:B, 2, FALSE)</f>
        <v>Litter</v>
      </c>
    </row>
    <row r="732">
      <c r="A732" s="7">
        <v>8.0</v>
      </c>
      <c r="B732" s="7">
        <v>2025.0</v>
      </c>
      <c r="C732" s="8">
        <v>45764.0</v>
      </c>
      <c r="D732" s="7" t="s">
        <v>72</v>
      </c>
      <c r="E732" s="7" t="s">
        <v>26</v>
      </c>
      <c r="F732" s="7">
        <v>1.0</v>
      </c>
      <c r="G732" s="7" t="s">
        <v>63</v>
      </c>
      <c r="H732" s="7">
        <v>2.0</v>
      </c>
      <c r="I732" s="7">
        <v>6.0</v>
      </c>
      <c r="J732" s="7">
        <v>3.5</v>
      </c>
      <c r="K732" s="7" t="s">
        <v>36</v>
      </c>
      <c r="L732" s="9" t="str">
        <f>VLOOKUP(K732, 'Alphabetical by species code'!A:B, 2, FALSE)</f>
        <v>Bromus madritensis</v>
      </c>
    </row>
    <row r="733">
      <c r="A733" s="7">
        <v>8.0</v>
      </c>
      <c r="B733" s="7">
        <v>2025.0</v>
      </c>
      <c r="C733" s="8">
        <v>45764.0</v>
      </c>
      <c r="D733" s="7" t="s">
        <v>72</v>
      </c>
      <c r="E733" s="7" t="s">
        <v>26</v>
      </c>
      <c r="F733" s="7">
        <v>1.0</v>
      </c>
      <c r="G733" s="7" t="s">
        <v>63</v>
      </c>
      <c r="H733" s="7">
        <v>2.0</v>
      </c>
      <c r="I733" s="7">
        <v>7.0</v>
      </c>
      <c r="J733" s="7">
        <v>4.0</v>
      </c>
      <c r="K733" s="7" t="s">
        <v>28</v>
      </c>
      <c r="L733" s="9" t="str">
        <f>VLOOKUP(K733, 'Alphabetical by species code'!A:B, 2, FALSE)</f>
        <v>Litter</v>
      </c>
    </row>
    <row r="734">
      <c r="A734" s="7">
        <v>8.0</v>
      </c>
      <c r="B734" s="7">
        <v>2025.0</v>
      </c>
      <c r="C734" s="8">
        <v>45764.0</v>
      </c>
      <c r="D734" s="7" t="s">
        <v>72</v>
      </c>
      <c r="E734" s="7" t="s">
        <v>26</v>
      </c>
      <c r="F734" s="7">
        <v>1.0</v>
      </c>
      <c r="G734" s="7" t="s">
        <v>63</v>
      </c>
      <c r="H734" s="7">
        <v>2.0</v>
      </c>
      <c r="I734" s="7">
        <v>7.0</v>
      </c>
      <c r="J734" s="7">
        <v>4.0</v>
      </c>
      <c r="K734" s="7" t="s">
        <v>36</v>
      </c>
      <c r="L734" s="9" t="str">
        <f>VLOOKUP(K734, 'Alphabetical by species code'!A:B, 2, FALSE)</f>
        <v>Bromus madritensis</v>
      </c>
    </row>
    <row r="735">
      <c r="A735" s="7">
        <v>8.0</v>
      </c>
      <c r="B735" s="7">
        <v>2025.0</v>
      </c>
      <c r="C735" s="8">
        <v>45764.0</v>
      </c>
      <c r="D735" s="7" t="s">
        <v>72</v>
      </c>
      <c r="E735" s="7" t="s">
        <v>26</v>
      </c>
      <c r="F735" s="7">
        <v>1.0</v>
      </c>
      <c r="G735" s="7" t="s">
        <v>63</v>
      </c>
      <c r="H735" s="7">
        <v>2.0</v>
      </c>
      <c r="I735" s="7">
        <v>8.0</v>
      </c>
      <c r="J735" s="7">
        <v>5.0</v>
      </c>
      <c r="K735" s="7" t="s">
        <v>28</v>
      </c>
      <c r="L735" s="9" t="str">
        <f>VLOOKUP(K735, 'Alphabetical by species code'!A:B, 2, FALSE)</f>
        <v>Litter</v>
      </c>
    </row>
    <row r="736">
      <c r="A736" s="7">
        <v>8.0</v>
      </c>
      <c r="B736" s="7">
        <v>2025.0</v>
      </c>
      <c r="C736" s="8">
        <v>45764.0</v>
      </c>
      <c r="D736" s="7" t="s">
        <v>72</v>
      </c>
      <c r="E736" s="7" t="s">
        <v>26</v>
      </c>
      <c r="F736" s="7">
        <v>1.0</v>
      </c>
      <c r="G736" s="7" t="s">
        <v>63</v>
      </c>
      <c r="H736" s="7">
        <v>2.0</v>
      </c>
      <c r="I736" s="7">
        <v>8.0</v>
      </c>
      <c r="J736" s="7">
        <v>5.0</v>
      </c>
      <c r="K736" s="7" t="s">
        <v>35</v>
      </c>
      <c r="L736" s="9" t="str">
        <f>VLOOKUP(K736, 'Alphabetical by species code'!A:B, 2, FALSE)</f>
        <v>Deinandra fasciculata</v>
      </c>
    </row>
    <row r="737">
      <c r="A737" s="7">
        <v>8.0</v>
      </c>
      <c r="B737" s="7">
        <v>2025.0</v>
      </c>
      <c r="C737" s="8">
        <v>45764.0</v>
      </c>
      <c r="D737" s="7" t="s">
        <v>72</v>
      </c>
      <c r="E737" s="7" t="s">
        <v>26</v>
      </c>
      <c r="F737" s="7">
        <v>1.0</v>
      </c>
      <c r="G737" s="7" t="s">
        <v>63</v>
      </c>
      <c r="H737" s="7">
        <v>2.0</v>
      </c>
      <c r="I737" s="7">
        <v>8.0</v>
      </c>
      <c r="J737" s="7">
        <v>5.0</v>
      </c>
      <c r="K737" s="7" t="s">
        <v>36</v>
      </c>
      <c r="L737" s="9" t="str">
        <f>VLOOKUP(K737, 'Alphabetical by species code'!A:B, 2, FALSE)</f>
        <v>Bromus madritensis</v>
      </c>
    </row>
    <row r="738">
      <c r="A738" s="7">
        <v>8.0</v>
      </c>
      <c r="B738" s="7">
        <v>2025.0</v>
      </c>
      <c r="C738" s="8">
        <v>45764.0</v>
      </c>
      <c r="D738" s="7" t="s">
        <v>72</v>
      </c>
      <c r="E738" s="7" t="s">
        <v>26</v>
      </c>
      <c r="F738" s="7">
        <v>1.0</v>
      </c>
      <c r="G738" s="7" t="s">
        <v>63</v>
      </c>
      <c r="H738" s="7">
        <v>2.0</v>
      </c>
      <c r="I738" s="7">
        <v>9.0</v>
      </c>
      <c r="J738" s="7">
        <v>7.0</v>
      </c>
      <c r="K738" s="7" t="s">
        <v>28</v>
      </c>
      <c r="L738" s="9" t="str">
        <f>VLOOKUP(K738, 'Alphabetical by species code'!A:B, 2, FALSE)</f>
        <v>Litter</v>
      </c>
    </row>
    <row r="739">
      <c r="A739" s="7">
        <v>8.0</v>
      </c>
      <c r="B739" s="7">
        <v>2025.0</v>
      </c>
      <c r="C739" s="8">
        <v>45764.0</v>
      </c>
      <c r="D739" s="7" t="s">
        <v>72</v>
      </c>
      <c r="E739" s="7" t="s">
        <v>26</v>
      </c>
      <c r="F739" s="7">
        <v>1.0</v>
      </c>
      <c r="G739" s="7" t="s">
        <v>63</v>
      </c>
      <c r="H739" s="7">
        <v>2.0</v>
      </c>
      <c r="I739" s="7">
        <v>9.0</v>
      </c>
      <c r="J739" s="7">
        <v>7.0</v>
      </c>
      <c r="K739" s="7" t="s">
        <v>35</v>
      </c>
      <c r="L739" s="9" t="str">
        <f>VLOOKUP(K739, 'Alphabetical by species code'!A:B, 2, FALSE)</f>
        <v>Deinandra fasciculata</v>
      </c>
    </row>
    <row r="740">
      <c r="A740" s="7">
        <v>8.0</v>
      </c>
      <c r="B740" s="7">
        <v>2025.0</v>
      </c>
      <c r="C740" s="8">
        <v>45764.0</v>
      </c>
      <c r="D740" s="7" t="s">
        <v>72</v>
      </c>
      <c r="E740" s="7" t="s">
        <v>26</v>
      </c>
      <c r="F740" s="7">
        <v>1.0</v>
      </c>
      <c r="G740" s="7" t="s">
        <v>63</v>
      </c>
      <c r="H740" s="7">
        <v>2.0</v>
      </c>
      <c r="I740" s="7">
        <v>9.0</v>
      </c>
      <c r="J740" s="7">
        <v>7.0</v>
      </c>
      <c r="K740" s="7" t="s">
        <v>43</v>
      </c>
      <c r="L740" s="9" t="str">
        <f>VLOOKUP(K740, 'Alphabetical by species code'!A:B, 2, FALSE)</f>
        <v>Uropappus lindleyi</v>
      </c>
    </row>
    <row r="741">
      <c r="A741" s="7">
        <v>8.0</v>
      </c>
      <c r="B741" s="7">
        <v>2025.0</v>
      </c>
      <c r="C741" s="8">
        <v>45764.0</v>
      </c>
      <c r="D741" s="7" t="s">
        <v>72</v>
      </c>
      <c r="E741" s="7" t="s">
        <v>26</v>
      </c>
      <c r="F741" s="7">
        <v>1.0</v>
      </c>
      <c r="G741" s="7" t="s">
        <v>63</v>
      </c>
      <c r="H741" s="7">
        <v>2.0</v>
      </c>
      <c r="I741" s="7">
        <v>9.0</v>
      </c>
      <c r="J741" s="7">
        <v>7.0</v>
      </c>
      <c r="K741" s="7" t="s">
        <v>37</v>
      </c>
      <c r="L741" s="9" t="str">
        <f>VLOOKUP(K741, 'Alphabetical by species code'!A:B, 2, FALSE)</f>
        <v>Sonchus oleraceus</v>
      </c>
    </row>
    <row r="742">
      <c r="A742" s="7">
        <v>8.0</v>
      </c>
      <c r="B742" s="7">
        <v>2025.0</v>
      </c>
      <c r="C742" s="8">
        <v>45764.0</v>
      </c>
      <c r="D742" s="7" t="s">
        <v>72</v>
      </c>
      <c r="E742" s="7" t="s">
        <v>26</v>
      </c>
      <c r="F742" s="7">
        <v>1.0</v>
      </c>
      <c r="G742" s="7" t="s">
        <v>63</v>
      </c>
      <c r="H742" s="7">
        <v>2.0</v>
      </c>
      <c r="I742" s="7">
        <v>10.0</v>
      </c>
      <c r="J742" s="7">
        <v>8.0</v>
      </c>
      <c r="K742" s="7" t="s">
        <v>28</v>
      </c>
      <c r="L742" s="9" t="str">
        <f>VLOOKUP(K742, 'Alphabetical by species code'!A:B, 2, FALSE)</f>
        <v>Litter</v>
      </c>
    </row>
    <row r="743">
      <c r="A743" s="7">
        <v>8.0</v>
      </c>
      <c r="B743" s="7">
        <v>2025.0</v>
      </c>
      <c r="C743" s="8">
        <v>45764.0</v>
      </c>
      <c r="D743" s="7" t="s">
        <v>72</v>
      </c>
      <c r="E743" s="7" t="s">
        <v>26</v>
      </c>
      <c r="F743" s="7">
        <v>1.0</v>
      </c>
      <c r="G743" s="7" t="s">
        <v>63</v>
      </c>
      <c r="H743" s="7">
        <v>2.0</v>
      </c>
      <c r="I743" s="7">
        <v>10.0</v>
      </c>
      <c r="J743" s="7">
        <v>8.0</v>
      </c>
      <c r="K743" s="7" t="s">
        <v>35</v>
      </c>
      <c r="L743" s="9" t="str">
        <f>VLOOKUP(K743, 'Alphabetical by species code'!A:B, 2, FALSE)</f>
        <v>Deinandra fasciculata</v>
      </c>
    </row>
    <row r="744">
      <c r="A744" s="7">
        <v>8.0</v>
      </c>
      <c r="B744" s="7">
        <v>2025.0</v>
      </c>
      <c r="C744" s="8">
        <v>45764.0</v>
      </c>
      <c r="D744" s="7" t="s">
        <v>72</v>
      </c>
      <c r="E744" s="7" t="s">
        <v>26</v>
      </c>
      <c r="F744" s="7">
        <v>1.0</v>
      </c>
      <c r="G744" s="7" t="s">
        <v>63</v>
      </c>
      <c r="H744" s="7">
        <v>2.0</v>
      </c>
      <c r="I744" s="7">
        <v>10.0</v>
      </c>
      <c r="J744" s="7">
        <v>8.0</v>
      </c>
      <c r="K744" s="7" t="s">
        <v>65</v>
      </c>
      <c r="L744" s="9" t="str">
        <f>VLOOKUP(K744, 'Alphabetical by species code'!A:B, 2, FALSE)</f>
        <v>Cryptantha intermedia</v>
      </c>
    </row>
    <row r="745">
      <c r="A745" s="7">
        <v>8.0</v>
      </c>
      <c r="B745" s="7">
        <v>2025.0</v>
      </c>
      <c r="C745" s="8">
        <v>45764.0</v>
      </c>
      <c r="D745" s="7" t="s">
        <v>72</v>
      </c>
      <c r="E745" s="7" t="s">
        <v>26</v>
      </c>
      <c r="F745" s="7">
        <v>1.0</v>
      </c>
      <c r="G745" s="7" t="s">
        <v>63</v>
      </c>
      <c r="H745" s="7">
        <v>2.0</v>
      </c>
      <c r="I745" s="7">
        <v>11.0</v>
      </c>
      <c r="J745" s="7">
        <v>8.5</v>
      </c>
      <c r="K745" s="7" t="s">
        <v>28</v>
      </c>
      <c r="L745" s="9" t="str">
        <f>VLOOKUP(K745, 'Alphabetical by species code'!A:B, 2, FALSE)</f>
        <v>Litter</v>
      </c>
    </row>
    <row r="746">
      <c r="A746" s="7">
        <v>8.0</v>
      </c>
      <c r="B746" s="7">
        <v>2025.0</v>
      </c>
      <c r="C746" s="8">
        <v>45764.0</v>
      </c>
      <c r="D746" s="7" t="s">
        <v>72</v>
      </c>
      <c r="E746" s="7" t="s">
        <v>26</v>
      </c>
      <c r="F746" s="7">
        <v>1.0</v>
      </c>
      <c r="G746" s="7" t="s">
        <v>63</v>
      </c>
      <c r="H746" s="7">
        <v>2.0</v>
      </c>
      <c r="I746" s="7">
        <v>11.0</v>
      </c>
      <c r="J746" s="7">
        <v>8.5</v>
      </c>
      <c r="K746" s="7" t="s">
        <v>35</v>
      </c>
      <c r="L746" s="9" t="str">
        <f>VLOOKUP(K746, 'Alphabetical by species code'!A:B, 2, FALSE)</f>
        <v>Deinandra fasciculata</v>
      </c>
    </row>
    <row r="747">
      <c r="A747" s="7">
        <v>8.0</v>
      </c>
      <c r="B747" s="7">
        <v>2025.0</v>
      </c>
      <c r="C747" s="8">
        <v>45764.0</v>
      </c>
      <c r="D747" s="7" t="s">
        <v>72</v>
      </c>
      <c r="E747" s="7" t="s">
        <v>26</v>
      </c>
      <c r="F747" s="7">
        <v>1.0</v>
      </c>
      <c r="G747" s="7" t="s">
        <v>63</v>
      </c>
      <c r="H747" s="7">
        <v>2.0</v>
      </c>
      <c r="I747" s="7">
        <v>12.0</v>
      </c>
      <c r="J747" s="7">
        <v>9.0</v>
      </c>
      <c r="K747" s="7" t="s">
        <v>28</v>
      </c>
      <c r="L747" s="9" t="str">
        <f>VLOOKUP(K747, 'Alphabetical by species code'!A:B, 2, FALSE)</f>
        <v>Litter</v>
      </c>
    </row>
    <row r="748">
      <c r="A748" s="7">
        <v>8.0</v>
      </c>
      <c r="B748" s="7">
        <v>2025.0</v>
      </c>
      <c r="C748" s="8">
        <v>45764.0</v>
      </c>
      <c r="D748" s="7" t="s">
        <v>72</v>
      </c>
      <c r="E748" s="7" t="s">
        <v>26</v>
      </c>
      <c r="F748" s="7">
        <v>1.0</v>
      </c>
      <c r="G748" s="7" t="s">
        <v>63</v>
      </c>
      <c r="H748" s="7">
        <v>2.0</v>
      </c>
      <c r="I748" s="7">
        <v>12.0</v>
      </c>
      <c r="J748" s="7">
        <v>9.0</v>
      </c>
      <c r="K748" s="7" t="s">
        <v>48</v>
      </c>
      <c r="L748" s="9" t="str">
        <f>VLOOKUP(K748, 'Alphabetical by species code'!A:B, 2, FALSE)</f>
        <v>Sonchus asper</v>
      </c>
    </row>
    <row r="749">
      <c r="A749" s="7">
        <v>8.0</v>
      </c>
      <c r="B749" s="7">
        <v>2025.0</v>
      </c>
      <c r="C749" s="8">
        <v>45764.0</v>
      </c>
      <c r="D749" s="7" t="s">
        <v>72</v>
      </c>
      <c r="E749" s="7" t="s">
        <v>26</v>
      </c>
      <c r="F749" s="7">
        <v>1.0</v>
      </c>
      <c r="G749" s="7" t="s">
        <v>63</v>
      </c>
      <c r="H749" s="7">
        <v>2.0</v>
      </c>
      <c r="I749" s="7">
        <v>12.0</v>
      </c>
      <c r="J749" s="7">
        <v>9.0</v>
      </c>
      <c r="K749" s="7" t="s">
        <v>35</v>
      </c>
      <c r="L749" s="9" t="str">
        <f>VLOOKUP(K749, 'Alphabetical by species code'!A:B, 2, FALSE)</f>
        <v>Deinandra fasciculata</v>
      </c>
    </row>
    <row r="750">
      <c r="A750" s="7">
        <v>8.0</v>
      </c>
      <c r="B750" s="7">
        <v>2025.0</v>
      </c>
      <c r="C750" s="8">
        <v>45764.0</v>
      </c>
      <c r="D750" s="7" t="s">
        <v>72</v>
      </c>
      <c r="E750" s="7" t="s">
        <v>26</v>
      </c>
      <c r="F750" s="7">
        <v>1.0</v>
      </c>
      <c r="G750" s="7" t="s">
        <v>63</v>
      </c>
      <c r="H750" s="7">
        <v>2.0</v>
      </c>
      <c r="I750" s="7">
        <v>12.0</v>
      </c>
      <c r="J750" s="7">
        <v>9.0</v>
      </c>
      <c r="K750" s="7" t="s">
        <v>31</v>
      </c>
      <c r="L750" s="9" t="str">
        <f>VLOOKUP(K750, 'Alphabetical by species code'!A:B, 2, FALSE)</f>
        <v>Festuca myuros</v>
      </c>
    </row>
    <row r="751">
      <c r="A751" s="7">
        <v>8.0</v>
      </c>
      <c r="B751" s="7">
        <v>2025.0</v>
      </c>
      <c r="C751" s="8">
        <v>45764.0</v>
      </c>
      <c r="D751" s="7" t="s">
        <v>72</v>
      </c>
      <c r="E751" s="7" t="s">
        <v>26</v>
      </c>
      <c r="F751" s="7">
        <v>1.0</v>
      </c>
      <c r="G751" s="7" t="s">
        <v>63</v>
      </c>
      <c r="H751" s="7">
        <v>2.0</v>
      </c>
      <c r="I751" s="7">
        <v>13.0</v>
      </c>
      <c r="J751" s="7">
        <v>10.0</v>
      </c>
      <c r="K751" s="7" t="s">
        <v>28</v>
      </c>
      <c r="L751" s="9" t="str">
        <f>VLOOKUP(K751, 'Alphabetical by species code'!A:B, 2, FALSE)</f>
        <v>Litter</v>
      </c>
    </row>
    <row r="752">
      <c r="A752" s="7">
        <v>8.0</v>
      </c>
      <c r="B752" s="7">
        <v>2025.0</v>
      </c>
      <c r="C752" s="8">
        <v>45764.0</v>
      </c>
      <c r="D752" s="7" t="s">
        <v>72</v>
      </c>
      <c r="E752" s="7" t="s">
        <v>26</v>
      </c>
      <c r="F752" s="7">
        <v>1.0</v>
      </c>
      <c r="G752" s="7" t="s">
        <v>63</v>
      </c>
      <c r="H752" s="7">
        <v>2.0</v>
      </c>
      <c r="I752" s="7">
        <v>13.0</v>
      </c>
      <c r="J752" s="7">
        <v>10.0</v>
      </c>
      <c r="K752" s="7" t="s">
        <v>35</v>
      </c>
      <c r="L752" s="9" t="str">
        <f>VLOOKUP(K752, 'Alphabetical by species code'!A:B, 2, FALSE)</f>
        <v>Deinandra fasciculata</v>
      </c>
    </row>
    <row r="753">
      <c r="A753" s="7">
        <v>8.0</v>
      </c>
      <c r="B753" s="7">
        <v>2025.0</v>
      </c>
      <c r="C753" s="8">
        <v>45764.0</v>
      </c>
      <c r="D753" s="7" t="s">
        <v>72</v>
      </c>
      <c r="E753" s="7" t="s">
        <v>26</v>
      </c>
      <c r="F753" s="7">
        <v>1.0</v>
      </c>
      <c r="G753" s="7" t="s">
        <v>63</v>
      </c>
      <c r="H753" s="7">
        <v>2.0</v>
      </c>
      <c r="I753" s="7">
        <v>13.0</v>
      </c>
      <c r="J753" s="7">
        <v>10.0</v>
      </c>
      <c r="K753" s="7" t="s">
        <v>31</v>
      </c>
      <c r="L753" s="9" t="str">
        <f>VLOOKUP(K753, 'Alphabetical by species code'!A:B, 2, FALSE)</f>
        <v>Festuca myuros</v>
      </c>
    </row>
    <row r="754">
      <c r="A754" s="7">
        <v>8.0</v>
      </c>
      <c r="B754" s="7">
        <v>2025.0</v>
      </c>
      <c r="C754" s="8">
        <v>45764.0</v>
      </c>
      <c r="D754" s="7" t="s">
        <v>72</v>
      </c>
      <c r="E754" s="7" t="s">
        <v>26</v>
      </c>
      <c r="F754" s="7">
        <v>1.0</v>
      </c>
      <c r="G754" s="7" t="s">
        <v>63</v>
      </c>
      <c r="H754" s="7">
        <v>2.0</v>
      </c>
      <c r="I754" s="7">
        <v>14.0</v>
      </c>
      <c r="J754" s="7">
        <v>11.0</v>
      </c>
      <c r="K754" s="7" t="s">
        <v>51</v>
      </c>
      <c r="L754" s="9" t="str">
        <f>VLOOKUP(K754, 'Alphabetical by species code'!A:B, 2, FALSE)</f>
        <v>Bareground</v>
      </c>
    </row>
    <row r="755">
      <c r="A755" s="7">
        <v>8.0</v>
      </c>
      <c r="B755" s="7">
        <v>2025.0</v>
      </c>
      <c r="C755" s="8">
        <v>45764.0</v>
      </c>
      <c r="D755" s="7" t="s">
        <v>72</v>
      </c>
      <c r="E755" s="7" t="s">
        <v>26</v>
      </c>
      <c r="F755" s="7">
        <v>1.0</v>
      </c>
      <c r="G755" s="7" t="s">
        <v>63</v>
      </c>
      <c r="H755" s="7">
        <v>2.0</v>
      </c>
      <c r="I755" s="7">
        <v>14.0</v>
      </c>
      <c r="J755" s="7">
        <v>11.0</v>
      </c>
      <c r="K755" s="7" t="s">
        <v>35</v>
      </c>
      <c r="L755" s="9" t="str">
        <f>VLOOKUP(K755, 'Alphabetical by species code'!A:B, 2, FALSE)</f>
        <v>Deinandra fasciculata</v>
      </c>
    </row>
    <row r="756">
      <c r="A756" s="7">
        <v>8.0</v>
      </c>
      <c r="B756" s="7">
        <v>2025.0</v>
      </c>
      <c r="C756" s="8">
        <v>45764.0</v>
      </c>
      <c r="D756" s="7" t="s">
        <v>72</v>
      </c>
      <c r="E756" s="7" t="s">
        <v>26</v>
      </c>
      <c r="F756" s="7">
        <v>1.0</v>
      </c>
      <c r="G756" s="7" t="s">
        <v>63</v>
      </c>
      <c r="H756" s="7">
        <v>2.0</v>
      </c>
      <c r="I756" s="7">
        <v>14.0</v>
      </c>
      <c r="J756" s="7">
        <v>11.0</v>
      </c>
      <c r="K756" s="7" t="s">
        <v>31</v>
      </c>
      <c r="L756" s="9" t="str">
        <f>VLOOKUP(K756, 'Alphabetical by species code'!A:B, 2, FALSE)</f>
        <v>Festuca myuros</v>
      </c>
    </row>
    <row r="757">
      <c r="A757" s="7">
        <v>8.0</v>
      </c>
      <c r="B757" s="7">
        <v>2025.0</v>
      </c>
      <c r="C757" s="8">
        <v>45764.0</v>
      </c>
      <c r="D757" s="7" t="s">
        <v>72</v>
      </c>
      <c r="E757" s="7" t="s">
        <v>26</v>
      </c>
      <c r="F757" s="7">
        <v>1.0</v>
      </c>
      <c r="G757" s="7" t="s">
        <v>63</v>
      </c>
      <c r="H757" s="7">
        <v>2.0</v>
      </c>
      <c r="I757" s="7">
        <v>15.0</v>
      </c>
      <c r="J757" s="7">
        <v>12.0</v>
      </c>
      <c r="K757" s="7" t="s">
        <v>28</v>
      </c>
      <c r="L757" s="9" t="str">
        <f>VLOOKUP(K757, 'Alphabetical by species code'!A:B, 2, FALSE)</f>
        <v>Litter</v>
      </c>
    </row>
    <row r="758">
      <c r="A758" s="7">
        <v>8.0</v>
      </c>
      <c r="B758" s="7">
        <v>2025.0</v>
      </c>
      <c r="C758" s="8">
        <v>45764.0</v>
      </c>
      <c r="D758" s="7" t="s">
        <v>72</v>
      </c>
      <c r="E758" s="7" t="s">
        <v>26</v>
      </c>
      <c r="F758" s="7">
        <v>1.0</v>
      </c>
      <c r="G758" s="7" t="s">
        <v>63</v>
      </c>
      <c r="H758" s="7">
        <v>2.0</v>
      </c>
      <c r="I758" s="7">
        <v>15.0</v>
      </c>
      <c r="J758" s="7">
        <v>12.0</v>
      </c>
      <c r="K758" s="7" t="s">
        <v>31</v>
      </c>
      <c r="L758" s="9" t="str">
        <f>VLOOKUP(K758, 'Alphabetical by species code'!A:B, 2, FALSE)</f>
        <v>Festuca myuros</v>
      </c>
    </row>
    <row r="759">
      <c r="A759" s="7">
        <v>8.0</v>
      </c>
      <c r="B759" s="7">
        <v>2025.0</v>
      </c>
      <c r="C759" s="8">
        <v>45764.0</v>
      </c>
      <c r="D759" s="7" t="s">
        <v>72</v>
      </c>
      <c r="E759" s="7" t="s">
        <v>26</v>
      </c>
      <c r="F759" s="7">
        <v>1.0</v>
      </c>
      <c r="G759" s="7" t="s">
        <v>63</v>
      </c>
      <c r="H759" s="7">
        <v>2.0</v>
      </c>
      <c r="I759" s="7">
        <v>15.0</v>
      </c>
      <c r="J759" s="7">
        <v>12.0</v>
      </c>
      <c r="K759" s="7" t="s">
        <v>43</v>
      </c>
      <c r="L759" s="9" t="str">
        <f>VLOOKUP(K759, 'Alphabetical by species code'!A:B, 2, FALSE)</f>
        <v>Uropappus lindleyi</v>
      </c>
    </row>
    <row r="760">
      <c r="A760" s="7">
        <v>9.0</v>
      </c>
      <c r="B760" s="7">
        <v>2025.0</v>
      </c>
      <c r="C760" s="8">
        <v>45764.0</v>
      </c>
      <c r="D760" s="7" t="s">
        <v>74</v>
      </c>
      <c r="E760" s="7" t="s">
        <v>75</v>
      </c>
      <c r="F760" s="7">
        <v>1.0</v>
      </c>
      <c r="G760" s="7" t="s">
        <v>27</v>
      </c>
      <c r="H760" s="7">
        <v>1.0</v>
      </c>
      <c r="I760" s="7">
        <v>1.0</v>
      </c>
      <c r="J760" s="7">
        <v>0.0</v>
      </c>
      <c r="K760" s="7" t="s">
        <v>60</v>
      </c>
      <c r="L760" s="9" t="str">
        <f>VLOOKUP(K760, 'Alphabetical by species code'!A:B, 2, FALSE)</f>
        <v>Moss</v>
      </c>
    </row>
    <row r="761">
      <c r="A761" s="7">
        <v>9.0</v>
      </c>
      <c r="B761" s="7">
        <v>2025.0</v>
      </c>
      <c r="C761" s="8">
        <v>45764.0</v>
      </c>
      <c r="D761" s="7" t="s">
        <v>74</v>
      </c>
      <c r="E761" s="7" t="s">
        <v>75</v>
      </c>
      <c r="F761" s="7">
        <v>1.0</v>
      </c>
      <c r="G761" s="7" t="s">
        <v>27</v>
      </c>
      <c r="H761" s="7">
        <v>1.0</v>
      </c>
      <c r="I761" s="7">
        <v>1.0</v>
      </c>
      <c r="J761" s="7">
        <v>0.0</v>
      </c>
      <c r="K761" s="7" t="s">
        <v>29</v>
      </c>
      <c r="L761" s="9" t="str">
        <f>VLOOKUP(K761, 'Alphabetical by species code'!A:B, 2, FALSE)</f>
        <v>Opuntia littoralis</v>
      </c>
    </row>
    <row r="762">
      <c r="A762" s="7">
        <v>9.0</v>
      </c>
      <c r="B762" s="7">
        <v>2025.0</v>
      </c>
      <c r="C762" s="8">
        <v>45764.0</v>
      </c>
      <c r="D762" s="7" t="s">
        <v>74</v>
      </c>
      <c r="E762" s="7" t="s">
        <v>75</v>
      </c>
      <c r="F762" s="7">
        <v>1.0</v>
      </c>
      <c r="G762" s="7" t="s">
        <v>27</v>
      </c>
      <c r="H762" s="7">
        <v>1.0</v>
      </c>
      <c r="I762" s="7">
        <v>2.0</v>
      </c>
      <c r="J762" s="7">
        <v>0.5</v>
      </c>
      <c r="K762" s="7" t="s">
        <v>41</v>
      </c>
      <c r="L762" s="9" t="str">
        <f>VLOOKUP(K762, 'Alphabetical by species code'!A:B, 2, FALSE)</f>
        <v>Stem</v>
      </c>
    </row>
    <row r="763">
      <c r="A763" s="7">
        <v>9.0</v>
      </c>
      <c r="B763" s="7">
        <v>2025.0</v>
      </c>
      <c r="C763" s="8">
        <v>45764.0</v>
      </c>
      <c r="D763" s="7" t="s">
        <v>74</v>
      </c>
      <c r="E763" s="7" t="s">
        <v>75</v>
      </c>
      <c r="F763" s="7">
        <v>1.0</v>
      </c>
      <c r="G763" s="7" t="s">
        <v>27</v>
      </c>
      <c r="H763" s="7">
        <v>1.0</v>
      </c>
      <c r="I763" s="7">
        <v>2.0</v>
      </c>
      <c r="J763" s="7">
        <v>0.5</v>
      </c>
      <c r="K763" s="7" t="s">
        <v>29</v>
      </c>
      <c r="L763" s="9" t="str">
        <f>VLOOKUP(K763, 'Alphabetical by species code'!A:B, 2, FALSE)</f>
        <v>Opuntia littoralis</v>
      </c>
    </row>
    <row r="764">
      <c r="A764" s="7">
        <v>9.0</v>
      </c>
      <c r="B764" s="7">
        <v>2025.0</v>
      </c>
      <c r="C764" s="8">
        <v>45764.0</v>
      </c>
      <c r="D764" s="7" t="s">
        <v>74</v>
      </c>
      <c r="E764" s="7" t="s">
        <v>75</v>
      </c>
      <c r="F764" s="7">
        <v>1.0</v>
      </c>
      <c r="G764" s="7" t="s">
        <v>27</v>
      </c>
      <c r="H764" s="7">
        <v>1.0</v>
      </c>
      <c r="I764" s="7">
        <v>3.0</v>
      </c>
      <c r="J764" s="7">
        <v>1.0</v>
      </c>
      <c r="K764" s="7" t="s">
        <v>28</v>
      </c>
      <c r="L764" s="9" t="str">
        <f>VLOOKUP(K764, 'Alphabetical by species code'!A:B, 2, FALSE)</f>
        <v>Litter</v>
      </c>
    </row>
    <row r="765">
      <c r="A765" s="7">
        <v>9.0</v>
      </c>
      <c r="B765" s="7">
        <v>2025.0</v>
      </c>
      <c r="C765" s="8">
        <v>45764.0</v>
      </c>
      <c r="D765" s="7" t="s">
        <v>74</v>
      </c>
      <c r="E765" s="7" t="s">
        <v>75</v>
      </c>
      <c r="F765" s="7">
        <v>1.0</v>
      </c>
      <c r="G765" s="7" t="s">
        <v>27</v>
      </c>
      <c r="H765" s="7">
        <v>1.0</v>
      </c>
      <c r="I765" s="7">
        <v>3.0</v>
      </c>
      <c r="J765" s="7">
        <v>1.0</v>
      </c>
      <c r="K765" s="7" t="s">
        <v>29</v>
      </c>
      <c r="L765" s="9" t="str">
        <f>VLOOKUP(K765, 'Alphabetical by species code'!A:B, 2, FALSE)</f>
        <v>Opuntia littoralis</v>
      </c>
    </row>
    <row r="766">
      <c r="A766" s="7">
        <v>9.0</v>
      </c>
      <c r="B766" s="7">
        <v>2025.0</v>
      </c>
      <c r="C766" s="8">
        <v>45764.0</v>
      </c>
      <c r="D766" s="7" t="s">
        <v>74</v>
      </c>
      <c r="E766" s="7" t="s">
        <v>75</v>
      </c>
      <c r="F766" s="7">
        <v>1.0</v>
      </c>
      <c r="G766" s="7" t="s">
        <v>27</v>
      </c>
      <c r="H766" s="7">
        <v>1.0</v>
      </c>
      <c r="I766" s="7">
        <v>3.0</v>
      </c>
      <c r="J766" s="7">
        <v>1.0</v>
      </c>
      <c r="K766" s="7" t="s">
        <v>33</v>
      </c>
      <c r="L766" s="9" t="str">
        <f>VLOOKUP(K766, 'Alphabetical by species code'!A:B, 2, FALSE)</f>
        <v>Unknown non-native grass</v>
      </c>
    </row>
    <row r="767">
      <c r="A767" s="7">
        <v>9.0</v>
      </c>
      <c r="B767" s="7">
        <v>2025.0</v>
      </c>
      <c r="C767" s="8">
        <v>45764.0</v>
      </c>
      <c r="D767" s="7" t="s">
        <v>74</v>
      </c>
      <c r="E767" s="7" t="s">
        <v>75</v>
      </c>
      <c r="F767" s="7">
        <v>1.0</v>
      </c>
      <c r="G767" s="7" t="s">
        <v>27</v>
      </c>
      <c r="H767" s="7">
        <v>1.0</v>
      </c>
      <c r="I767" s="7">
        <v>4.0</v>
      </c>
      <c r="J767" s="7">
        <v>1.5</v>
      </c>
      <c r="K767" s="7" t="s">
        <v>41</v>
      </c>
      <c r="L767" s="9" t="str">
        <f>VLOOKUP(K767, 'Alphabetical by species code'!A:B, 2, FALSE)</f>
        <v>Stem</v>
      </c>
    </row>
    <row r="768">
      <c r="A768" s="7">
        <v>9.0</v>
      </c>
      <c r="B768" s="7">
        <v>2025.0</v>
      </c>
      <c r="C768" s="8">
        <v>45764.0</v>
      </c>
      <c r="D768" s="7" t="s">
        <v>74</v>
      </c>
      <c r="E768" s="7" t="s">
        <v>75</v>
      </c>
      <c r="F768" s="7">
        <v>1.0</v>
      </c>
      <c r="G768" s="7" t="s">
        <v>27</v>
      </c>
      <c r="H768" s="7">
        <v>1.0</v>
      </c>
      <c r="I768" s="7">
        <v>4.0</v>
      </c>
      <c r="J768" s="7">
        <v>1.5</v>
      </c>
      <c r="K768" s="7" t="s">
        <v>29</v>
      </c>
      <c r="L768" s="9" t="str">
        <f>VLOOKUP(K768, 'Alphabetical by species code'!A:B, 2, FALSE)</f>
        <v>Opuntia littoralis</v>
      </c>
    </row>
    <row r="769">
      <c r="A769" s="7">
        <v>9.0</v>
      </c>
      <c r="B769" s="7">
        <v>2025.0</v>
      </c>
      <c r="C769" s="8">
        <v>45764.0</v>
      </c>
      <c r="D769" s="7" t="s">
        <v>74</v>
      </c>
      <c r="E769" s="7" t="s">
        <v>75</v>
      </c>
      <c r="F769" s="7">
        <v>1.0</v>
      </c>
      <c r="G769" s="7" t="s">
        <v>27</v>
      </c>
      <c r="H769" s="7">
        <v>1.0</v>
      </c>
      <c r="I769" s="7">
        <v>4.0</v>
      </c>
      <c r="J769" s="7">
        <v>1.5</v>
      </c>
      <c r="K769" s="7" t="s">
        <v>35</v>
      </c>
      <c r="L769" s="9" t="str">
        <f>VLOOKUP(K769, 'Alphabetical by species code'!A:B, 2, FALSE)</f>
        <v>Deinandra fasciculata</v>
      </c>
    </row>
    <row r="770">
      <c r="A770" s="7">
        <v>9.0</v>
      </c>
      <c r="B770" s="7">
        <v>2025.0</v>
      </c>
      <c r="C770" s="8">
        <v>45764.0</v>
      </c>
      <c r="D770" s="7" t="s">
        <v>74</v>
      </c>
      <c r="E770" s="7" t="s">
        <v>75</v>
      </c>
      <c r="F770" s="7">
        <v>1.0</v>
      </c>
      <c r="G770" s="7" t="s">
        <v>27</v>
      </c>
      <c r="H770" s="7">
        <v>1.0</v>
      </c>
      <c r="I770" s="7">
        <v>5.0</v>
      </c>
      <c r="J770" s="7">
        <v>2.0</v>
      </c>
      <c r="K770" s="7" t="s">
        <v>28</v>
      </c>
      <c r="L770" s="9" t="str">
        <f>VLOOKUP(K770, 'Alphabetical by species code'!A:B, 2, FALSE)</f>
        <v>Litter</v>
      </c>
    </row>
    <row r="771">
      <c r="A771" s="7">
        <v>9.0</v>
      </c>
      <c r="B771" s="7">
        <v>2025.0</v>
      </c>
      <c r="C771" s="8">
        <v>45764.0</v>
      </c>
      <c r="D771" s="7" t="s">
        <v>74</v>
      </c>
      <c r="E771" s="7" t="s">
        <v>75</v>
      </c>
      <c r="F771" s="7">
        <v>1.0</v>
      </c>
      <c r="G771" s="7" t="s">
        <v>27</v>
      </c>
      <c r="H771" s="7">
        <v>1.0</v>
      </c>
      <c r="I771" s="7">
        <v>5.0</v>
      </c>
      <c r="J771" s="7">
        <v>2.0</v>
      </c>
      <c r="K771" s="7" t="s">
        <v>48</v>
      </c>
      <c r="L771" s="9" t="str">
        <f>VLOOKUP(K771, 'Alphabetical by species code'!A:B, 2, FALSE)</f>
        <v>Sonchus asper</v>
      </c>
    </row>
    <row r="772">
      <c r="A772" s="7">
        <v>9.0</v>
      </c>
      <c r="B772" s="7">
        <v>2025.0</v>
      </c>
      <c r="C772" s="8">
        <v>45764.0</v>
      </c>
      <c r="D772" s="7" t="s">
        <v>74</v>
      </c>
      <c r="E772" s="7" t="s">
        <v>75</v>
      </c>
      <c r="F772" s="7">
        <v>1.0</v>
      </c>
      <c r="G772" s="7" t="s">
        <v>27</v>
      </c>
      <c r="H772" s="7">
        <v>1.0</v>
      </c>
      <c r="I772" s="7">
        <v>5.0</v>
      </c>
      <c r="J772" s="7">
        <v>2.0</v>
      </c>
      <c r="K772" s="7" t="s">
        <v>42</v>
      </c>
      <c r="L772" s="9" t="str">
        <f>VLOOKUP(K772, 'Alphabetical by species code'!A:B, 2, FALSE)</f>
        <v>Centaurea melitensis</v>
      </c>
    </row>
    <row r="773">
      <c r="A773" s="7">
        <v>9.0</v>
      </c>
      <c r="B773" s="7">
        <v>2025.0</v>
      </c>
      <c r="C773" s="8">
        <v>45764.0</v>
      </c>
      <c r="D773" s="7" t="s">
        <v>74</v>
      </c>
      <c r="E773" s="7" t="s">
        <v>75</v>
      </c>
      <c r="F773" s="7">
        <v>1.0</v>
      </c>
      <c r="G773" s="7" t="s">
        <v>27</v>
      </c>
      <c r="H773" s="7">
        <v>1.0</v>
      </c>
      <c r="I773" s="7">
        <v>6.0</v>
      </c>
      <c r="J773" s="7">
        <v>2.5</v>
      </c>
      <c r="K773" s="7" t="s">
        <v>28</v>
      </c>
      <c r="L773" s="9" t="str">
        <f>VLOOKUP(K773, 'Alphabetical by species code'!A:B, 2, FALSE)</f>
        <v>Litter</v>
      </c>
    </row>
    <row r="774">
      <c r="A774" s="7">
        <v>9.0</v>
      </c>
      <c r="B774" s="7">
        <v>2025.0</v>
      </c>
      <c r="C774" s="8">
        <v>45764.0</v>
      </c>
      <c r="D774" s="7" t="s">
        <v>74</v>
      </c>
      <c r="E774" s="7" t="s">
        <v>75</v>
      </c>
      <c r="F774" s="7">
        <v>1.0</v>
      </c>
      <c r="G774" s="7" t="s">
        <v>27</v>
      </c>
      <c r="H774" s="7">
        <v>1.0</v>
      </c>
      <c r="I774" s="7">
        <v>6.0</v>
      </c>
      <c r="J774" s="7">
        <v>2.5</v>
      </c>
      <c r="K774" s="7" t="s">
        <v>76</v>
      </c>
      <c r="L774" s="9" t="str">
        <f>VLOOKUP(K774, 'Alphabetical by species code'!A:B, 2, FALSE)</f>
        <v>Avena fatua</v>
      </c>
    </row>
    <row r="775">
      <c r="A775" s="7">
        <v>9.0</v>
      </c>
      <c r="B775" s="7">
        <v>2025.0</v>
      </c>
      <c r="C775" s="8">
        <v>45764.0</v>
      </c>
      <c r="D775" s="7" t="s">
        <v>74</v>
      </c>
      <c r="E775" s="7" t="s">
        <v>75</v>
      </c>
      <c r="F775" s="7">
        <v>1.0</v>
      </c>
      <c r="G775" s="7" t="s">
        <v>27</v>
      </c>
      <c r="H775" s="7">
        <v>1.0</v>
      </c>
      <c r="I775" s="7">
        <v>6.0</v>
      </c>
      <c r="J775" s="7">
        <v>2.5</v>
      </c>
      <c r="K775" s="7" t="s">
        <v>36</v>
      </c>
      <c r="L775" s="9" t="str">
        <f>VLOOKUP(K775, 'Alphabetical by species code'!A:B, 2, FALSE)</f>
        <v>Bromus madritensis</v>
      </c>
    </row>
    <row r="776">
      <c r="A776" s="7">
        <v>9.0</v>
      </c>
      <c r="B776" s="7">
        <v>2025.0</v>
      </c>
      <c r="C776" s="8">
        <v>45764.0</v>
      </c>
      <c r="D776" s="7" t="s">
        <v>74</v>
      </c>
      <c r="E776" s="7" t="s">
        <v>75</v>
      </c>
      <c r="F776" s="7">
        <v>1.0</v>
      </c>
      <c r="G776" s="7" t="s">
        <v>27</v>
      </c>
      <c r="H776" s="7">
        <v>1.0</v>
      </c>
      <c r="I776" s="7">
        <v>6.0</v>
      </c>
      <c r="J776" s="7">
        <v>2.5</v>
      </c>
      <c r="K776" s="7" t="s">
        <v>29</v>
      </c>
      <c r="L776" s="9" t="str">
        <f>VLOOKUP(K776, 'Alphabetical by species code'!A:B, 2, FALSE)</f>
        <v>Opuntia littoralis</v>
      </c>
    </row>
    <row r="777">
      <c r="A777" s="7">
        <v>9.0</v>
      </c>
      <c r="B777" s="7">
        <v>2025.0</v>
      </c>
      <c r="C777" s="8">
        <v>45764.0</v>
      </c>
      <c r="D777" s="7" t="s">
        <v>74</v>
      </c>
      <c r="E777" s="7" t="s">
        <v>75</v>
      </c>
      <c r="F777" s="7">
        <v>1.0</v>
      </c>
      <c r="G777" s="7" t="s">
        <v>27</v>
      </c>
      <c r="H777" s="7">
        <v>1.0</v>
      </c>
      <c r="I777" s="7">
        <v>7.0</v>
      </c>
      <c r="J777" s="7">
        <v>3.0</v>
      </c>
      <c r="K777" s="7" t="s">
        <v>28</v>
      </c>
      <c r="L777" s="9" t="str">
        <f>VLOOKUP(K777, 'Alphabetical by species code'!A:B, 2, FALSE)</f>
        <v>Litter</v>
      </c>
    </row>
    <row r="778">
      <c r="A778" s="7">
        <v>9.0</v>
      </c>
      <c r="B778" s="7">
        <v>2025.0</v>
      </c>
      <c r="C778" s="8">
        <v>45764.0</v>
      </c>
      <c r="D778" s="7" t="s">
        <v>74</v>
      </c>
      <c r="E778" s="7" t="s">
        <v>75</v>
      </c>
      <c r="F778" s="7">
        <v>1.0</v>
      </c>
      <c r="G778" s="7" t="s">
        <v>27</v>
      </c>
      <c r="H778" s="7">
        <v>1.0</v>
      </c>
      <c r="I778" s="7">
        <v>7.0</v>
      </c>
      <c r="J778" s="7">
        <v>3.0</v>
      </c>
      <c r="K778" s="7" t="s">
        <v>35</v>
      </c>
      <c r="L778" s="9" t="str">
        <f>VLOOKUP(K778, 'Alphabetical by species code'!A:B, 2, FALSE)</f>
        <v>Deinandra fasciculata</v>
      </c>
    </row>
    <row r="779">
      <c r="A779" s="7">
        <v>9.0</v>
      </c>
      <c r="B779" s="7">
        <v>2025.0</v>
      </c>
      <c r="C779" s="8">
        <v>45764.0</v>
      </c>
      <c r="D779" s="7" t="s">
        <v>74</v>
      </c>
      <c r="E779" s="7" t="s">
        <v>75</v>
      </c>
      <c r="F779" s="7">
        <v>1.0</v>
      </c>
      <c r="G779" s="7" t="s">
        <v>27</v>
      </c>
      <c r="H779" s="7">
        <v>1.0</v>
      </c>
      <c r="I779" s="7">
        <v>7.0</v>
      </c>
      <c r="J779" s="7">
        <v>3.0</v>
      </c>
      <c r="K779" s="7" t="s">
        <v>31</v>
      </c>
      <c r="L779" s="9" t="str">
        <f>VLOOKUP(K779, 'Alphabetical by species code'!A:B, 2, FALSE)</f>
        <v>Festuca myuros</v>
      </c>
    </row>
    <row r="780">
      <c r="A780" s="7">
        <v>9.0</v>
      </c>
      <c r="B780" s="7">
        <v>2025.0</v>
      </c>
      <c r="C780" s="8">
        <v>45764.0</v>
      </c>
      <c r="D780" s="7" t="s">
        <v>74</v>
      </c>
      <c r="E780" s="7" t="s">
        <v>75</v>
      </c>
      <c r="F780" s="7">
        <v>1.0</v>
      </c>
      <c r="G780" s="7" t="s">
        <v>27</v>
      </c>
      <c r="H780" s="7">
        <v>1.0</v>
      </c>
      <c r="I780" s="7">
        <v>8.0</v>
      </c>
      <c r="J780" s="7">
        <v>3.5</v>
      </c>
      <c r="K780" s="7" t="s">
        <v>28</v>
      </c>
      <c r="L780" s="9" t="str">
        <f>VLOOKUP(K780, 'Alphabetical by species code'!A:B, 2, FALSE)</f>
        <v>Litter</v>
      </c>
    </row>
    <row r="781">
      <c r="A781" s="7">
        <v>9.0</v>
      </c>
      <c r="B781" s="7">
        <v>2025.0</v>
      </c>
      <c r="C781" s="8">
        <v>45764.0</v>
      </c>
      <c r="D781" s="7" t="s">
        <v>74</v>
      </c>
      <c r="E781" s="7" t="s">
        <v>75</v>
      </c>
      <c r="F781" s="7">
        <v>1.0</v>
      </c>
      <c r="G781" s="7" t="s">
        <v>27</v>
      </c>
      <c r="H781" s="7">
        <v>1.0</v>
      </c>
      <c r="I781" s="7">
        <v>8.0</v>
      </c>
      <c r="J781" s="7">
        <v>3.5</v>
      </c>
      <c r="K781" s="7" t="s">
        <v>35</v>
      </c>
      <c r="L781" s="9" t="str">
        <f>VLOOKUP(K781, 'Alphabetical by species code'!A:B, 2, FALSE)</f>
        <v>Deinandra fasciculata</v>
      </c>
    </row>
    <row r="782">
      <c r="A782" s="7">
        <v>9.0</v>
      </c>
      <c r="B782" s="7">
        <v>2025.0</v>
      </c>
      <c r="C782" s="8">
        <v>45764.0</v>
      </c>
      <c r="D782" s="7" t="s">
        <v>74</v>
      </c>
      <c r="E782" s="7" t="s">
        <v>75</v>
      </c>
      <c r="F782" s="7">
        <v>1.0</v>
      </c>
      <c r="G782" s="7" t="s">
        <v>27</v>
      </c>
      <c r="H782" s="7">
        <v>1.0</v>
      </c>
      <c r="I782" s="7">
        <v>8.0</v>
      </c>
      <c r="J782" s="7">
        <v>3.5</v>
      </c>
      <c r="K782" s="7" t="s">
        <v>37</v>
      </c>
      <c r="L782" s="9" t="str">
        <f>VLOOKUP(K782, 'Alphabetical by species code'!A:B, 2, FALSE)</f>
        <v>Sonchus oleraceus</v>
      </c>
    </row>
    <row r="783">
      <c r="A783" s="7">
        <v>9.0</v>
      </c>
      <c r="B783" s="7">
        <v>2025.0</v>
      </c>
      <c r="C783" s="8">
        <v>45764.0</v>
      </c>
      <c r="D783" s="7" t="s">
        <v>74</v>
      </c>
      <c r="E783" s="7" t="s">
        <v>75</v>
      </c>
      <c r="F783" s="7">
        <v>1.0</v>
      </c>
      <c r="G783" s="7" t="s">
        <v>27</v>
      </c>
      <c r="H783" s="7">
        <v>1.0</v>
      </c>
      <c r="I783" s="7">
        <v>9.0</v>
      </c>
      <c r="J783" s="7">
        <v>4.0</v>
      </c>
      <c r="K783" s="7" t="s">
        <v>28</v>
      </c>
      <c r="L783" s="9" t="str">
        <f>VLOOKUP(K783, 'Alphabetical by species code'!A:B, 2, FALSE)</f>
        <v>Litter</v>
      </c>
    </row>
    <row r="784">
      <c r="A784" s="7">
        <v>9.0</v>
      </c>
      <c r="B784" s="7">
        <v>2025.0</v>
      </c>
      <c r="C784" s="8">
        <v>45764.0</v>
      </c>
      <c r="D784" s="7" t="s">
        <v>74</v>
      </c>
      <c r="E784" s="7" t="s">
        <v>75</v>
      </c>
      <c r="F784" s="7">
        <v>1.0</v>
      </c>
      <c r="G784" s="7" t="s">
        <v>27</v>
      </c>
      <c r="H784" s="7">
        <v>1.0</v>
      </c>
      <c r="I784" s="7">
        <v>9.0</v>
      </c>
      <c r="J784" s="7">
        <v>4.0</v>
      </c>
      <c r="K784" s="7" t="s">
        <v>36</v>
      </c>
      <c r="L784" s="9" t="str">
        <f>VLOOKUP(K784, 'Alphabetical by species code'!A:B, 2, FALSE)</f>
        <v>Bromus madritensis</v>
      </c>
    </row>
    <row r="785">
      <c r="A785" s="7">
        <v>9.0</v>
      </c>
      <c r="B785" s="7">
        <v>2025.0</v>
      </c>
      <c r="C785" s="8">
        <v>45764.0</v>
      </c>
      <c r="D785" s="7" t="s">
        <v>74</v>
      </c>
      <c r="E785" s="7" t="s">
        <v>75</v>
      </c>
      <c r="F785" s="7">
        <v>1.0</v>
      </c>
      <c r="G785" s="7" t="s">
        <v>27</v>
      </c>
      <c r="H785" s="7">
        <v>1.0</v>
      </c>
      <c r="I785" s="7">
        <v>9.0</v>
      </c>
      <c r="J785" s="7">
        <v>4.0</v>
      </c>
      <c r="K785" s="7" t="s">
        <v>35</v>
      </c>
      <c r="L785" s="9" t="str">
        <f>VLOOKUP(K785, 'Alphabetical by species code'!A:B, 2, FALSE)</f>
        <v>Deinandra fasciculata</v>
      </c>
    </row>
    <row r="786">
      <c r="A786" s="7">
        <v>9.0</v>
      </c>
      <c r="B786" s="7">
        <v>2025.0</v>
      </c>
      <c r="C786" s="8">
        <v>45764.0</v>
      </c>
      <c r="D786" s="7" t="s">
        <v>74</v>
      </c>
      <c r="E786" s="7" t="s">
        <v>75</v>
      </c>
      <c r="F786" s="7">
        <v>1.0</v>
      </c>
      <c r="G786" s="7" t="s">
        <v>27</v>
      </c>
      <c r="H786" s="7">
        <v>1.0</v>
      </c>
      <c r="I786" s="7">
        <v>9.0</v>
      </c>
      <c r="J786" s="7">
        <v>4.0</v>
      </c>
      <c r="K786" s="7" t="s">
        <v>43</v>
      </c>
      <c r="L786" s="9" t="str">
        <f>VLOOKUP(K786, 'Alphabetical by species code'!A:B, 2, FALSE)</f>
        <v>Uropappus lindleyi</v>
      </c>
    </row>
    <row r="787">
      <c r="A787" s="7">
        <v>9.0</v>
      </c>
      <c r="B787" s="7">
        <v>2025.0</v>
      </c>
      <c r="C787" s="8">
        <v>45764.0</v>
      </c>
      <c r="D787" s="7" t="s">
        <v>74</v>
      </c>
      <c r="E787" s="7" t="s">
        <v>75</v>
      </c>
      <c r="F787" s="7">
        <v>1.0</v>
      </c>
      <c r="G787" s="7" t="s">
        <v>27</v>
      </c>
      <c r="H787" s="7">
        <v>1.0</v>
      </c>
      <c r="I787" s="7">
        <v>10.0</v>
      </c>
      <c r="J787" s="7">
        <v>4.5</v>
      </c>
      <c r="K787" s="7" t="s">
        <v>28</v>
      </c>
      <c r="L787" s="9" t="str">
        <f>VLOOKUP(K787, 'Alphabetical by species code'!A:B, 2, FALSE)</f>
        <v>Litter</v>
      </c>
    </row>
    <row r="788">
      <c r="A788" s="7">
        <v>9.0</v>
      </c>
      <c r="B788" s="7">
        <v>2025.0</v>
      </c>
      <c r="C788" s="8">
        <v>45764.0</v>
      </c>
      <c r="D788" s="7" t="s">
        <v>74</v>
      </c>
      <c r="E788" s="7" t="s">
        <v>75</v>
      </c>
      <c r="F788" s="7">
        <v>1.0</v>
      </c>
      <c r="G788" s="7" t="s">
        <v>27</v>
      </c>
      <c r="H788" s="7">
        <v>1.0</v>
      </c>
      <c r="I788" s="7">
        <v>10.0</v>
      </c>
      <c r="J788" s="7">
        <v>4.5</v>
      </c>
      <c r="K788" s="7" t="s">
        <v>48</v>
      </c>
      <c r="L788" s="9" t="str">
        <f>VLOOKUP(K788, 'Alphabetical by species code'!A:B, 2, FALSE)</f>
        <v>Sonchus asper</v>
      </c>
    </row>
    <row r="789">
      <c r="A789" s="7">
        <v>9.0</v>
      </c>
      <c r="B789" s="7">
        <v>2025.0</v>
      </c>
      <c r="C789" s="8">
        <v>45764.0</v>
      </c>
      <c r="D789" s="7" t="s">
        <v>74</v>
      </c>
      <c r="E789" s="7" t="s">
        <v>75</v>
      </c>
      <c r="F789" s="7">
        <v>1.0</v>
      </c>
      <c r="G789" s="7" t="s">
        <v>27</v>
      </c>
      <c r="H789" s="7">
        <v>1.0</v>
      </c>
      <c r="I789" s="7">
        <v>10.0</v>
      </c>
      <c r="J789" s="7">
        <v>4.5</v>
      </c>
      <c r="K789" s="7" t="s">
        <v>37</v>
      </c>
      <c r="L789" s="9" t="str">
        <f>VLOOKUP(K789, 'Alphabetical by species code'!A:B, 2, FALSE)</f>
        <v>Sonchus oleraceus</v>
      </c>
    </row>
    <row r="790">
      <c r="A790" s="7">
        <v>9.0</v>
      </c>
      <c r="B790" s="7">
        <v>2025.0</v>
      </c>
      <c r="C790" s="8">
        <v>45764.0</v>
      </c>
      <c r="D790" s="7" t="s">
        <v>74</v>
      </c>
      <c r="E790" s="7" t="s">
        <v>75</v>
      </c>
      <c r="F790" s="7">
        <v>1.0</v>
      </c>
      <c r="G790" s="7" t="s">
        <v>27</v>
      </c>
      <c r="H790" s="7">
        <v>1.0</v>
      </c>
      <c r="I790" s="7">
        <v>10.0</v>
      </c>
      <c r="J790" s="7">
        <v>4.5</v>
      </c>
      <c r="K790" s="7" t="s">
        <v>36</v>
      </c>
      <c r="L790" s="9" t="str">
        <f>VLOOKUP(K790, 'Alphabetical by species code'!A:B, 2, FALSE)</f>
        <v>Bromus madritensis</v>
      </c>
    </row>
    <row r="791">
      <c r="A791" s="7">
        <v>9.0</v>
      </c>
      <c r="B791" s="7">
        <v>2025.0</v>
      </c>
      <c r="C791" s="8">
        <v>45764.0</v>
      </c>
      <c r="D791" s="7" t="s">
        <v>74</v>
      </c>
      <c r="E791" s="7" t="s">
        <v>75</v>
      </c>
      <c r="F791" s="7">
        <v>1.0</v>
      </c>
      <c r="G791" s="7" t="s">
        <v>27</v>
      </c>
      <c r="H791" s="7">
        <v>1.0</v>
      </c>
      <c r="I791" s="7">
        <v>10.0</v>
      </c>
      <c r="J791" s="7">
        <v>4.5</v>
      </c>
      <c r="K791" s="7" t="s">
        <v>31</v>
      </c>
      <c r="L791" s="9" t="str">
        <f>VLOOKUP(K791, 'Alphabetical by species code'!A:B, 2, FALSE)</f>
        <v>Festuca myuros</v>
      </c>
    </row>
    <row r="792">
      <c r="A792" s="7">
        <v>9.0</v>
      </c>
      <c r="B792" s="7">
        <v>2025.0</v>
      </c>
      <c r="C792" s="8">
        <v>45764.0</v>
      </c>
      <c r="D792" s="7" t="s">
        <v>74</v>
      </c>
      <c r="E792" s="7" t="s">
        <v>75</v>
      </c>
      <c r="F792" s="7">
        <v>1.0</v>
      </c>
      <c r="G792" s="7" t="s">
        <v>27</v>
      </c>
      <c r="H792" s="7">
        <v>1.0</v>
      </c>
      <c r="I792" s="7">
        <v>11.0</v>
      </c>
      <c r="J792" s="7">
        <v>5.0</v>
      </c>
      <c r="K792" s="7" t="s">
        <v>28</v>
      </c>
      <c r="L792" s="9" t="str">
        <f>VLOOKUP(K792, 'Alphabetical by species code'!A:B, 2, FALSE)</f>
        <v>Litter</v>
      </c>
    </row>
    <row r="793">
      <c r="A793" s="7">
        <v>9.0</v>
      </c>
      <c r="B793" s="7">
        <v>2025.0</v>
      </c>
      <c r="C793" s="8">
        <v>45764.0</v>
      </c>
      <c r="D793" s="7" t="s">
        <v>74</v>
      </c>
      <c r="E793" s="7" t="s">
        <v>75</v>
      </c>
      <c r="F793" s="7">
        <v>1.0</v>
      </c>
      <c r="G793" s="7" t="s">
        <v>27</v>
      </c>
      <c r="H793" s="7">
        <v>1.0</v>
      </c>
      <c r="I793" s="7">
        <v>11.0</v>
      </c>
      <c r="J793" s="7">
        <v>5.0</v>
      </c>
      <c r="K793" s="7" t="s">
        <v>36</v>
      </c>
      <c r="L793" s="9" t="str">
        <f>VLOOKUP(K793, 'Alphabetical by species code'!A:B, 2, FALSE)</f>
        <v>Bromus madritensis</v>
      </c>
    </row>
    <row r="794">
      <c r="A794" s="7">
        <v>9.0</v>
      </c>
      <c r="B794" s="7">
        <v>2025.0</v>
      </c>
      <c r="C794" s="8">
        <v>45764.0</v>
      </c>
      <c r="D794" s="7" t="s">
        <v>74</v>
      </c>
      <c r="E794" s="7" t="s">
        <v>75</v>
      </c>
      <c r="F794" s="7">
        <v>1.0</v>
      </c>
      <c r="G794" s="7" t="s">
        <v>27</v>
      </c>
      <c r="H794" s="7">
        <v>1.0</v>
      </c>
      <c r="I794" s="7">
        <v>11.0</v>
      </c>
      <c r="J794" s="7">
        <v>5.0</v>
      </c>
      <c r="K794" s="7" t="s">
        <v>48</v>
      </c>
      <c r="L794" s="9" t="str">
        <f>VLOOKUP(K794, 'Alphabetical by species code'!A:B, 2, FALSE)</f>
        <v>Sonchus asper</v>
      </c>
    </row>
    <row r="795">
      <c r="A795" s="7">
        <v>9.0</v>
      </c>
      <c r="B795" s="7">
        <v>2025.0</v>
      </c>
      <c r="C795" s="8">
        <v>45764.0</v>
      </c>
      <c r="D795" s="7" t="s">
        <v>74</v>
      </c>
      <c r="E795" s="7" t="s">
        <v>75</v>
      </c>
      <c r="F795" s="7">
        <v>1.0</v>
      </c>
      <c r="G795" s="7" t="s">
        <v>27</v>
      </c>
      <c r="H795" s="7">
        <v>1.0</v>
      </c>
      <c r="I795" s="7">
        <v>12.0</v>
      </c>
      <c r="J795" s="7">
        <v>5.5</v>
      </c>
      <c r="K795" s="7" t="s">
        <v>28</v>
      </c>
      <c r="L795" s="9" t="str">
        <f>VLOOKUP(K795, 'Alphabetical by species code'!A:B, 2, FALSE)</f>
        <v>Litter</v>
      </c>
    </row>
    <row r="796">
      <c r="A796" s="7">
        <v>9.0</v>
      </c>
      <c r="B796" s="7">
        <v>2025.0</v>
      </c>
      <c r="C796" s="8">
        <v>45764.0</v>
      </c>
      <c r="D796" s="7" t="s">
        <v>74</v>
      </c>
      <c r="E796" s="7" t="s">
        <v>75</v>
      </c>
      <c r="F796" s="7">
        <v>1.0</v>
      </c>
      <c r="G796" s="7" t="s">
        <v>27</v>
      </c>
      <c r="H796" s="7">
        <v>1.0</v>
      </c>
      <c r="I796" s="7">
        <v>12.0</v>
      </c>
      <c r="J796" s="7">
        <v>5.5</v>
      </c>
      <c r="K796" s="7" t="s">
        <v>49</v>
      </c>
      <c r="L796" s="9" t="str">
        <f>VLOOKUP(K796, 'Alphabetical by species code'!A:B, 2, FALSE)</f>
        <v>Anagallis arvensis</v>
      </c>
    </row>
    <row r="797">
      <c r="A797" s="7">
        <v>9.0</v>
      </c>
      <c r="B797" s="7">
        <v>2025.0</v>
      </c>
      <c r="C797" s="8">
        <v>45764.0</v>
      </c>
      <c r="D797" s="7" t="s">
        <v>74</v>
      </c>
      <c r="E797" s="7" t="s">
        <v>75</v>
      </c>
      <c r="F797" s="7">
        <v>1.0</v>
      </c>
      <c r="G797" s="7" t="s">
        <v>27</v>
      </c>
      <c r="H797" s="7">
        <v>1.0</v>
      </c>
      <c r="I797" s="7">
        <v>13.0</v>
      </c>
      <c r="J797" s="7">
        <v>6.5</v>
      </c>
      <c r="K797" s="7" t="s">
        <v>28</v>
      </c>
      <c r="L797" s="9" t="str">
        <f>VLOOKUP(K797, 'Alphabetical by species code'!A:B, 2, FALSE)</f>
        <v>Litter</v>
      </c>
    </row>
    <row r="798">
      <c r="A798" s="7">
        <v>9.0</v>
      </c>
      <c r="B798" s="7">
        <v>2025.0</v>
      </c>
      <c r="C798" s="8">
        <v>45764.0</v>
      </c>
      <c r="D798" s="7" t="s">
        <v>74</v>
      </c>
      <c r="E798" s="7" t="s">
        <v>75</v>
      </c>
      <c r="F798" s="7">
        <v>1.0</v>
      </c>
      <c r="G798" s="7" t="s">
        <v>27</v>
      </c>
      <c r="H798" s="7">
        <v>1.0</v>
      </c>
      <c r="I798" s="7">
        <v>13.0</v>
      </c>
      <c r="J798" s="7">
        <v>6.5</v>
      </c>
      <c r="K798" s="7" t="s">
        <v>49</v>
      </c>
      <c r="L798" s="9" t="str">
        <f>VLOOKUP(K798, 'Alphabetical by species code'!A:B, 2, FALSE)</f>
        <v>Anagallis arvensis</v>
      </c>
    </row>
    <row r="799">
      <c r="A799" s="7">
        <v>9.0</v>
      </c>
      <c r="B799" s="7">
        <v>2025.0</v>
      </c>
      <c r="C799" s="8">
        <v>45764.0</v>
      </c>
      <c r="D799" s="7" t="s">
        <v>74</v>
      </c>
      <c r="E799" s="7" t="s">
        <v>75</v>
      </c>
      <c r="F799" s="7">
        <v>1.0</v>
      </c>
      <c r="G799" s="7" t="s">
        <v>27</v>
      </c>
      <c r="H799" s="7">
        <v>1.0</v>
      </c>
      <c r="I799" s="7">
        <v>13.0</v>
      </c>
      <c r="J799" s="7">
        <v>6.5</v>
      </c>
      <c r="K799" s="7" t="s">
        <v>35</v>
      </c>
      <c r="L799" s="9" t="str">
        <f>VLOOKUP(K799, 'Alphabetical by species code'!A:B, 2, FALSE)</f>
        <v>Deinandra fasciculata</v>
      </c>
    </row>
    <row r="800">
      <c r="A800" s="7">
        <v>9.0</v>
      </c>
      <c r="B800" s="7">
        <v>2025.0</v>
      </c>
      <c r="C800" s="8">
        <v>45764.0</v>
      </c>
      <c r="D800" s="7" t="s">
        <v>74</v>
      </c>
      <c r="E800" s="7" t="s">
        <v>75</v>
      </c>
      <c r="F800" s="7">
        <v>1.0</v>
      </c>
      <c r="G800" s="7" t="s">
        <v>27</v>
      </c>
      <c r="H800" s="7">
        <v>1.0</v>
      </c>
      <c r="I800" s="7">
        <v>13.0</v>
      </c>
      <c r="J800" s="7">
        <v>6.5</v>
      </c>
      <c r="K800" s="7" t="s">
        <v>31</v>
      </c>
      <c r="L800" s="9" t="str">
        <f>VLOOKUP(K800, 'Alphabetical by species code'!A:B, 2, FALSE)</f>
        <v>Festuca myuros</v>
      </c>
    </row>
    <row r="801">
      <c r="A801" s="7">
        <v>9.0</v>
      </c>
      <c r="B801" s="7">
        <v>2025.0</v>
      </c>
      <c r="C801" s="8">
        <v>45764.0</v>
      </c>
      <c r="D801" s="7" t="s">
        <v>74</v>
      </c>
      <c r="E801" s="7" t="s">
        <v>75</v>
      </c>
      <c r="F801" s="7">
        <v>1.0</v>
      </c>
      <c r="G801" s="7" t="s">
        <v>27</v>
      </c>
      <c r="H801" s="7">
        <v>1.0</v>
      </c>
      <c r="I801" s="7">
        <v>14.0</v>
      </c>
      <c r="J801" s="7">
        <v>7.0</v>
      </c>
      <c r="K801" s="7" t="s">
        <v>28</v>
      </c>
      <c r="L801" s="9" t="str">
        <f>VLOOKUP(K801, 'Alphabetical by species code'!A:B, 2, FALSE)</f>
        <v>Litter</v>
      </c>
    </row>
    <row r="802">
      <c r="A802" s="7">
        <v>9.0</v>
      </c>
      <c r="B802" s="7">
        <v>2025.0</v>
      </c>
      <c r="C802" s="8">
        <v>45764.0</v>
      </c>
      <c r="D802" s="7" t="s">
        <v>74</v>
      </c>
      <c r="E802" s="7" t="s">
        <v>75</v>
      </c>
      <c r="F802" s="7">
        <v>1.0</v>
      </c>
      <c r="G802" s="7" t="s">
        <v>27</v>
      </c>
      <c r="H802" s="7">
        <v>1.0</v>
      </c>
      <c r="I802" s="7">
        <v>14.0</v>
      </c>
      <c r="J802" s="7">
        <v>7.0</v>
      </c>
      <c r="K802" s="7" t="s">
        <v>43</v>
      </c>
      <c r="L802" s="9" t="str">
        <f>VLOOKUP(K802, 'Alphabetical by species code'!A:B, 2, FALSE)</f>
        <v>Uropappus lindleyi</v>
      </c>
    </row>
    <row r="803">
      <c r="A803" s="7">
        <v>9.0</v>
      </c>
      <c r="B803" s="7">
        <v>2025.0</v>
      </c>
      <c r="C803" s="8">
        <v>45764.0</v>
      </c>
      <c r="D803" s="7" t="s">
        <v>74</v>
      </c>
      <c r="E803" s="7" t="s">
        <v>75</v>
      </c>
      <c r="F803" s="7">
        <v>1.0</v>
      </c>
      <c r="G803" s="7" t="s">
        <v>27</v>
      </c>
      <c r="H803" s="7">
        <v>1.0</v>
      </c>
      <c r="I803" s="7">
        <v>14.0</v>
      </c>
      <c r="J803" s="7">
        <v>7.0</v>
      </c>
      <c r="K803" s="7" t="s">
        <v>49</v>
      </c>
      <c r="L803" s="9" t="str">
        <f>VLOOKUP(K803, 'Alphabetical by species code'!A:B, 2, FALSE)</f>
        <v>Anagallis arvensis</v>
      </c>
    </row>
    <row r="804">
      <c r="A804" s="7">
        <v>9.0</v>
      </c>
      <c r="B804" s="7">
        <v>2025.0</v>
      </c>
      <c r="C804" s="8">
        <v>45764.0</v>
      </c>
      <c r="D804" s="7" t="s">
        <v>74</v>
      </c>
      <c r="E804" s="7" t="s">
        <v>75</v>
      </c>
      <c r="F804" s="7">
        <v>1.0</v>
      </c>
      <c r="G804" s="7" t="s">
        <v>27</v>
      </c>
      <c r="H804" s="7">
        <v>1.0</v>
      </c>
      <c r="I804" s="7">
        <v>14.0</v>
      </c>
      <c r="J804" s="7">
        <v>7.0</v>
      </c>
      <c r="K804" s="7" t="s">
        <v>48</v>
      </c>
      <c r="L804" s="9" t="str">
        <f>VLOOKUP(K804, 'Alphabetical by species code'!A:B, 2, FALSE)</f>
        <v>Sonchus asper</v>
      </c>
    </row>
    <row r="805">
      <c r="A805" s="7">
        <v>9.0</v>
      </c>
      <c r="B805" s="7">
        <v>2025.0</v>
      </c>
      <c r="C805" s="8">
        <v>45764.0</v>
      </c>
      <c r="D805" s="7" t="s">
        <v>74</v>
      </c>
      <c r="E805" s="7" t="s">
        <v>75</v>
      </c>
      <c r="F805" s="7">
        <v>1.0</v>
      </c>
      <c r="G805" s="7" t="s">
        <v>27</v>
      </c>
      <c r="H805" s="7">
        <v>1.0</v>
      </c>
      <c r="I805" s="7">
        <v>15.0</v>
      </c>
      <c r="J805" s="7">
        <v>7.5</v>
      </c>
      <c r="K805" s="7" t="s">
        <v>28</v>
      </c>
      <c r="L805" s="9" t="str">
        <f>VLOOKUP(K805, 'Alphabetical by species code'!A:B, 2, FALSE)</f>
        <v>Litter</v>
      </c>
    </row>
    <row r="806">
      <c r="A806" s="7">
        <v>9.0</v>
      </c>
      <c r="B806" s="7">
        <v>2025.0</v>
      </c>
      <c r="C806" s="8">
        <v>45764.0</v>
      </c>
      <c r="D806" s="7" t="s">
        <v>74</v>
      </c>
      <c r="E806" s="7" t="s">
        <v>75</v>
      </c>
      <c r="F806" s="7">
        <v>1.0</v>
      </c>
      <c r="G806" s="7" t="s">
        <v>27</v>
      </c>
      <c r="H806" s="7">
        <v>1.0</v>
      </c>
      <c r="I806" s="7">
        <v>15.0</v>
      </c>
      <c r="J806" s="7">
        <v>7.5</v>
      </c>
      <c r="K806" s="7" t="s">
        <v>36</v>
      </c>
      <c r="L806" s="9" t="str">
        <f>VLOOKUP(K806, 'Alphabetical by species code'!A:B, 2, FALSE)</f>
        <v>Bromus madritensis</v>
      </c>
    </row>
    <row r="807">
      <c r="A807" s="7">
        <v>9.0</v>
      </c>
      <c r="B807" s="7">
        <v>2025.0</v>
      </c>
      <c r="C807" s="8">
        <v>45764.0</v>
      </c>
      <c r="D807" s="7" t="s">
        <v>74</v>
      </c>
      <c r="E807" s="7" t="s">
        <v>75</v>
      </c>
      <c r="F807" s="7">
        <v>1.0</v>
      </c>
      <c r="G807" s="7" t="s">
        <v>27</v>
      </c>
      <c r="H807" s="7">
        <v>1.0</v>
      </c>
      <c r="I807" s="7">
        <v>15.0</v>
      </c>
      <c r="J807" s="7">
        <v>7.5</v>
      </c>
      <c r="K807" s="7" t="s">
        <v>43</v>
      </c>
      <c r="L807" s="9" t="str">
        <f>VLOOKUP(K807, 'Alphabetical by species code'!A:B, 2, FALSE)</f>
        <v>Uropappus lindleyi</v>
      </c>
    </row>
    <row r="808">
      <c r="A808" s="7">
        <v>9.0</v>
      </c>
      <c r="B808" s="7">
        <v>2025.0</v>
      </c>
      <c r="C808" s="8">
        <v>45764.0</v>
      </c>
      <c r="D808" s="7" t="s">
        <v>74</v>
      </c>
      <c r="E808" s="7" t="s">
        <v>75</v>
      </c>
      <c r="F808" s="7">
        <v>1.0</v>
      </c>
      <c r="G808" s="7" t="s">
        <v>27</v>
      </c>
      <c r="H808" s="7">
        <v>2.0</v>
      </c>
      <c r="I808" s="7">
        <v>1.0</v>
      </c>
      <c r="J808" s="7">
        <v>0.0</v>
      </c>
      <c r="K808" s="7" t="s">
        <v>28</v>
      </c>
      <c r="L808" s="9" t="str">
        <f>VLOOKUP(K808, 'Alphabetical by species code'!A:B, 2, FALSE)</f>
        <v>Litter</v>
      </c>
    </row>
    <row r="809">
      <c r="A809" s="7">
        <v>9.0</v>
      </c>
      <c r="B809" s="7">
        <v>2025.0</v>
      </c>
      <c r="C809" s="8">
        <v>45764.0</v>
      </c>
      <c r="D809" s="7" t="s">
        <v>74</v>
      </c>
      <c r="E809" s="7" t="s">
        <v>75</v>
      </c>
      <c r="F809" s="7">
        <v>1.0</v>
      </c>
      <c r="G809" s="7" t="s">
        <v>27</v>
      </c>
      <c r="H809" s="7">
        <v>2.0</v>
      </c>
      <c r="I809" s="7">
        <v>1.0</v>
      </c>
      <c r="J809" s="7">
        <v>0.0</v>
      </c>
      <c r="K809" s="7" t="s">
        <v>36</v>
      </c>
      <c r="L809" s="9" t="str">
        <f>VLOOKUP(K809, 'Alphabetical by species code'!A:B, 2, FALSE)</f>
        <v>Bromus madritensis</v>
      </c>
    </row>
    <row r="810">
      <c r="A810" s="7">
        <v>9.0</v>
      </c>
      <c r="B810" s="7">
        <v>2025.0</v>
      </c>
      <c r="C810" s="8">
        <v>45764.0</v>
      </c>
      <c r="D810" s="7" t="s">
        <v>74</v>
      </c>
      <c r="E810" s="7" t="s">
        <v>75</v>
      </c>
      <c r="F810" s="7">
        <v>1.0</v>
      </c>
      <c r="G810" s="7" t="s">
        <v>27</v>
      </c>
      <c r="H810" s="7">
        <v>2.0</v>
      </c>
      <c r="I810" s="7">
        <v>1.0</v>
      </c>
      <c r="J810" s="7">
        <v>0.0</v>
      </c>
      <c r="K810" s="7" t="s">
        <v>31</v>
      </c>
      <c r="L810" s="9" t="str">
        <f>VLOOKUP(K810, 'Alphabetical by species code'!A:B, 2, FALSE)</f>
        <v>Festuca myuros</v>
      </c>
    </row>
    <row r="811">
      <c r="A811" s="7">
        <v>9.0</v>
      </c>
      <c r="B811" s="7">
        <v>2025.0</v>
      </c>
      <c r="C811" s="8">
        <v>45764.0</v>
      </c>
      <c r="D811" s="7" t="s">
        <v>74</v>
      </c>
      <c r="E811" s="7" t="s">
        <v>75</v>
      </c>
      <c r="F811" s="7">
        <v>1.0</v>
      </c>
      <c r="G811" s="7" t="s">
        <v>27</v>
      </c>
      <c r="H811" s="7">
        <v>2.0</v>
      </c>
      <c r="I811" s="7">
        <v>1.0</v>
      </c>
      <c r="J811" s="7">
        <v>0.0</v>
      </c>
      <c r="K811" s="7" t="s">
        <v>42</v>
      </c>
      <c r="L811" s="9" t="str">
        <f>VLOOKUP(K811, 'Alphabetical by species code'!A:B, 2, FALSE)</f>
        <v>Centaurea melitensis</v>
      </c>
    </row>
    <row r="812">
      <c r="A812" s="7">
        <v>9.0</v>
      </c>
      <c r="B812" s="7">
        <v>2025.0</v>
      </c>
      <c r="C812" s="8">
        <v>45764.0</v>
      </c>
      <c r="D812" s="7" t="s">
        <v>74</v>
      </c>
      <c r="E812" s="7" t="s">
        <v>75</v>
      </c>
      <c r="F812" s="7">
        <v>1.0</v>
      </c>
      <c r="G812" s="7" t="s">
        <v>27</v>
      </c>
      <c r="H812" s="7">
        <v>2.0</v>
      </c>
      <c r="I812" s="7">
        <v>1.0</v>
      </c>
      <c r="J812" s="7">
        <v>0.0</v>
      </c>
      <c r="K812" s="7" t="s">
        <v>29</v>
      </c>
      <c r="L812" s="9" t="str">
        <f>VLOOKUP(K812, 'Alphabetical by species code'!A:B, 2, FALSE)</f>
        <v>Opuntia littoralis</v>
      </c>
    </row>
    <row r="813">
      <c r="A813" s="7">
        <v>9.0</v>
      </c>
      <c r="B813" s="7">
        <v>2025.0</v>
      </c>
      <c r="C813" s="8">
        <v>45764.0</v>
      </c>
      <c r="D813" s="7" t="s">
        <v>74</v>
      </c>
      <c r="E813" s="7" t="s">
        <v>75</v>
      </c>
      <c r="F813" s="7">
        <v>1.0</v>
      </c>
      <c r="G813" s="7" t="s">
        <v>27</v>
      </c>
      <c r="H813" s="7">
        <v>2.0</v>
      </c>
      <c r="I813" s="7">
        <v>2.0</v>
      </c>
      <c r="J813" s="7">
        <v>0.5</v>
      </c>
      <c r="K813" s="7" t="s">
        <v>41</v>
      </c>
      <c r="L813" s="9" t="str">
        <f>VLOOKUP(K813, 'Alphabetical by species code'!A:B, 2, FALSE)</f>
        <v>Stem</v>
      </c>
    </row>
    <row r="814">
      <c r="A814" s="7">
        <v>9.0</v>
      </c>
      <c r="B814" s="7">
        <v>2025.0</v>
      </c>
      <c r="C814" s="8">
        <v>45764.0</v>
      </c>
      <c r="D814" s="7" t="s">
        <v>74</v>
      </c>
      <c r="E814" s="7" t="s">
        <v>75</v>
      </c>
      <c r="F814" s="7">
        <v>1.0</v>
      </c>
      <c r="G814" s="7" t="s">
        <v>27</v>
      </c>
      <c r="H814" s="7">
        <v>2.0</v>
      </c>
      <c r="I814" s="7">
        <v>2.0</v>
      </c>
      <c r="J814" s="7">
        <v>0.5</v>
      </c>
      <c r="K814" s="7" t="s">
        <v>29</v>
      </c>
      <c r="L814" s="9" t="str">
        <f>VLOOKUP(K814, 'Alphabetical by species code'!A:B, 2, FALSE)</f>
        <v>Opuntia littoralis</v>
      </c>
    </row>
    <row r="815">
      <c r="A815" s="7">
        <v>9.0</v>
      </c>
      <c r="B815" s="7">
        <v>2025.0</v>
      </c>
      <c r="C815" s="8">
        <v>45764.0</v>
      </c>
      <c r="D815" s="7" t="s">
        <v>74</v>
      </c>
      <c r="E815" s="7" t="s">
        <v>75</v>
      </c>
      <c r="F815" s="7">
        <v>1.0</v>
      </c>
      <c r="G815" s="7" t="s">
        <v>27</v>
      </c>
      <c r="H815" s="7">
        <v>2.0</v>
      </c>
      <c r="I815" s="7">
        <v>2.0</v>
      </c>
      <c r="J815" s="7">
        <v>0.5</v>
      </c>
      <c r="K815" s="7" t="s">
        <v>36</v>
      </c>
      <c r="L815" s="9" t="str">
        <f>VLOOKUP(K815, 'Alphabetical by species code'!A:B, 2, FALSE)</f>
        <v>Bromus madritensis</v>
      </c>
    </row>
    <row r="816">
      <c r="A816" s="7">
        <v>9.0</v>
      </c>
      <c r="B816" s="7">
        <v>2025.0</v>
      </c>
      <c r="C816" s="8">
        <v>45764.0</v>
      </c>
      <c r="D816" s="7" t="s">
        <v>74</v>
      </c>
      <c r="E816" s="7" t="s">
        <v>75</v>
      </c>
      <c r="F816" s="7">
        <v>1.0</v>
      </c>
      <c r="G816" s="7" t="s">
        <v>27</v>
      </c>
      <c r="H816" s="7">
        <v>2.0</v>
      </c>
      <c r="I816" s="7">
        <v>3.0</v>
      </c>
      <c r="J816" s="7">
        <v>1.0</v>
      </c>
      <c r="K816" s="7" t="s">
        <v>28</v>
      </c>
      <c r="L816" s="9" t="str">
        <f>VLOOKUP(K816, 'Alphabetical by species code'!A:B, 2, FALSE)</f>
        <v>Litter</v>
      </c>
    </row>
    <row r="817">
      <c r="A817" s="7">
        <v>9.0</v>
      </c>
      <c r="B817" s="7">
        <v>2025.0</v>
      </c>
      <c r="C817" s="8">
        <v>45764.0</v>
      </c>
      <c r="D817" s="7" t="s">
        <v>74</v>
      </c>
      <c r="E817" s="7" t="s">
        <v>75</v>
      </c>
      <c r="F817" s="7">
        <v>1.0</v>
      </c>
      <c r="G817" s="7" t="s">
        <v>27</v>
      </c>
      <c r="H817" s="7">
        <v>2.0</v>
      </c>
      <c r="I817" s="7">
        <v>3.0</v>
      </c>
      <c r="J817" s="7">
        <v>1.0</v>
      </c>
      <c r="K817" s="7" t="s">
        <v>29</v>
      </c>
      <c r="L817" s="9" t="str">
        <f>VLOOKUP(K817, 'Alphabetical by species code'!A:B, 2, FALSE)</f>
        <v>Opuntia littoralis</v>
      </c>
    </row>
    <row r="818">
      <c r="A818" s="7">
        <v>9.0</v>
      </c>
      <c r="B818" s="7">
        <v>2025.0</v>
      </c>
      <c r="C818" s="8">
        <v>45764.0</v>
      </c>
      <c r="D818" s="7" t="s">
        <v>74</v>
      </c>
      <c r="E818" s="7" t="s">
        <v>75</v>
      </c>
      <c r="F818" s="7">
        <v>1.0</v>
      </c>
      <c r="G818" s="7" t="s">
        <v>27</v>
      </c>
      <c r="H818" s="7">
        <v>2.0</v>
      </c>
      <c r="I818" s="7">
        <v>3.0</v>
      </c>
      <c r="J818" s="7">
        <v>1.0</v>
      </c>
      <c r="K818" s="7" t="s">
        <v>36</v>
      </c>
      <c r="L818" s="9" t="str">
        <f>VLOOKUP(K818, 'Alphabetical by species code'!A:B, 2, FALSE)</f>
        <v>Bromus madritensis</v>
      </c>
    </row>
    <row r="819">
      <c r="A819" s="7">
        <v>9.0</v>
      </c>
      <c r="B819" s="7">
        <v>2025.0</v>
      </c>
      <c r="C819" s="8">
        <v>45764.0</v>
      </c>
      <c r="D819" s="7" t="s">
        <v>74</v>
      </c>
      <c r="E819" s="7" t="s">
        <v>75</v>
      </c>
      <c r="F819" s="7">
        <v>1.0</v>
      </c>
      <c r="G819" s="7" t="s">
        <v>27</v>
      </c>
      <c r="H819" s="7">
        <v>2.0</v>
      </c>
      <c r="I819" s="7">
        <v>3.0</v>
      </c>
      <c r="J819" s="7">
        <v>1.0</v>
      </c>
      <c r="K819" s="7" t="s">
        <v>49</v>
      </c>
      <c r="L819" s="9" t="str">
        <f>VLOOKUP(K819, 'Alphabetical by species code'!A:B, 2, FALSE)</f>
        <v>Anagallis arvensis</v>
      </c>
    </row>
    <row r="820">
      <c r="A820" s="7">
        <v>9.0</v>
      </c>
      <c r="B820" s="7">
        <v>2025.0</v>
      </c>
      <c r="C820" s="8">
        <v>45764.0</v>
      </c>
      <c r="D820" s="7" t="s">
        <v>74</v>
      </c>
      <c r="E820" s="7" t="s">
        <v>75</v>
      </c>
      <c r="F820" s="7">
        <v>1.0</v>
      </c>
      <c r="G820" s="7" t="s">
        <v>27</v>
      </c>
      <c r="H820" s="7">
        <v>2.0</v>
      </c>
      <c r="I820" s="7">
        <v>3.0</v>
      </c>
      <c r="J820" s="7">
        <v>1.0</v>
      </c>
      <c r="K820" s="7" t="s">
        <v>35</v>
      </c>
      <c r="L820" s="9" t="str">
        <f>VLOOKUP(K820, 'Alphabetical by species code'!A:B, 2, FALSE)</f>
        <v>Deinandra fasciculata</v>
      </c>
    </row>
    <row r="821">
      <c r="A821" s="7">
        <v>9.0</v>
      </c>
      <c r="B821" s="7">
        <v>2025.0</v>
      </c>
      <c r="C821" s="8">
        <v>45764.0</v>
      </c>
      <c r="D821" s="7" t="s">
        <v>74</v>
      </c>
      <c r="E821" s="7" t="s">
        <v>75</v>
      </c>
      <c r="F821" s="7">
        <v>1.0</v>
      </c>
      <c r="G821" s="7" t="s">
        <v>27</v>
      </c>
      <c r="H821" s="7">
        <v>2.0</v>
      </c>
      <c r="I821" s="7">
        <v>4.0</v>
      </c>
      <c r="J821" s="7">
        <v>1.5</v>
      </c>
      <c r="K821" s="7" t="s">
        <v>51</v>
      </c>
      <c r="L821" s="9" t="str">
        <f>VLOOKUP(K821, 'Alphabetical by species code'!A:B, 2, FALSE)</f>
        <v>Bareground</v>
      </c>
    </row>
    <row r="822">
      <c r="A822" s="7">
        <v>9.0</v>
      </c>
      <c r="B822" s="7">
        <v>2025.0</v>
      </c>
      <c r="C822" s="8">
        <v>45764.0</v>
      </c>
      <c r="D822" s="7" t="s">
        <v>74</v>
      </c>
      <c r="E822" s="7" t="s">
        <v>75</v>
      </c>
      <c r="F822" s="7">
        <v>1.0</v>
      </c>
      <c r="G822" s="7" t="s">
        <v>27</v>
      </c>
      <c r="H822" s="7">
        <v>2.0</v>
      </c>
      <c r="I822" s="7">
        <v>4.0</v>
      </c>
      <c r="J822" s="7">
        <v>1.5</v>
      </c>
      <c r="K822" s="7" t="s">
        <v>31</v>
      </c>
      <c r="L822" s="9" t="str">
        <f>VLOOKUP(K822, 'Alphabetical by species code'!A:B, 2, FALSE)</f>
        <v>Festuca myuros</v>
      </c>
    </row>
    <row r="823">
      <c r="A823" s="7">
        <v>9.0</v>
      </c>
      <c r="B823" s="7">
        <v>2025.0</v>
      </c>
      <c r="C823" s="8">
        <v>45764.0</v>
      </c>
      <c r="D823" s="7" t="s">
        <v>74</v>
      </c>
      <c r="E823" s="7" t="s">
        <v>75</v>
      </c>
      <c r="F823" s="7">
        <v>1.0</v>
      </c>
      <c r="G823" s="7" t="s">
        <v>27</v>
      </c>
      <c r="H823" s="7">
        <v>2.0</v>
      </c>
      <c r="I823" s="7">
        <v>5.0</v>
      </c>
      <c r="J823" s="7">
        <v>2.5</v>
      </c>
      <c r="K823" s="7" t="s">
        <v>28</v>
      </c>
      <c r="L823" s="9" t="str">
        <f>VLOOKUP(K823, 'Alphabetical by species code'!A:B, 2, FALSE)</f>
        <v>Litter</v>
      </c>
    </row>
    <row r="824">
      <c r="A824" s="7">
        <v>9.0</v>
      </c>
      <c r="B824" s="7">
        <v>2025.0</v>
      </c>
      <c r="C824" s="8">
        <v>45764.0</v>
      </c>
      <c r="D824" s="7" t="s">
        <v>74</v>
      </c>
      <c r="E824" s="7" t="s">
        <v>75</v>
      </c>
      <c r="F824" s="7">
        <v>1.0</v>
      </c>
      <c r="G824" s="7" t="s">
        <v>27</v>
      </c>
      <c r="H824" s="7">
        <v>2.0</v>
      </c>
      <c r="I824" s="7">
        <v>5.0</v>
      </c>
      <c r="J824" s="7">
        <v>2.5</v>
      </c>
      <c r="K824" s="7" t="s">
        <v>42</v>
      </c>
      <c r="L824" s="9" t="str">
        <f>VLOOKUP(K824, 'Alphabetical by species code'!A:B, 2, FALSE)</f>
        <v>Centaurea melitensis</v>
      </c>
    </row>
    <row r="825">
      <c r="A825" s="7">
        <v>9.0</v>
      </c>
      <c r="B825" s="7">
        <v>2025.0</v>
      </c>
      <c r="C825" s="8">
        <v>45764.0</v>
      </c>
      <c r="D825" s="7" t="s">
        <v>74</v>
      </c>
      <c r="E825" s="7" t="s">
        <v>75</v>
      </c>
      <c r="F825" s="7">
        <v>1.0</v>
      </c>
      <c r="G825" s="7" t="s">
        <v>27</v>
      </c>
      <c r="H825" s="7">
        <v>2.0</v>
      </c>
      <c r="I825" s="7">
        <v>5.0</v>
      </c>
      <c r="J825" s="7">
        <v>2.5</v>
      </c>
      <c r="K825" s="7" t="s">
        <v>48</v>
      </c>
      <c r="L825" s="9" t="str">
        <f>VLOOKUP(K825, 'Alphabetical by species code'!A:B, 2, FALSE)</f>
        <v>Sonchus asper</v>
      </c>
    </row>
    <row r="826">
      <c r="A826" s="7">
        <v>9.0</v>
      </c>
      <c r="B826" s="7">
        <v>2025.0</v>
      </c>
      <c r="C826" s="8">
        <v>45764.0</v>
      </c>
      <c r="D826" s="7" t="s">
        <v>74</v>
      </c>
      <c r="E826" s="7" t="s">
        <v>75</v>
      </c>
      <c r="F826" s="7">
        <v>1.0</v>
      </c>
      <c r="G826" s="7" t="s">
        <v>27</v>
      </c>
      <c r="H826" s="7">
        <v>2.0</v>
      </c>
      <c r="I826" s="7">
        <v>6.0</v>
      </c>
      <c r="J826" s="7">
        <v>3.0</v>
      </c>
      <c r="K826" s="7" t="s">
        <v>28</v>
      </c>
      <c r="L826" s="9" t="str">
        <f>VLOOKUP(K826, 'Alphabetical by species code'!A:B, 2, FALSE)</f>
        <v>Litter</v>
      </c>
    </row>
    <row r="827">
      <c r="A827" s="7">
        <v>9.0</v>
      </c>
      <c r="B827" s="7">
        <v>2025.0</v>
      </c>
      <c r="C827" s="8">
        <v>45764.0</v>
      </c>
      <c r="D827" s="7" t="s">
        <v>74</v>
      </c>
      <c r="E827" s="7" t="s">
        <v>75</v>
      </c>
      <c r="F827" s="7">
        <v>1.0</v>
      </c>
      <c r="G827" s="7" t="s">
        <v>27</v>
      </c>
      <c r="H827" s="7">
        <v>2.0</v>
      </c>
      <c r="I827" s="7">
        <v>6.0</v>
      </c>
      <c r="J827" s="7">
        <v>3.0</v>
      </c>
      <c r="K827" s="7" t="s">
        <v>40</v>
      </c>
      <c r="L827" s="9" t="str">
        <f>VLOOKUP(K827, 'Alphabetical by species code'!A:B, 2, FALSE)</f>
        <v>Cylindropuntia prolifera</v>
      </c>
    </row>
    <row r="828">
      <c r="A828" s="7">
        <v>9.0</v>
      </c>
      <c r="B828" s="7">
        <v>2025.0</v>
      </c>
      <c r="C828" s="8">
        <v>45764.0</v>
      </c>
      <c r="D828" s="7" t="s">
        <v>74</v>
      </c>
      <c r="E828" s="7" t="s">
        <v>75</v>
      </c>
      <c r="F828" s="7">
        <v>1.0</v>
      </c>
      <c r="G828" s="7" t="s">
        <v>27</v>
      </c>
      <c r="H828" s="7">
        <v>2.0</v>
      </c>
      <c r="I828" s="7">
        <v>6.0</v>
      </c>
      <c r="J828" s="7">
        <v>3.0</v>
      </c>
      <c r="K828" s="7" t="s">
        <v>31</v>
      </c>
      <c r="L828" s="9" t="str">
        <f>VLOOKUP(K828, 'Alphabetical by species code'!A:B, 2, FALSE)</f>
        <v>Festuca myuros</v>
      </c>
    </row>
    <row r="829">
      <c r="A829" s="7">
        <v>9.0</v>
      </c>
      <c r="B829" s="7">
        <v>2025.0</v>
      </c>
      <c r="C829" s="8">
        <v>45764.0</v>
      </c>
      <c r="D829" s="7" t="s">
        <v>74</v>
      </c>
      <c r="E829" s="7" t="s">
        <v>75</v>
      </c>
      <c r="F829" s="7">
        <v>1.0</v>
      </c>
      <c r="G829" s="7" t="s">
        <v>27</v>
      </c>
      <c r="H829" s="7">
        <v>2.0</v>
      </c>
      <c r="I829" s="7">
        <v>6.0</v>
      </c>
      <c r="J829" s="7">
        <v>3.0</v>
      </c>
      <c r="K829" s="7" t="s">
        <v>36</v>
      </c>
      <c r="L829" s="9" t="str">
        <f>VLOOKUP(K829, 'Alphabetical by species code'!A:B, 2, FALSE)</f>
        <v>Bromus madritensis</v>
      </c>
    </row>
    <row r="830">
      <c r="A830" s="7">
        <v>9.0</v>
      </c>
      <c r="B830" s="7">
        <v>2025.0</v>
      </c>
      <c r="C830" s="8">
        <v>45764.0</v>
      </c>
      <c r="D830" s="7" t="s">
        <v>74</v>
      </c>
      <c r="E830" s="7" t="s">
        <v>75</v>
      </c>
      <c r="F830" s="7">
        <v>1.0</v>
      </c>
      <c r="G830" s="7" t="s">
        <v>27</v>
      </c>
      <c r="H830" s="7">
        <v>2.0</v>
      </c>
      <c r="I830" s="7">
        <v>6.0</v>
      </c>
      <c r="J830" s="7">
        <v>3.0</v>
      </c>
      <c r="K830" s="7" t="s">
        <v>35</v>
      </c>
      <c r="L830" s="9" t="str">
        <f>VLOOKUP(K830, 'Alphabetical by species code'!A:B, 2, FALSE)</f>
        <v>Deinandra fasciculata</v>
      </c>
    </row>
    <row r="831">
      <c r="A831" s="7">
        <v>9.0</v>
      </c>
      <c r="B831" s="7">
        <v>2025.0</v>
      </c>
      <c r="C831" s="8">
        <v>45764.0</v>
      </c>
      <c r="D831" s="7" t="s">
        <v>74</v>
      </c>
      <c r="E831" s="7" t="s">
        <v>75</v>
      </c>
      <c r="F831" s="7">
        <v>1.0</v>
      </c>
      <c r="G831" s="7" t="s">
        <v>27</v>
      </c>
      <c r="H831" s="7">
        <v>2.0</v>
      </c>
      <c r="I831" s="7">
        <v>7.0</v>
      </c>
      <c r="J831" s="7">
        <v>3.5</v>
      </c>
      <c r="K831" s="7" t="s">
        <v>28</v>
      </c>
      <c r="L831" s="9" t="str">
        <f>VLOOKUP(K831, 'Alphabetical by species code'!A:B, 2, FALSE)</f>
        <v>Litter</v>
      </c>
    </row>
    <row r="832">
      <c r="A832" s="7">
        <v>9.0</v>
      </c>
      <c r="B832" s="7">
        <v>2025.0</v>
      </c>
      <c r="C832" s="8">
        <v>45764.0</v>
      </c>
      <c r="D832" s="7" t="s">
        <v>74</v>
      </c>
      <c r="E832" s="7" t="s">
        <v>75</v>
      </c>
      <c r="F832" s="7">
        <v>1.0</v>
      </c>
      <c r="G832" s="7" t="s">
        <v>27</v>
      </c>
      <c r="H832" s="7">
        <v>2.0</v>
      </c>
      <c r="I832" s="7">
        <v>7.0</v>
      </c>
      <c r="J832" s="7">
        <v>3.5</v>
      </c>
      <c r="K832" s="7" t="s">
        <v>48</v>
      </c>
      <c r="L832" s="9" t="str">
        <f>VLOOKUP(K832, 'Alphabetical by species code'!A:B, 2, FALSE)</f>
        <v>Sonchus asper</v>
      </c>
    </row>
    <row r="833">
      <c r="A833" s="7">
        <v>9.0</v>
      </c>
      <c r="B833" s="7">
        <v>2025.0</v>
      </c>
      <c r="C833" s="8">
        <v>45764.0</v>
      </c>
      <c r="D833" s="7" t="s">
        <v>74</v>
      </c>
      <c r="E833" s="7" t="s">
        <v>75</v>
      </c>
      <c r="F833" s="7">
        <v>1.0</v>
      </c>
      <c r="G833" s="7" t="s">
        <v>27</v>
      </c>
      <c r="H833" s="7">
        <v>2.0</v>
      </c>
      <c r="I833" s="7">
        <v>7.0</v>
      </c>
      <c r="J833" s="7">
        <v>3.5</v>
      </c>
      <c r="K833" s="7" t="s">
        <v>31</v>
      </c>
      <c r="L833" s="9" t="str">
        <f>VLOOKUP(K833, 'Alphabetical by species code'!A:B, 2, FALSE)</f>
        <v>Festuca myuros</v>
      </c>
    </row>
    <row r="834">
      <c r="A834" s="7">
        <v>9.0</v>
      </c>
      <c r="B834" s="7">
        <v>2025.0</v>
      </c>
      <c r="C834" s="8">
        <v>45764.0</v>
      </c>
      <c r="D834" s="7" t="s">
        <v>74</v>
      </c>
      <c r="E834" s="7" t="s">
        <v>75</v>
      </c>
      <c r="F834" s="7">
        <v>1.0</v>
      </c>
      <c r="G834" s="7" t="s">
        <v>27</v>
      </c>
      <c r="H834" s="7">
        <v>2.0</v>
      </c>
      <c r="I834" s="7">
        <v>7.0</v>
      </c>
      <c r="J834" s="7">
        <v>3.5</v>
      </c>
      <c r="K834" s="7" t="s">
        <v>35</v>
      </c>
      <c r="L834" s="9" t="str">
        <f>VLOOKUP(K834, 'Alphabetical by species code'!A:B, 2, FALSE)</f>
        <v>Deinandra fasciculata</v>
      </c>
    </row>
    <row r="835">
      <c r="A835" s="7">
        <v>9.0</v>
      </c>
      <c r="B835" s="7">
        <v>2025.0</v>
      </c>
      <c r="C835" s="8">
        <v>45764.0</v>
      </c>
      <c r="D835" s="7" t="s">
        <v>74</v>
      </c>
      <c r="E835" s="7" t="s">
        <v>75</v>
      </c>
      <c r="F835" s="7">
        <v>1.0</v>
      </c>
      <c r="G835" s="7" t="s">
        <v>27</v>
      </c>
      <c r="H835" s="7">
        <v>2.0</v>
      </c>
      <c r="I835" s="7">
        <v>8.0</v>
      </c>
      <c r="J835" s="7">
        <v>4.0</v>
      </c>
      <c r="K835" s="7" t="s">
        <v>28</v>
      </c>
      <c r="L835" s="9" t="str">
        <f>VLOOKUP(K835, 'Alphabetical by species code'!A:B, 2, FALSE)</f>
        <v>Litter</v>
      </c>
    </row>
    <row r="836">
      <c r="A836" s="7">
        <v>9.0</v>
      </c>
      <c r="B836" s="7">
        <v>2025.0</v>
      </c>
      <c r="C836" s="8">
        <v>45764.0</v>
      </c>
      <c r="D836" s="7" t="s">
        <v>74</v>
      </c>
      <c r="E836" s="7" t="s">
        <v>75</v>
      </c>
      <c r="F836" s="7">
        <v>1.0</v>
      </c>
      <c r="G836" s="7" t="s">
        <v>27</v>
      </c>
      <c r="H836" s="7">
        <v>2.0</v>
      </c>
      <c r="I836" s="7">
        <v>8.0</v>
      </c>
      <c r="J836" s="7">
        <v>4.0</v>
      </c>
      <c r="K836" s="7" t="s">
        <v>31</v>
      </c>
      <c r="L836" s="9" t="str">
        <f>VLOOKUP(K836, 'Alphabetical by species code'!A:B, 2, FALSE)</f>
        <v>Festuca myuros</v>
      </c>
    </row>
    <row r="837">
      <c r="A837" s="7">
        <v>9.0</v>
      </c>
      <c r="B837" s="7">
        <v>2025.0</v>
      </c>
      <c r="C837" s="8">
        <v>45764.0</v>
      </c>
      <c r="D837" s="7" t="s">
        <v>74</v>
      </c>
      <c r="E837" s="7" t="s">
        <v>75</v>
      </c>
      <c r="F837" s="7">
        <v>1.0</v>
      </c>
      <c r="G837" s="7" t="s">
        <v>27</v>
      </c>
      <c r="H837" s="7">
        <v>2.0</v>
      </c>
      <c r="I837" s="7">
        <v>8.0</v>
      </c>
      <c r="J837" s="7">
        <v>4.0</v>
      </c>
      <c r="K837" s="7" t="s">
        <v>36</v>
      </c>
      <c r="L837" s="9" t="str">
        <f>VLOOKUP(K837, 'Alphabetical by species code'!A:B, 2, FALSE)</f>
        <v>Bromus madritensis</v>
      </c>
    </row>
    <row r="838">
      <c r="A838" s="7">
        <v>9.0</v>
      </c>
      <c r="B838" s="7">
        <v>2025.0</v>
      </c>
      <c r="C838" s="8">
        <v>45764.0</v>
      </c>
      <c r="D838" s="7" t="s">
        <v>74</v>
      </c>
      <c r="E838" s="7" t="s">
        <v>75</v>
      </c>
      <c r="F838" s="7">
        <v>1.0</v>
      </c>
      <c r="G838" s="7" t="s">
        <v>27</v>
      </c>
      <c r="H838" s="7">
        <v>2.0</v>
      </c>
      <c r="I838" s="7">
        <v>8.0</v>
      </c>
      <c r="J838" s="7">
        <v>4.0</v>
      </c>
      <c r="K838" s="7" t="s">
        <v>30</v>
      </c>
      <c r="L838" s="9" t="str">
        <f>VLOOKUP(K838, 'Alphabetical by species code'!A:B, 2, FALSE)</f>
        <v>Erodium moschatum</v>
      </c>
    </row>
    <row r="839">
      <c r="A839" s="7">
        <v>9.0</v>
      </c>
      <c r="B839" s="7">
        <v>2025.0</v>
      </c>
      <c r="C839" s="8">
        <v>45764.0</v>
      </c>
      <c r="D839" s="7" t="s">
        <v>74</v>
      </c>
      <c r="E839" s="7" t="s">
        <v>75</v>
      </c>
      <c r="F839" s="7">
        <v>1.0</v>
      </c>
      <c r="G839" s="7" t="s">
        <v>27</v>
      </c>
      <c r="H839" s="7">
        <v>2.0</v>
      </c>
      <c r="I839" s="7">
        <v>9.0</v>
      </c>
      <c r="J839" s="7">
        <v>4.5</v>
      </c>
      <c r="K839" s="7" t="s">
        <v>28</v>
      </c>
      <c r="L839" s="9" t="str">
        <f>VLOOKUP(K839, 'Alphabetical by species code'!A:B, 2, FALSE)</f>
        <v>Litter</v>
      </c>
    </row>
    <row r="840">
      <c r="A840" s="7">
        <v>9.0</v>
      </c>
      <c r="B840" s="7">
        <v>2025.0</v>
      </c>
      <c r="C840" s="8">
        <v>45764.0</v>
      </c>
      <c r="D840" s="7" t="s">
        <v>74</v>
      </c>
      <c r="E840" s="7" t="s">
        <v>75</v>
      </c>
      <c r="F840" s="7">
        <v>1.0</v>
      </c>
      <c r="G840" s="7" t="s">
        <v>27</v>
      </c>
      <c r="H840" s="7">
        <v>2.0</v>
      </c>
      <c r="I840" s="7">
        <v>9.0</v>
      </c>
      <c r="J840" s="7">
        <v>4.5</v>
      </c>
      <c r="K840" s="7" t="s">
        <v>65</v>
      </c>
      <c r="L840" s="9" t="str">
        <f>VLOOKUP(K840, 'Alphabetical by species code'!A:B, 2, FALSE)</f>
        <v>Cryptantha intermedia</v>
      </c>
    </row>
    <row r="841">
      <c r="A841" s="7">
        <v>9.0</v>
      </c>
      <c r="B841" s="7">
        <v>2025.0</v>
      </c>
      <c r="C841" s="8">
        <v>45764.0</v>
      </c>
      <c r="D841" s="7" t="s">
        <v>74</v>
      </c>
      <c r="E841" s="7" t="s">
        <v>75</v>
      </c>
      <c r="F841" s="7">
        <v>1.0</v>
      </c>
      <c r="G841" s="7" t="s">
        <v>27</v>
      </c>
      <c r="H841" s="7">
        <v>2.0</v>
      </c>
      <c r="I841" s="7">
        <v>9.0</v>
      </c>
      <c r="J841" s="7">
        <v>4.5</v>
      </c>
      <c r="K841" s="7" t="s">
        <v>48</v>
      </c>
      <c r="L841" s="9" t="str">
        <f>VLOOKUP(K841, 'Alphabetical by species code'!A:B, 2, FALSE)</f>
        <v>Sonchus asper</v>
      </c>
    </row>
    <row r="842">
      <c r="A842" s="7">
        <v>9.0</v>
      </c>
      <c r="B842" s="7">
        <v>2025.0</v>
      </c>
      <c r="C842" s="8">
        <v>45764.0</v>
      </c>
      <c r="D842" s="7" t="s">
        <v>74</v>
      </c>
      <c r="E842" s="7" t="s">
        <v>75</v>
      </c>
      <c r="F842" s="7">
        <v>1.0</v>
      </c>
      <c r="G842" s="7" t="s">
        <v>27</v>
      </c>
      <c r="H842" s="7">
        <v>2.0</v>
      </c>
      <c r="I842" s="7">
        <v>9.0</v>
      </c>
      <c r="J842" s="7">
        <v>4.5</v>
      </c>
      <c r="K842" s="7" t="s">
        <v>37</v>
      </c>
      <c r="L842" s="9" t="str">
        <f>VLOOKUP(K842, 'Alphabetical by species code'!A:B, 2, FALSE)</f>
        <v>Sonchus oleraceus</v>
      </c>
    </row>
    <row r="843">
      <c r="A843" s="7">
        <v>9.0</v>
      </c>
      <c r="B843" s="7">
        <v>2025.0</v>
      </c>
      <c r="C843" s="8">
        <v>45764.0</v>
      </c>
      <c r="D843" s="7" t="s">
        <v>74</v>
      </c>
      <c r="E843" s="7" t="s">
        <v>75</v>
      </c>
      <c r="F843" s="7">
        <v>1.0</v>
      </c>
      <c r="G843" s="7" t="s">
        <v>27</v>
      </c>
      <c r="H843" s="7">
        <v>2.0</v>
      </c>
      <c r="I843" s="7">
        <v>9.0</v>
      </c>
      <c r="J843" s="7">
        <v>4.5</v>
      </c>
      <c r="K843" s="7" t="s">
        <v>31</v>
      </c>
      <c r="L843" s="9" t="str">
        <f>VLOOKUP(K843, 'Alphabetical by species code'!A:B, 2, FALSE)</f>
        <v>Festuca myuros</v>
      </c>
    </row>
    <row r="844">
      <c r="A844" s="7">
        <v>9.0</v>
      </c>
      <c r="B844" s="7">
        <v>2025.0</v>
      </c>
      <c r="C844" s="8">
        <v>45764.0</v>
      </c>
      <c r="D844" s="7" t="s">
        <v>74</v>
      </c>
      <c r="E844" s="7" t="s">
        <v>75</v>
      </c>
      <c r="F844" s="7">
        <v>1.0</v>
      </c>
      <c r="G844" s="7" t="s">
        <v>27</v>
      </c>
      <c r="H844" s="7">
        <v>2.0</v>
      </c>
      <c r="I844" s="7">
        <v>10.0</v>
      </c>
      <c r="J844" s="7">
        <v>5.0</v>
      </c>
      <c r="K844" s="7" t="s">
        <v>28</v>
      </c>
      <c r="L844" s="9" t="str">
        <f>VLOOKUP(K844, 'Alphabetical by species code'!A:B, 2, FALSE)</f>
        <v>Litter</v>
      </c>
    </row>
    <row r="845">
      <c r="A845" s="7">
        <v>9.0</v>
      </c>
      <c r="B845" s="7">
        <v>2025.0</v>
      </c>
      <c r="C845" s="8">
        <v>45764.0</v>
      </c>
      <c r="D845" s="7" t="s">
        <v>74</v>
      </c>
      <c r="E845" s="7" t="s">
        <v>75</v>
      </c>
      <c r="F845" s="7">
        <v>1.0</v>
      </c>
      <c r="G845" s="7" t="s">
        <v>27</v>
      </c>
      <c r="H845" s="7">
        <v>2.0</v>
      </c>
      <c r="I845" s="7">
        <v>10.0</v>
      </c>
      <c r="J845" s="7">
        <v>5.0</v>
      </c>
      <c r="K845" s="7" t="s">
        <v>42</v>
      </c>
      <c r="L845" s="9" t="str">
        <f>VLOOKUP(K845, 'Alphabetical by species code'!A:B, 2, FALSE)</f>
        <v>Centaurea melitensis</v>
      </c>
    </row>
    <row r="846">
      <c r="A846" s="7">
        <v>9.0</v>
      </c>
      <c r="B846" s="7">
        <v>2025.0</v>
      </c>
      <c r="C846" s="8">
        <v>45764.0</v>
      </c>
      <c r="D846" s="7" t="s">
        <v>74</v>
      </c>
      <c r="E846" s="7" t="s">
        <v>75</v>
      </c>
      <c r="F846" s="7">
        <v>1.0</v>
      </c>
      <c r="G846" s="7" t="s">
        <v>27</v>
      </c>
      <c r="H846" s="7">
        <v>2.0</v>
      </c>
      <c r="I846" s="7">
        <v>11.0</v>
      </c>
      <c r="J846" s="7">
        <v>5.5</v>
      </c>
      <c r="K846" s="7" t="s">
        <v>28</v>
      </c>
      <c r="L846" s="9" t="str">
        <f>VLOOKUP(K846, 'Alphabetical by species code'!A:B, 2, FALSE)</f>
        <v>Litter</v>
      </c>
    </row>
    <row r="847">
      <c r="A847" s="7">
        <v>9.0</v>
      </c>
      <c r="B847" s="7">
        <v>2025.0</v>
      </c>
      <c r="C847" s="8">
        <v>45764.0</v>
      </c>
      <c r="D847" s="7" t="s">
        <v>74</v>
      </c>
      <c r="E847" s="7" t="s">
        <v>75</v>
      </c>
      <c r="F847" s="7">
        <v>1.0</v>
      </c>
      <c r="G847" s="7" t="s">
        <v>27</v>
      </c>
      <c r="H847" s="7">
        <v>2.0</v>
      </c>
      <c r="I847" s="7">
        <v>11.0</v>
      </c>
      <c r="J847" s="7">
        <v>5.5</v>
      </c>
      <c r="K847" s="7" t="s">
        <v>42</v>
      </c>
      <c r="L847" s="9" t="str">
        <f>VLOOKUP(K847, 'Alphabetical by species code'!A:B, 2, FALSE)</f>
        <v>Centaurea melitensis</v>
      </c>
    </row>
    <row r="848">
      <c r="A848" s="7">
        <v>9.0</v>
      </c>
      <c r="B848" s="7">
        <v>2025.0</v>
      </c>
      <c r="C848" s="8">
        <v>45764.0</v>
      </c>
      <c r="D848" s="7" t="s">
        <v>74</v>
      </c>
      <c r="E848" s="7" t="s">
        <v>75</v>
      </c>
      <c r="F848" s="7">
        <v>1.0</v>
      </c>
      <c r="G848" s="7" t="s">
        <v>27</v>
      </c>
      <c r="H848" s="7">
        <v>2.0</v>
      </c>
      <c r="I848" s="7">
        <v>11.0</v>
      </c>
      <c r="J848" s="7">
        <v>5.5</v>
      </c>
      <c r="K848" s="7" t="s">
        <v>37</v>
      </c>
      <c r="L848" s="9" t="str">
        <f>VLOOKUP(K848, 'Alphabetical by species code'!A:B, 2, FALSE)</f>
        <v>Sonchus oleraceus</v>
      </c>
    </row>
    <row r="849">
      <c r="A849" s="7">
        <v>9.0</v>
      </c>
      <c r="B849" s="7">
        <v>2025.0</v>
      </c>
      <c r="C849" s="8">
        <v>45764.0</v>
      </c>
      <c r="D849" s="7" t="s">
        <v>74</v>
      </c>
      <c r="E849" s="7" t="s">
        <v>75</v>
      </c>
      <c r="F849" s="7">
        <v>1.0</v>
      </c>
      <c r="G849" s="7" t="s">
        <v>27</v>
      </c>
      <c r="H849" s="7">
        <v>2.0</v>
      </c>
      <c r="I849" s="7">
        <v>12.0</v>
      </c>
      <c r="J849" s="7">
        <v>6.0</v>
      </c>
      <c r="K849" s="7" t="s">
        <v>28</v>
      </c>
      <c r="L849" s="9" t="str">
        <f>VLOOKUP(K849, 'Alphabetical by species code'!A:B, 2, FALSE)</f>
        <v>Litter</v>
      </c>
    </row>
    <row r="850">
      <c r="A850" s="7">
        <v>9.0</v>
      </c>
      <c r="B850" s="7">
        <v>2025.0</v>
      </c>
      <c r="C850" s="8">
        <v>45764.0</v>
      </c>
      <c r="D850" s="7" t="s">
        <v>74</v>
      </c>
      <c r="E850" s="7" t="s">
        <v>75</v>
      </c>
      <c r="F850" s="7">
        <v>1.0</v>
      </c>
      <c r="G850" s="7" t="s">
        <v>27</v>
      </c>
      <c r="H850" s="7">
        <v>2.0</v>
      </c>
      <c r="I850" s="7">
        <v>12.0</v>
      </c>
      <c r="J850" s="7">
        <v>6.0</v>
      </c>
      <c r="K850" s="7" t="s">
        <v>31</v>
      </c>
      <c r="L850" s="9" t="str">
        <f>VLOOKUP(K850, 'Alphabetical by species code'!A:B, 2, FALSE)</f>
        <v>Festuca myuros</v>
      </c>
    </row>
    <row r="851">
      <c r="A851" s="7">
        <v>9.0</v>
      </c>
      <c r="B851" s="7">
        <v>2025.0</v>
      </c>
      <c r="C851" s="8">
        <v>45764.0</v>
      </c>
      <c r="D851" s="7" t="s">
        <v>74</v>
      </c>
      <c r="E851" s="7" t="s">
        <v>75</v>
      </c>
      <c r="F851" s="7">
        <v>1.0</v>
      </c>
      <c r="G851" s="7" t="s">
        <v>27</v>
      </c>
      <c r="H851" s="7">
        <v>2.0</v>
      </c>
      <c r="I851" s="7">
        <v>12.0</v>
      </c>
      <c r="J851" s="7">
        <v>6.0</v>
      </c>
      <c r="K851" s="7" t="s">
        <v>48</v>
      </c>
      <c r="L851" s="9" t="str">
        <f>VLOOKUP(K851, 'Alphabetical by species code'!A:B, 2, FALSE)</f>
        <v>Sonchus asper</v>
      </c>
    </row>
    <row r="852">
      <c r="A852" s="7">
        <v>9.0</v>
      </c>
      <c r="B852" s="7">
        <v>2025.0</v>
      </c>
      <c r="C852" s="8">
        <v>45764.0</v>
      </c>
      <c r="D852" s="7" t="s">
        <v>74</v>
      </c>
      <c r="E852" s="7" t="s">
        <v>75</v>
      </c>
      <c r="F852" s="7">
        <v>1.0</v>
      </c>
      <c r="G852" s="7" t="s">
        <v>27</v>
      </c>
      <c r="H852" s="7">
        <v>2.0</v>
      </c>
      <c r="I852" s="7">
        <v>13.0</v>
      </c>
      <c r="J852" s="7">
        <v>6.5</v>
      </c>
      <c r="K852" s="7" t="s">
        <v>28</v>
      </c>
      <c r="L852" s="9" t="str">
        <f>VLOOKUP(K852, 'Alphabetical by species code'!A:B, 2, FALSE)</f>
        <v>Litter</v>
      </c>
    </row>
    <row r="853">
      <c r="A853" s="7">
        <v>9.0</v>
      </c>
      <c r="B853" s="7">
        <v>2025.0</v>
      </c>
      <c r="C853" s="8">
        <v>45764.0</v>
      </c>
      <c r="D853" s="7" t="s">
        <v>74</v>
      </c>
      <c r="E853" s="7" t="s">
        <v>75</v>
      </c>
      <c r="F853" s="7">
        <v>1.0</v>
      </c>
      <c r="G853" s="7" t="s">
        <v>27</v>
      </c>
      <c r="H853" s="7">
        <v>2.0</v>
      </c>
      <c r="I853" s="7">
        <v>13.0</v>
      </c>
      <c r="J853" s="7">
        <v>6.5</v>
      </c>
      <c r="K853" s="7" t="s">
        <v>36</v>
      </c>
      <c r="L853" s="9" t="str">
        <f>VLOOKUP(K853, 'Alphabetical by species code'!A:B, 2, FALSE)</f>
        <v>Bromus madritensis</v>
      </c>
    </row>
    <row r="854">
      <c r="A854" s="7">
        <v>9.0</v>
      </c>
      <c r="B854" s="7">
        <v>2025.0</v>
      </c>
      <c r="C854" s="8">
        <v>45764.0</v>
      </c>
      <c r="D854" s="7" t="s">
        <v>74</v>
      </c>
      <c r="E854" s="7" t="s">
        <v>75</v>
      </c>
      <c r="F854" s="7">
        <v>1.0</v>
      </c>
      <c r="G854" s="7" t="s">
        <v>27</v>
      </c>
      <c r="H854" s="7">
        <v>2.0</v>
      </c>
      <c r="I854" s="7">
        <v>13.0</v>
      </c>
      <c r="J854" s="7">
        <v>6.5</v>
      </c>
      <c r="K854" s="7" t="s">
        <v>35</v>
      </c>
      <c r="L854" s="9" t="str">
        <f>VLOOKUP(K854, 'Alphabetical by species code'!A:B, 2, FALSE)</f>
        <v>Deinandra fasciculata</v>
      </c>
    </row>
    <row r="855">
      <c r="A855" s="7">
        <v>9.0</v>
      </c>
      <c r="B855" s="7">
        <v>2025.0</v>
      </c>
      <c r="C855" s="8">
        <v>45764.0</v>
      </c>
      <c r="D855" s="7" t="s">
        <v>74</v>
      </c>
      <c r="E855" s="7" t="s">
        <v>75</v>
      </c>
      <c r="F855" s="7">
        <v>1.0</v>
      </c>
      <c r="G855" s="7" t="s">
        <v>27</v>
      </c>
      <c r="H855" s="7">
        <v>2.0</v>
      </c>
      <c r="I855" s="7">
        <v>14.0</v>
      </c>
      <c r="J855" s="7">
        <v>7.0</v>
      </c>
      <c r="K855" s="7" t="s">
        <v>52</v>
      </c>
      <c r="L855" s="9" t="str">
        <f>VLOOKUP(K855, 'Alphabetical by species code'!A:B, 2, FALSE)</f>
        <v>Rock</v>
      </c>
    </row>
    <row r="856">
      <c r="A856" s="7">
        <v>9.0</v>
      </c>
      <c r="B856" s="7">
        <v>2025.0</v>
      </c>
      <c r="C856" s="8">
        <v>45764.0</v>
      </c>
      <c r="D856" s="7" t="s">
        <v>74</v>
      </c>
      <c r="E856" s="7" t="s">
        <v>75</v>
      </c>
      <c r="F856" s="7">
        <v>1.0</v>
      </c>
      <c r="G856" s="7" t="s">
        <v>27</v>
      </c>
      <c r="H856" s="7">
        <v>2.0</v>
      </c>
      <c r="I856" s="7">
        <v>14.0</v>
      </c>
      <c r="J856" s="7">
        <v>7.0</v>
      </c>
      <c r="K856" s="7" t="s">
        <v>48</v>
      </c>
      <c r="L856" s="9" t="str">
        <f>VLOOKUP(K856, 'Alphabetical by species code'!A:B, 2, FALSE)</f>
        <v>Sonchus asper</v>
      </c>
    </row>
    <row r="857">
      <c r="A857" s="7">
        <v>9.0</v>
      </c>
      <c r="B857" s="7">
        <v>2025.0</v>
      </c>
      <c r="C857" s="8">
        <v>45764.0</v>
      </c>
      <c r="D857" s="7" t="s">
        <v>74</v>
      </c>
      <c r="E857" s="7" t="s">
        <v>75</v>
      </c>
      <c r="F857" s="7">
        <v>1.0</v>
      </c>
      <c r="G857" s="7" t="s">
        <v>27</v>
      </c>
      <c r="H857" s="7">
        <v>2.0</v>
      </c>
      <c r="I857" s="7">
        <v>14.0</v>
      </c>
      <c r="J857" s="7">
        <v>7.0</v>
      </c>
      <c r="K857" s="7" t="s">
        <v>65</v>
      </c>
      <c r="L857" s="9" t="str">
        <f>VLOOKUP(K857, 'Alphabetical by species code'!A:B, 2, FALSE)</f>
        <v>Cryptantha intermedia</v>
      </c>
    </row>
    <row r="858">
      <c r="A858" s="7">
        <v>9.0</v>
      </c>
      <c r="B858" s="7">
        <v>2025.0</v>
      </c>
      <c r="C858" s="8">
        <v>45764.0</v>
      </c>
      <c r="D858" s="7" t="s">
        <v>74</v>
      </c>
      <c r="E858" s="7" t="s">
        <v>75</v>
      </c>
      <c r="F858" s="7">
        <v>1.0</v>
      </c>
      <c r="G858" s="7" t="s">
        <v>27</v>
      </c>
      <c r="H858" s="7">
        <v>2.0</v>
      </c>
      <c r="I858" s="7">
        <v>15.0</v>
      </c>
      <c r="J858" s="7">
        <v>7.5</v>
      </c>
      <c r="K858" s="7" t="s">
        <v>52</v>
      </c>
      <c r="L858" s="9" t="str">
        <f>VLOOKUP(K858, 'Alphabetical by species code'!A:B, 2, FALSE)</f>
        <v>Rock</v>
      </c>
    </row>
    <row r="859">
      <c r="A859" s="7">
        <v>10.0</v>
      </c>
      <c r="B859" s="7">
        <v>2025.0</v>
      </c>
      <c r="C859" s="8">
        <v>45777.0</v>
      </c>
      <c r="D859" s="7" t="s">
        <v>77</v>
      </c>
      <c r="E859" s="7" t="s">
        <v>75</v>
      </c>
      <c r="F859" s="7">
        <v>1.0</v>
      </c>
      <c r="G859" s="7" t="s">
        <v>46</v>
      </c>
      <c r="H859" s="7">
        <v>1.0</v>
      </c>
      <c r="I859" s="7">
        <v>1.0</v>
      </c>
      <c r="J859" s="7">
        <v>0.0</v>
      </c>
      <c r="K859" s="7" t="s">
        <v>28</v>
      </c>
      <c r="L859" s="9" t="str">
        <f>VLOOKUP(K859, 'Alphabetical by species code'!A:B, 2, FALSE)</f>
        <v>Litter</v>
      </c>
    </row>
    <row r="860">
      <c r="A860" s="7">
        <v>10.0</v>
      </c>
      <c r="B860" s="7">
        <v>2025.0</v>
      </c>
      <c r="C860" s="8">
        <v>45777.0</v>
      </c>
      <c r="D860" s="7" t="s">
        <v>77</v>
      </c>
      <c r="E860" s="7" t="s">
        <v>75</v>
      </c>
      <c r="F860" s="7">
        <v>1.0</v>
      </c>
      <c r="G860" s="7" t="s">
        <v>46</v>
      </c>
      <c r="H860" s="7">
        <v>1.0</v>
      </c>
      <c r="I860" s="7">
        <v>1.0</v>
      </c>
      <c r="J860" s="7">
        <v>0.0</v>
      </c>
      <c r="K860" s="7" t="s">
        <v>35</v>
      </c>
      <c r="L860" s="9" t="str">
        <f>VLOOKUP(K860, 'Alphabetical by species code'!A:B, 2, FALSE)</f>
        <v>Deinandra fasciculata</v>
      </c>
    </row>
    <row r="861">
      <c r="A861" s="7">
        <v>10.0</v>
      </c>
      <c r="B861" s="7">
        <v>2025.0</v>
      </c>
      <c r="C861" s="8">
        <v>45777.0</v>
      </c>
      <c r="D861" s="7" t="s">
        <v>77</v>
      </c>
      <c r="E861" s="7" t="s">
        <v>75</v>
      </c>
      <c r="F861" s="7">
        <v>1.0</v>
      </c>
      <c r="G861" s="7" t="s">
        <v>46</v>
      </c>
      <c r="H861" s="7">
        <v>1.0</v>
      </c>
      <c r="I861" s="7">
        <v>1.0</v>
      </c>
      <c r="J861" s="7">
        <v>0.0</v>
      </c>
      <c r="K861" s="7" t="s">
        <v>30</v>
      </c>
      <c r="L861" s="9" t="str">
        <f>VLOOKUP(K861, 'Alphabetical by species code'!A:B, 2, FALSE)</f>
        <v>Erodium moschatum</v>
      </c>
    </row>
    <row r="862">
      <c r="A862" s="7">
        <v>10.0</v>
      </c>
      <c r="B862" s="7">
        <v>2025.0</v>
      </c>
      <c r="C862" s="8">
        <v>45777.0</v>
      </c>
      <c r="D862" s="7" t="s">
        <v>77</v>
      </c>
      <c r="E862" s="7" t="s">
        <v>75</v>
      </c>
      <c r="F862" s="7">
        <v>1.0</v>
      </c>
      <c r="G862" s="7" t="s">
        <v>46</v>
      </c>
      <c r="H862" s="7">
        <v>1.0</v>
      </c>
      <c r="I862" s="7">
        <v>1.0</v>
      </c>
      <c r="J862" s="7">
        <v>0.0</v>
      </c>
      <c r="K862" s="7" t="s">
        <v>31</v>
      </c>
      <c r="L862" s="9" t="str">
        <f>VLOOKUP(K862, 'Alphabetical by species code'!A:B, 2, FALSE)</f>
        <v>Festuca myuros</v>
      </c>
    </row>
    <row r="863">
      <c r="A863" s="7">
        <v>10.0</v>
      </c>
      <c r="B863" s="7">
        <v>2025.0</v>
      </c>
      <c r="C863" s="8">
        <v>45777.0</v>
      </c>
      <c r="D863" s="7" t="s">
        <v>77</v>
      </c>
      <c r="E863" s="7" t="s">
        <v>75</v>
      </c>
      <c r="F863" s="7">
        <v>1.0</v>
      </c>
      <c r="G863" s="7" t="s">
        <v>46</v>
      </c>
      <c r="H863" s="7">
        <v>1.0</v>
      </c>
      <c r="I863" s="7">
        <v>2.0</v>
      </c>
      <c r="J863" s="7">
        <v>0.5</v>
      </c>
      <c r="K863" s="7" t="s">
        <v>28</v>
      </c>
      <c r="L863" s="9" t="str">
        <f>VLOOKUP(K863, 'Alphabetical by species code'!A:B, 2, FALSE)</f>
        <v>Litter</v>
      </c>
    </row>
    <row r="864">
      <c r="A864" s="7">
        <v>10.0</v>
      </c>
      <c r="B864" s="7">
        <v>2025.0</v>
      </c>
      <c r="C864" s="8">
        <v>45777.0</v>
      </c>
      <c r="D864" s="7" t="s">
        <v>77</v>
      </c>
      <c r="E864" s="7" t="s">
        <v>75</v>
      </c>
      <c r="F864" s="7">
        <v>1.0</v>
      </c>
      <c r="G864" s="7" t="s">
        <v>46</v>
      </c>
      <c r="H864" s="7">
        <v>1.0</v>
      </c>
      <c r="I864" s="7">
        <v>2.0</v>
      </c>
      <c r="J864" s="7">
        <v>0.5</v>
      </c>
      <c r="K864" s="7" t="s">
        <v>36</v>
      </c>
      <c r="L864" s="9" t="str">
        <f>VLOOKUP(K864, 'Alphabetical by species code'!A:B, 2, FALSE)</f>
        <v>Bromus madritensis</v>
      </c>
    </row>
    <row r="865">
      <c r="A865" s="7">
        <v>10.0</v>
      </c>
      <c r="B865" s="7">
        <v>2025.0</v>
      </c>
      <c r="C865" s="8">
        <v>45777.0</v>
      </c>
      <c r="D865" s="7" t="s">
        <v>77</v>
      </c>
      <c r="E865" s="7" t="s">
        <v>75</v>
      </c>
      <c r="F865" s="7">
        <v>1.0</v>
      </c>
      <c r="G865" s="7" t="s">
        <v>46</v>
      </c>
      <c r="H865" s="7">
        <v>1.0</v>
      </c>
      <c r="I865" s="7">
        <v>2.0</v>
      </c>
      <c r="J865" s="7">
        <v>0.5</v>
      </c>
      <c r="K865" s="7" t="s">
        <v>29</v>
      </c>
      <c r="L865" s="9" t="str">
        <f>VLOOKUP(K865, 'Alphabetical by species code'!A:B, 2, FALSE)</f>
        <v>Opuntia littoralis</v>
      </c>
    </row>
    <row r="866">
      <c r="A866" s="7">
        <v>10.0</v>
      </c>
      <c r="B866" s="7">
        <v>2025.0</v>
      </c>
      <c r="C866" s="8">
        <v>45777.0</v>
      </c>
      <c r="D866" s="7" t="s">
        <v>77</v>
      </c>
      <c r="E866" s="7" t="s">
        <v>75</v>
      </c>
      <c r="F866" s="7">
        <v>1.0</v>
      </c>
      <c r="G866" s="7" t="s">
        <v>46</v>
      </c>
      <c r="H866" s="7">
        <v>1.0</v>
      </c>
      <c r="I866" s="7">
        <v>2.0</v>
      </c>
      <c r="J866" s="7">
        <v>0.5</v>
      </c>
      <c r="K866" s="7" t="s">
        <v>35</v>
      </c>
      <c r="L866" s="9" t="str">
        <f>VLOOKUP(K866, 'Alphabetical by species code'!A:B, 2, FALSE)</f>
        <v>Deinandra fasciculata</v>
      </c>
    </row>
    <row r="867">
      <c r="A867" s="7">
        <v>10.0</v>
      </c>
      <c r="B867" s="7">
        <v>2025.0</v>
      </c>
      <c r="C867" s="8">
        <v>45777.0</v>
      </c>
      <c r="D867" s="7" t="s">
        <v>77</v>
      </c>
      <c r="E867" s="7" t="s">
        <v>75</v>
      </c>
      <c r="F867" s="7">
        <v>1.0</v>
      </c>
      <c r="G867" s="7" t="s">
        <v>46</v>
      </c>
      <c r="H867" s="7">
        <v>1.0</v>
      </c>
      <c r="I867" s="7">
        <v>2.0</v>
      </c>
      <c r="J867" s="7">
        <v>0.5</v>
      </c>
      <c r="K867" s="7" t="s">
        <v>49</v>
      </c>
      <c r="L867" s="9" t="str">
        <f>VLOOKUP(K867, 'Alphabetical by species code'!A:B, 2, FALSE)</f>
        <v>Anagallis arvensis</v>
      </c>
    </row>
    <row r="868">
      <c r="A868" s="7">
        <v>10.0</v>
      </c>
      <c r="B868" s="7">
        <v>2025.0</v>
      </c>
      <c r="C868" s="8">
        <v>45777.0</v>
      </c>
      <c r="D868" s="7" t="s">
        <v>77</v>
      </c>
      <c r="E868" s="7" t="s">
        <v>75</v>
      </c>
      <c r="F868" s="7">
        <v>1.0</v>
      </c>
      <c r="G868" s="7" t="s">
        <v>46</v>
      </c>
      <c r="H868" s="7">
        <v>1.0</v>
      </c>
      <c r="I868" s="7">
        <v>3.0</v>
      </c>
      <c r="J868" s="7">
        <v>1.0</v>
      </c>
      <c r="K868" s="7" t="s">
        <v>28</v>
      </c>
      <c r="L868" s="9" t="str">
        <f>VLOOKUP(K868, 'Alphabetical by species code'!A:B, 2, FALSE)</f>
        <v>Litter</v>
      </c>
    </row>
    <row r="869">
      <c r="A869" s="7">
        <v>10.0</v>
      </c>
      <c r="B869" s="7">
        <v>2025.0</v>
      </c>
      <c r="C869" s="8">
        <v>45777.0</v>
      </c>
      <c r="D869" s="7" t="s">
        <v>77</v>
      </c>
      <c r="E869" s="7" t="s">
        <v>75</v>
      </c>
      <c r="F869" s="7">
        <v>1.0</v>
      </c>
      <c r="G869" s="7" t="s">
        <v>46</v>
      </c>
      <c r="H869" s="7">
        <v>1.0</v>
      </c>
      <c r="I869" s="7">
        <v>3.0</v>
      </c>
      <c r="J869" s="7">
        <v>1.0</v>
      </c>
      <c r="K869" s="7" t="s">
        <v>36</v>
      </c>
      <c r="L869" s="9" t="str">
        <f>VLOOKUP(K869, 'Alphabetical by species code'!A:B, 2, FALSE)</f>
        <v>Bromus madritensis</v>
      </c>
    </row>
    <row r="870">
      <c r="A870" s="7">
        <v>10.0</v>
      </c>
      <c r="B870" s="7">
        <v>2025.0</v>
      </c>
      <c r="C870" s="8">
        <v>45777.0</v>
      </c>
      <c r="D870" s="7" t="s">
        <v>77</v>
      </c>
      <c r="E870" s="7" t="s">
        <v>75</v>
      </c>
      <c r="F870" s="7">
        <v>1.0</v>
      </c>
      <c r="G870" s="7" t="s">
        <v>46</v>
      </c>
      <c r="H870" s="7">
        <v>1.0</v>
      </c>
      <c r="I870" s="7">
        <v>3.0</v>
      </c>
      <c r="J870" s="7">
        <v>1.0</v>
      </c>
      <c r="K870" s="7" t="s">
        <v>35</v>
      </c>
      <c r="L870" s="9" t="str">
        <f>VLOOKUP(K870, 'Alphabetical by species code'!A:B, 2, FALSE)</f>
        <v>Deinandra fasciculata</v>
      </c>
    </row>
    <row r="871">
      <c r="A871" s="7">
        <v>10.0</v>
      </c>
      <c r="B871" s="7">
        <v>2025.0</v>
      </c>
      <c r="C871" s="8">
        <v>45777.0</v>
      </c>
      <c r="D871" s="7" t="s">
        <v>77</v>
      </c>
      <c r="E871" s="7" t="s">
        <v>75</v>
      </c>
      <c r="F871" s="7">
        <v>1.0</v>
      </c>
      <c r="G871" s="7" t="s">
        <v>46</v>
      </c>
      <c r="H871" s="7">
        <v>1.0</v>
      </c>
      <c r="I871" s="7">
        <v>4.0</v>
      </c>
      <c r="J871" s="7">
        <v>1.5</v>
      </c>
      <c r="K871" s="7" t="s">
        <v>41</v>
      </c>
      <c r="L871" s="9" t="str">
        <f>VLOOKUP(K871, 'Alphabetical by species code'!A:B, 2, FALSE)</f>
        <v>Stem</v>
      </c>
    </row>
    <row r="872">
      <c r="A872" s="7">
        <v>10.0</v>
      </c>
      <c r="B872" s="7">
        <v>2025.0</v>
      </c>
      <c r="C872" s="8">
        <v>45777.0</v>
      </c>
      <c r="D872" s="7" t="s">
        <v>77</v>
      </c>
      <c r="E872" s="7" t="s">
        <v>75</v>
      </c>
      <c r="F872" s="7">
        <v>1.0</v>
      </c>
      <c r="G872" s="7" t="s">
        <v>46</v>
      </c>
      <c r="H872" s="7">
        <v>1.0</v>
      </c>
      <c r="I872" s="7">
        <v>4.0</v>
      </c>
      <c r="J872" s="7">
        <v>1.5</v>
      </c>
      <c r="K872" s="7" t="s">
        <v>29</v>
      </c>
      <c r="L872" s="9" t="str">
        <f>VLOOKUP(K872, 'Alphabetical by species code'!A:B, 2, FALSE)</f>
        <v>Opuntia littoralis</v>
      </c>
    </row>
    <row r="873">
      <c r="A873" s="7">
        <v>10.0</v>
      </c>
      <c r="B873" s="7">
        <v>2025.0</v>
      </c>
      <c r="C873" s="8">
        <v>45777.0</v>
      </c>
      <c r="D873" s="7" t="s">
        <v>77</v>
      </c>
      <c r="E873" s="7" t="s">
        <v>75</v>
      </c>
      <c r="F873" s="7">
        <v>1.0</v>
      </c>
      <c r="G873" s="7" t="s">
        <v>46</v>
      </c>
      <c r="H873" s="7">
        <v>1.0</v>
      </c>
      <c r="I873" s="7">
        <v>4.0</v>
      </c>
      <c r="J873" s="7">
        <v>1.5</v>
      </c>
      <c r="K873" s="7" t="s">
        <v>43</v>
      </c>
      <c r="L873" s="9" t="str">
        <f>VLOOKUP(K873, 'Alphabetical by species code'!A:B, 2, FALSE)</f>
        <v>Uropappus lindleyi</v>
      </c>
    </row>
    <row r="874">
      <c r="A874" s="7">
        <v>10.0</v>
      </c>
      <c r="B874" s="7">
        <v>2025.0</v>
      </c>
      <c r="C874" s="8">
        <v>45777.0</v>
      </c>
      <c r="D874" s="7" t="s">
        <v>77</v>
      </c>
      <c r="E874" s="7" t="s">
        <v>75</v>
      </c>
      <c r="F874" s="7">
        <v>1.0</v>
      </c>
      <c r="G874" s="7" t="s">
        <v>46</v>
      </c>
      <c r="H874" s="7">
        <v>1.0</v>
      </c>
      <c r="I874" s="7">
        <v>5.0</v>
      </c>
      <c r="J874" s="7">
        <v>2.0</v>
      </c>
      <c r="K874" s="7" t="s">
        <v>28</v>
      </c>
      <c r="L874" s="9" t="str">
        <f>VLOOKUP(K874, 'Alphabetical by species code'!A:B, 2, FALSE)</f>
        <v>Litter</v>
      </c>
    </row>
    <row r="875">
      <c r="A875" s="7">
        <v>10.0</v>
      </c>
      <c r="B875" s="7">
        <v>2025.0</v>
      </c>
      <c r="C875" s="8">
        <v>45777.0</v>
      </c>
      <c r="D875" s="7" t="s">
        <v>77</v>
      </c>
      <c r="E875" s="7" t="s">
        <v>75</v>
      </c>
      <c r="F875" s="7">
        <v>1.0</v>
      </c>
      <c r="G875" s="7" t="s">
        <v>46</v>
      </c>
      <c r="H875" s="7">
        <v>1.0</v>
      </c>
      <c r="I875" s="7">
        <v>5.0</v>
      </c>
      <c r="J875" s="7">
        <v>2.0</v>
      </c>
      <c r="K875" s="7" t="s">
        <v>30</v>
      </c>
      <c r="L875" s="9" t="str">
        <f>VLOOKUP(K875, 'Alphabetical by species code'!A:B, 2, FALSE)</f>
        <v>Erodium moschatum</v>
      </c>
    </row>
    <row r="876">
      <c r="A876" s="7">
        <v>10.0</v>
      </c>
      <c r="B876" s="7">
        <v>2025.0</v>
      </c>
      <c r="C876" s="8">
        <v>45777.0</v>
      </c>
      <c r="D876" s="7" t="s">
        <v>77</v>
      </c>
      <c r="E876" s="7" t="s">
        <v>75</v>
      </c>
      <c r="F876" s="7">
        <v>1.0</v>
      </c>
      <c r="G876" s="7" t="s">
        <v>46</v>
      </c>
      <c r="H876" s="7">
        <v>1.0</v>
      </c>
      <c r="I876" s="7">
        <v>5.0</v>
      </c>
      <c r="J876" s="7">
        <v>2.0</v>
      </c>
      <c r="K876" s="7" t="s">
        <v>42</v>
      </c>
      <c r="L876" s="9" t="str">
        <f>VLOOKUP(K876, 'Alphabetical by species code'!A:B, 2, FALSE)</f>
        <v>Centaurea melitensis</v>
      </c>
    </row>
    <row r="877">
      <c r="A877" s="7">
        <v>10.0</v>
      </c>
      <c r="B877" s="7">
        <v>2025.0</v>
      </c>
      <c r="C877" s="8">
        <v>45777.0</v>
      </c>
      <c r="D877" s="7" t="s">
        <v>77</v>
      </c>
      <c r="E877" s="7" t="s">
        <v>75</v>
      </c>
      <c r="F877" s="7">
        <v>1.0</v>
      </c>
      <c r="G877" s="7" t="s">
        <v>46</v>
      </c>
      <c r="H877" s="7">
        <v>1.0</v>
      </c>
      <c r="I877" s="7">
        <v>6.0</v>
      </c>
      <c r="J877" s="7">
        <v>2.5</v>
      </c>
      <c r="K877" s="7" t="s">
        <v>51</v>
      </c>
      <c r="L877" s="9" t="str">
        <f>VLOOKUP(K877, 'Alphabetical by species code'!A:B, 2, FALSE)</f>
        <v>Bareground</v>
      </c>
    </row>
    <row r="878">
      <c r="A878" s="7">
        <v>10.0</v>
      </c>
      <c r="B878" s="7">
        <v>2025.0</v>
      </c>
      <c r="C878" s="8">
        <v>45777.0</v>
      </c>
      <c r="D878" s="7" t="s">
        <v>77</v>
      </c>
      <c r="E878" s="7" t="s">
        <v>75</v>
      </c>
      <c r="F878" s="7">
        <v>1.0</v>
      </c>
      <c r="G878" s="7" t="s">
        <v>46</v>
      </c>
      <c r="H878" s="7">
        <v>1.0</v>
      </c>
      <c r="I878" s="7">
        <v>6.0</v>
      </c>
      <c r="J878" s="7">
        <v>2.5</v>
      </c>
      <c r="K878" s="7" t="s">
        <v>29</v>
      </c>
      <c r="L878" s="9" t="str">
        <f>VLOOKUP(K878, 'Alphabetical by species code'!A:B, 2, FALSE)</f>
        <v>Opuntia littoralis</v>
      </c>
    </row>
    <row r="879">
      <c r="A879" s="7">
        <v>10.0</v>
      </c>
      <c r="B879" s="7">
        <v>2025.0</v>
      </c>
      <c r="C879" s="8">
        <v>45777.0</v>
      </c>
      <c r="D879" s="7" t="s">
        <v>77</v>
      </c>
      <c r="E879" s="7" t="s">
        <v>75</v>
      </c>
      <c r="F879" s="7">
        <v>1.0</v>
      </c>
      <c r="G879" s="7" t="s">
        <v>46</v>
      </c>
      <c r="H879" s="7">
        <v>1.0</v>
      </c>
      <c r="I879" s="7">
        <v>6.0</v>
      </c>
      <c r="J879" s="7">
        <v>2.5</v>
      </c>
      <c r="K879" s="7" t="s">
        <v>48</v>
      </c>
      <c r="L879" s="9" t="str">
        <f>VLOOKUP(K879, 'Alphabetical by species code'!A:B, 2, FALSE)</f>
        <v>Sonchus asper</v>
      </c>
    </row>
    <row r="880">
      <c r="A880" s="7">
        <v>10.0</v>
      </c>
      <c r="B880" s="7">
        <v>2025.0</v>
      </c>
      <c r="C880" s="8">
        <v>45777.0</v>
      </c>
      <c r="D880" s="7" t="s">
        <v>77</v>
      </c>
      <c r="E880" s="7" t="s">
        <v>75</v>
      </c>
      <c r="F880" s="7">
        <v>1.0</v>
      </c>
      <c r="G880" s="7" t="s">
        <v>46</v>
      </c>
      <c r="H880" s="7">
        <v>1.0</v>
      </c>
      <c r="I880" s="7">
        <v>6.0</v>
      </c>
      <c r="J880" s="7">
        <v>2.5</v>
      </c>
      <c r="K880" s="7" t="s">
        <v>31</v>
      </c>
      <c r="L880" s="9" t="str">
        <f>VLOOKUP(K880, 'Alphabetical by species code'!A:B, 2, FALSE)</f>
        <v>Festuca myuros</v>
      </c>
    </row>
    <row r="881">
      <c r="A881" s="7">
        <v>10.0</v>
      </c>
      <c r="B881" s="7">
        <v>2025.0</v>
      </c>
      <c r="C881" s="8">
        <v>45777.0</v>
      </c>
      <c r="D881" s="7" t="s">
        <v>77</v>
      </c>
      <c r="E881" s="7" t="s">
        <v>75</v>
      </c>
      <c r="F881" s="7">
        <v>1.0</v>
      </c>
      <c r="G881" s="7" t="s">
        <v>46</v>
      </c>
      <c r="H881" s="7">
        <v>1.0</v>
      </c>
      <c r="I881" s="7">
        <v>7.0</v>
      </c>
      <c r="J881" s="7">
        <v>3.0</v>
      </c>
      <c r="K881" s="7" t="s">
        <v>28</v>
      </c>
      <c r="L881" s="9" t="str">
        <f>VLOOKUP(K881, 'Alphabetical by species code'!A:B, 2, FALSE)</f>
        <v>Litter</v>
      </c>
    </row>
    <row r="882">
      <c r="A882" s="7">
        <v>10.0</v>
      </c>
      <c r="B882" s="7">
        <v>2025.0</v>
      </c>
      <c r="C882" s="8">
        <v>45777.0</v>
      </c>
      <c r="D882" s="7" t="s">
        <v>77</v>
      </c>
      <c r="E882" s="7" t="s">
        <v>75</v>
      </c>
      <c r="F882" s="7">
        <v>1.0</v>
      </c>
      <c r="G882" s="7" t="s">
        <v>46</v>
      </c>
      <c r="H882" s="7">
        <v>1.0</v>
      </c>
      <c r="I882" s="7">
        <v>7.0</v>
      </c>
      <c r="J882" s="7">
        <v>3.0</v>
      </c>
      <c r="K882" s="7" t="s">
        <v>48</v>
      </c>
      <c r="L882" s="9" t="str">
        <f>VLOOKUP(K882, 'Alphabetical by species code'!A:B, 2, FALSE)</f>
        <v>Sonchus asper</v>
      </c>
    </row>
    <row r="883">
      <c r="A883" s="7">
        <v>10.0</v>
      </c>
      <c r="B883" s="7">
        <v>2025.0</v>
      </c>
      <c r="C883" s="8">
        <v>45777.0</v>
      </c>
      <c r="D883" s="7" t="s">
        <v>77</v>
      </c>
      <c r="E883" s="7" t="s">
        <v>75</v>
      </c>
      <c r="F883" s="7">
        <v>1.0</v>
      </c>
      <c r="G883" s="7" t="s">
        <v>46</v>
      </c>
      <c r="H883" s="7">
        <v>1.0</v>
      </c>
      <c r="I883" s="7">
        <v>7.0</v>
      </c>
      <c r="J883" s="7">
        <v>3.0</v>
      </c>
      <c r="K883" s="7" t="s">
        <v>35</v>
      </c>
      <c r="L883" s="9" t="str">
        <f>VLOOKUP(K883, 'Alphabetical by species code'!A:B, 2, FALSE)</f>
        <v>Deinandra fasciculata</v>
      </c>
    </row>
    <row r="884">
      <c r="A884" s="7">
        <v>10.0</v>
      </c>
      <c r="B884" s="7">
        <v>2025.0</v>
      </c>
      <c r="C884" s="8">
        <v>45777.0</v>
      </c>
      <c r="D884" s="7" t="s">
        <v>77</v>
      </c>
      <c r="E884" s="7" t="s">
        <v>75</v>
      </c>
      <c r="F884" s="7">
        <v>1.0</v>
      </c>
      <c r="G884" s="7" t="s">
        <v>46</v>
      </c>
      <c r="H884" s="7">
        <v>1.0</v>
      </c>
      <c r="I884" s="7">
        <v>7.0</v>
      </c>
      <c r="J884" s="7">
        <v>3.0</v>
      </c>
      <c r="K884" s="7" t="s">
        <v>29</v>
      </c>
      <c r="L884" s="9" t="str">
        <f>VLOOKUP(K884, 'Alphabetical by species code'!A:B, 2, FALSE)</f>
        <v>Opuntia littoralis</v>
      </c>
    </row>
    <row r="885">
      <c r="A885" s="7">
        <v>10.0</v>
      </c>
      <c r="B885" s="7">
        <v>2025.0</v>
      </c>
      <c r="C885" s="8">
        <v>45777.0</v>
      </c>
      <c r="D885" s="7" t="s">
        <v>77</v>
      </c>
      <c r="E885" s="7" t="s">
        <v>75</v>
      </c>
      <c r="F885" s="7">
        <v>1.0</v>
      </c>
      <c r="G885" s="7" t="s">
        <v>46</v>
      </c>
      <c r="H885" s="7">
        <v>1.0</v>
      </c>
      <c r="I885" s="7">
        <v>8.0</v>
      </c>
      <c r="J885" s="7">
        <v>3.5</v>
      </c>
      <c r="K885" s="7" t="s">
        <v>28</v>
      </c>
      <c r="L885" s="9" t="str">
        <f>VLOOKUP(K885, 'Alphabetical by species code'!A:B, 2, FALSE)</f>
        <v>Litter</v>
      </c>
    </row>
    <row r="886">
      <c r="A886" s="7">
        <v>10.0</v>
      </c>
      <c r="B886" s="7">
        <v>2025.0</v>
      </c>
      <c r="C886" s="8">
        <v>45777.0</v>
      </c>
      <c r="D886" s="7" t="s">
        <v>77</v>
      </c>
      <c r="E886" s="7" t="s">
        <v>75</v>
      </c>
      <c r="F886" s="7">
        <v>1.0</v>
      </c>
      <c r="G886" s="7" t="s">
        <v>46</v>
      </c>
      <c r="H886" s="7">
        <v>1.0</v>
      </c>
      <c r="I886" s="7">
        <v>8.0</v>
      </c>
      <c r="J886" s="7">
        <v>3.5</v>
      </c>
      <c r="K886" s="7" t="s">
        <v>35</v>
      </c>
      <c r="L886" s="9" t="str">
        <f>VLOOKUP(K886, 'Alphabetical by species code'!A:B, 2, FALSE)</f>
        <v>Deinandra fasciculata</v>
      </c>
    </row>
    <row r="887">
      <c r="A887" s="7">
        <v>10.0</v>
      </c>
      <c r="B887" s="7">
        <v>2025.0</v>
      </c>
      <c r="C887" s="8">
        <v>45777.0</v>
      </c>
      <c r="D887" s="7" t="s">
        <v>77</v>
      </c>
      <c r="E887" s="7" t="s">
        <v>75</v>
      </c>
      <c r="F887" s="7">
        <v>1.0</v>
      </c>
      <c r="G887" s="7" t="s">
        <v>46</v>
      </c>
      <c r="H887" s="7">
        <v>1.0</v>
      </c>
      <c r="I887" s="7">
        <v>9.0</v>
      </c>
      <c r="J887" s="7">
        <v>4.0</v>
      </c>
      <c r="K887" s="7" t="s">
        <v>38</v>
      </c>
      <c r="L887" s="9" t="str">
        <f>VLOOKUP(K887, 'Alphabetical by species code'!A:B, 2, FALSE)</f>
        <v>Thatch</v>
      </c>
    </row>
    <row r="888">
      <c r="A888" s="7">
        <v>10.0</v>
      </c>
      <c r="B888" s="7">
        <v>2025.0</v>
      </c>
      <c r="C888" s="8">
        <v>45777.0</v>
      </c>
      <c r="D888" s="7" t="s">
        <v>77</v>
      </c>
      <c r="E888" s="7" t="s">
        <v>75</v>
      </c>
      <c r="F888" s="7">
        <v>1.0</v>
      </c>
      <c r="G888" s="7" t="s">
        <v>46</v>
      </c>
      <c r="H888" s="7">
        <v>1.0</v>
      </c>
      <c r="I888" s="7">
        <v>9.0</v>
      </c>
      <c r="J888" s="7">
        <v>4.0</v>
      </c>
      <c r="K888" s="7" t="s">
        <v>31</v>
      </c>
      <c r="L888" s="9" t="str">
        <f>VLOOKUP(K888, 'Alphabetical by species code'!A:B, 2, FALSE)</f>
        <v>Festuca myuros</v>
      </c>
    </row>
    <row r="889">
      <c r="A889" s="7">
        <v>10.0</v>
      </c>
      <c r="B889" s="7">
        <v>2025.0</v>
      </c>
      <c r="C889" s="8">
        <v>45777.0</v>
      </c>
      <c r="D889" s="7" t="s">
        <v>77</v>
      </c>
      <c r="E889" s="7" t="s">
        <v>75</v>
      </c>
      <c r="F889" s="7">
        <v>1.0</v>
      </c>
      <c r="G889" s="7" t="s">
        <v>46</v>
      </c>
      <c r="H889" s="7">
        <v>1.0</v>
      </c>
      <c r="I889" s="7">
        <v>9.0</v>
      </c>
      <c r="J889" s="7">
        <v>4.0</v>
      </c>
      <c r="K889" s="7" t="s">
        <v>36</v>
      </c>
      <c r="L889" s="9" t="str">
        <f>VLOOKUP(K889, 'Alphabetical by species code'!A:B, 2, FALSE)</f>
        <v>Bromus madritensis</v>
      </c>
    </row>
    <row r="890">
      <c r="A890" s="7">
        <v>10.0</v>
      </c>
      <c r="B890" s="7">
        <v>2025.0</v>
      </c>
      <c r="C890" s="8">
        <v>45777.0</v>
      </c>
      <c r="D890" s="7" t="s">
        <v>77</v>
      </c>
      <c r="E890" s="7" t="s">
        <v>75</v>
      </c>
      <c r="F890" s="7">
        <v>1.0</v>
      </c>
      <c r="G890" s="7" t="s">
        <v>46</v>
      </c>
      <c r="H890" s="7">
        <v>1.0</v>
      </c>
      <c r="I890" s="7">
        <v>10.0</v>
      </c>
      <c r="J890" s="7">
        <v>4.5</v>
      </c>
      <c r="K890" s="7" t="s">
        <v>38</v>
      </c>
      <c r="L890" s="9" t="str">
        <f>VLOOKUP(K890, 'Alphabetical by species code'!A:B, 2, FALSE)</f>
        <v>Thatch</v>
      </c>
    </row>
    <row r="891">
      <c r="A891" s="7">
        <v>10.0</v>
      </c>
      <c r="B891" s="7">
        <v>2025.0</v>
      </c>
      <c r="C891" s="8">
        <v>45777.0</v>
      </c>
      <c r="D891" s="7" t="s">
        <v>77</v>
      </c>
      <c r="E891" s="7" t="s">
        <v>75</v>
      </c>
      <c r="F891" s="7">
        <v>1.0</v>
      </c>
      <c r="G891" s="7" t="s">
        <v>46</v>
      </c>
      <c r="H891" s="7">
        <v>1.0</v>
      </c>
      <c r="I891" s="7">
        <v>10.0</v>
      </c>
      <c r="J891" s="7">
        <v>4.5</v>
      </c>
      <c r="K891" s="7" t="s">
        <v>76</v>
      </c>
      <c r="L891" s="9" t="str">
        <f>VLOOKUP(K891, 'Alphabetical by species code'!A:B, 2, FALSE)</f>
        <v>Avena fatua</v>
      </c>
    </row>
    <row r="892">
      <c r="A892" s="7">
        <v>10.0</v>
      </c>
      <c r="B892" s="7">
        <v>2025.0</v>
      </c>
      <c r="C892" s="8">
        <v>45777.0</v>
      </c>
      <c r="D892" s="7" t="s">
        <v>77</v>
      </c>
      <c r="E892" s="7" t="s">
        <v>75</v>
      </c>
      <c r="F892" s="7">
        <v>1.0</v>
      </c>
      <c r="G892" s="7" t="s">
        <v>46</v>
      </c>
      <c r="H892" s="7">
        <v>1.0</v>
      </c>
      <c r="I892" s="7">
        <v>10.0</v>
      </c>
      <c r="J892" s="7">
        <v>4.5</v>
      </c>
      <c r="K892" s="7" t="s">
        <v>31</v>
      </c>
      <c r="L892" s="9" t="str">
        <f>VLOOKUP(K892, 'Alphabetical by species code'!A:B, 2, FALSE)</f>
        <v>Festuca myuros</v>
      </c>
    </row>
    <row r="893">
      <c r="A893" s="7">
        <v>10.0</v>
      </c>
      <c r="B893" s="7">
        <v>2025.0</v>
      </c>
      <c r="C893" s="8">
        <v>45777.0</v>
      </c>
      <c r="D893" s="7" t="s">
        <v>77</v>
      </c>
      <c r="E893" s="7" t="s">
        <v>75</v>
      </c>
      <c r="F893" s="7">
        <v>1.0</v>
      </c>
      <c r="G893" s="7" t="s">
        <v>46</v>
      </c>
      <c r="H893" s="7">
        <v>1.0</v>
      </c>
      <c r="I893" s="7">
        <v>10.0</v>
      </c>
      <c r="J893" s="7">
        <v>4.5</v>
      </c>
      <c r="K893" s="7" t="s">
        <v>29</v>
      </c>
      <c r="L893" s="9" t="str">
        <f>VLOOKUP(K893, 'Alphabetical by species code'!A:B, 2, FALSE)</f>
        <v>Opuntia littoralis</v>
      </c>
    </row>
    <row r="894">
      <c r="A894" s="7">
        <v>10.0</v>
      </c>
      <c r="B894" s="7">
        <v>2025.0</v>
      </c>
      <c r="C894" s="8">
        <v>45777.0</v>
      </c>
      <c r="D894" s="7" t="s">
        <v>77</v>
      </c>
      <c r="E894" s="7" t="s">
        <v>75</v>
      </c>
      <c r="F894" s="7">
        <v>1.0</v>
      </c>
      <c r="G894" s="7" t="s">
        <v>46</v>
      </c>
      <c r="H894" s="7">
        <v>1.0</v>
      </c>
      <c r="I894" s="7">
        <v>11.0</v>
      </c>
      <c r="J894" s="7">
        <v>5.0</v>
      </c>
      <c r="K894" s="7" t="s">
        <v>28</v>
      </c>
      <c r="L894" s="9" t="str">
        <f>VLOOKUP(K894, 'Alphabetical by species code'!A:B, 2, FALSE)</f>
        <v>Litter</v>
      </c>
    </row>
    <row r="895">
      <c r="A895" s="7">
        <v>10.0</v>
      </c>
      <c r="B895" s="7">
        <v>2025.0</v>
      </c>
      <c r="C895" s="8">
        <v>45777.0</v>
      </c>
      <c r="D895" s="7" t="s">
        <v>77</v>
      </c>
      <c r="E895" s="7" t="s">
        <v>75</v>
      </c>
      <c r="F895" s="7">
        <v>1.0</v>
      </c>
      <c r="G895" s="7" t="s">
        <v>46</v>
      </c>
      <c r="H895" s="7">
        <v>1.0</v>
      </c>
      <c r="I895" s="7">
        <v>11.0</v>
      </c>
      <c r="J895" s="7">
        <v>5.0</v>
      </c>
      <c r="K895" s="7" t="s">
        <v>37</v>
      </c>
      <c r="L895" s="9" t="str">
        <f>VLOOKUP(K895, 'Alphabetical by species code'!A:B, 2, FALSE)</f>
        <v>Sonchus oleraceus</v>
      </c>
    </row>
    <row r="896">
      <c r="A896" s="7">
        <v>10.0</v>
      </c>
      <c r="B896" s="7">
        <v>2025.0</v>
      </c>
      <c r="C896" s="8">
        <v>45777.0</v>
      </c>
      <c r="D896" s="7" t="s">
        <v>77</v>
      </c>
      <c r="E896" s="7" t="s">
        <v>75</v>
      </c>
      <c r="F896" s="7">
        <v>1.0</v>
      </c>
      <c r="G896" s="7" t="s">
        <v>46</v>
      </c>
      <c r="H896" s="7">
        <v>1.0</v>
      </c>
      <c r="I896" s="7">
        <v>12.0</v>
      </c>
      <c r="J896" s="7">
        <v>5.5</v>
      </c>
      <c r="K896" s="7" t="s">
        <v>28</v>
      </c>
      <c r="L896" s="9" t="str">
        <f>VLOOKUP(K896, 'Alphabetical by species code'!A:B, 2, FALSE)</f>
        <v>Litter</v>
      </c>
    </row>
    <row r="897">
      <c r="A897" s="7">
        <v>10.0</v>
      </c>
      <c r="B897" s="7">
        <v>2025.0</v>
      </c>
      <c r="C897" s="8">
        <v>45777.0</v>
      </c>
      <c r="D897" s="7" t="s">
        <v>77</v>
      </c>
      <c r="E897" s="7" t="s">
        <v>75</v>
      </c>
      <c r="F897" s="7">
        <v>1.0</v>
      </c>
      <c r="G897" s="7" t="s">
        <v>46</v>
      </c>
      <c r="H897" s="7">
        <v>1.0</v>
      </c>
      <c r="I897" s="7">
        <v>12.0</v>
      </c>
      <c r="J897" s="7">
        <v>5.5</v>
      </c>
      <c r="K897" s="7" t="s">
        <v>48</v>
      </c>
      <c r="L897" s="9" t="str">
        <f>VLOOKUP(K897, 'Alphabetical by species code'!A:B, 2, FALSE)</f>
        <v>Sonchus asper</v>
      </c>
    </row>
    <row r="898">
      <c r="A898" s="7">
        <v>10.0</v>
      </c>
      <c r="B898" s="7">
        <v>2025.0</v>
      </c>
      <c r="C898" s="8">
        <v>45777.0</v>
      </c>
      <c r="D898" s="7" t="s">
        <v>77</v>
      </c>
      <c r="E898" s="7" t="s">
        <v>75</v>
      </c>
      <c r="F898" s="7">
        <v>1.0</v>
      </c>
      <c r="G898" s="7" t="s">
        <v>46</v>
      </c>
      <c r="H898" s="7">
        <v>1.0</v>
      </c>
      <c r="I898" s="7">
        <v>12.0</v>
      </c>
      <c r="J898" s="7">
        <v>5.5</v>
      </c>
      <c r="K898" s="7" t="s">
        <v>31</v>
      </c>
      <c r="L898" s="9" t="str">
        <f>VLOOKUP(K898, 'Alphabetical by species code'!A:B, 2, FALSE)</f>
        <v>Festuca myuros</v>
      </c>
    </row>
    <row r="899">
      <c r="A899" s="7">
        <v>10.0</v>
      </c>
      <c r="B899" s="7">
        <v>2025.0</v>
      </c>
      <c r="C899" s="8">
        <v>45777.0</v>
      </c>
      <c r="D899" s="7" t="s">
        <v>77</v>
      </c>
      <c r="E899" s="7" t="s">
        <v>75</v>
      </c>
      <c r="F899" s="7">
        <v>1.0</v>
      </c>
      <c r="G899" s="7" t="s">
        <v>46</v>
      </c>
      <c r="H899" s="7">
        <v>1.0</v>
      </c>
      <c r="I899" s="7">
        <v>13.0</v>
      </c>
      <c r="J899" s="7">
        <v>6.5</v>
      </c>
      <c r="K899" s="7" t="s">
        <v>41</v>
      </c>
      <c r="L899" s="9" t="str">
        <f>VLOOKUP(K899, 'Alphabetical by species code'!A:B, 2, FALSE)</f>
        <v>Stem</v>
      </c>
    </row>
    <row r="900">
      <c r="A900" s="7">
        <v>10.0</v>
      </c>
      <c r="B900" s="7">
        <v>2025.0</v>
      </c>
      <c r="C900" s="8">
        <v>45777.0</v>
      </c>
      <c r="D900" s="7" t="s">
        <v>77</v>
      </c>
      <c r="E900" s="7" t="s">
        <v>75</v>
      </c>
      <c r="F900" s="7">
        <v>1.0</v>
      </c>
      <c r="G900" s="7" t="s">
        <v>46</v>
      </c>
      <c r="H900" s="7">
        <v>1.0</v>
      </c>
      <c r="I900" s="7">
        <v>13.0</v>
      </c>
      <c r="J900" s="7">
        <v>6.5</v>
      </c>
      <c r="K900" s="7" t="s">
        <v>29</v>
      </c>
      <c r="L900" s="9" t="str">
        <f>VLOOKUP(K900, 'Alphabetical by species code'!A:B, 2, FALSE)</f>
        <v>Opuntia littoralis</v>
      </c>
    </row>
    <row r="901">
      <c r="A901" s="7">
        <v>10.0</v>
      </c>
      <c r="B901" s="7">
        <v>2025.0</v>
      </c>
      <c r="C901" s="8">
        <v>45777.0</v>
      </c>
      <c r="D901" s="7" t="s">
        <v>77</v>
      </c>
      <c r="E901" s="7" t="s">
        <v>75</v>
      </c>
      <c r="F901" s="7">
        <v>1.0</v>
      </c>
      <c r="G901" s="7" t="s">
        <v>46</v>
      </c>
      <c r="H901" s="7">
        <v>1.0</v>
      </c>
      <c r="I901" s="7">
        <v>14.0</v>
      </c>
      <c r="J901" s="7">
        <v>7.0</v>
      </c>
      <c r="K901" s="7" t="s">
        <v>52</v>
      </c>
      <c r="L901" s="9" t="str">
        <f>VLOOKUP(K901, 'Alphabetical by species code'!A:B, 2, FALSE)</f>
        <v>Rock</v>
      </c>
    </row>
    <row r="902">
      <c r="A902" s="7">
        <v>10.0</v>
      </c>
      <c r="B902" s="7">
        <v>2025.0</v>
      </c>
      <c r="C902" s="8">
        <v>45777.0</v>
      </c>
      <c r="D902" s="7" t="s">
        <v>77</v>
      </c>
      <c r="E902" s="7" t="s">
        <v>75</v>
      </c>
      <c r="F902" s="7">
        <v>1.0</v>
      </c>
      <c r="G902" s="7" t="s">
        <v>46</v>
      </c>
      <c r="H902" s="7">
        <v>1.0</v>
      </c>
      <c r="I902" s="7">
        <v>14.0</v>
      </c>
      <c r="J902" s="7">
        <v>7.0</v>
      </c>
      <c r="K902" s="7" t="s">
        <v>78</v>
      </c>
      <c r="L902" s="9" t="str">
        <f>VLOOKUP(K902, 'Alphabetical by species code'!A:B, 2, FALSE)</f>
        <v>#N/A</v>
      </c>
      <c r="M902" s="7" t="s">
        <v>90</v>
      </c>
    </row>
    <row r="903">
      <c r="A903" s="7">
        <v>10.0</v>
      </c>
      <c r="B903" s="7">
        <v>2025.0</v>
      </c>
      <c r="C903" s="8">
        <v>45777.0</v>
      </c>
      <c r="D903" s="7" t="s">
        <v>77</v>
      </c>
      <c r="E903" s="7" t="s">
        <v>75</v>
      </c>
      <c r="F903" s="7">
        <v>1.0</v>
      </c>
      <c r="G903" s="7" t="s">
        <v>46</v>
      </c>
      <c r="H903" s="7">
        <v>1.0</v>
      </c>
      <c r="I903" s="7">
        <v>15.0</v>
      </c>
      <c r="J903" s="7">
        <v>7.5</v>
      </c>
      <c r="K903" s="7" t="s">
        <v>28</v>
      </c>
      <c r="L903" s="9" t="str">
        <f>VLOOKUP(K903, 'Alphabetical by species code'!A:B, 2, FALSE)</f>
        <v>Litter</v>
      </c>
    </row>
    <row r="904">
      <c r="A904" s="7">
        <v>10.0</v>
      </c>
      <c r="B904" s="7">
        <v>2025.0</v>
      </c>
      <c r="C904" s="8">
        <v>45777.0</v>
      </c>
      <c r="D904" s="7" t="s">
        <v>77</v>
      </c>
      <c r="E904" s="7" t="s">
        <v>75</v>
      </c>
      <c r="F904" s="7">
        <v>1.0</v>
      </c>
      <c r="G904" s="7" t="s">
        <v>46</v>
      </c>
      <c r="H904" s="7">
        <v>1.0</v>
      </c>
      <c r="I904" s="7">
        <v>15.0</v>
      </c>
      <c r="J904" s="7">
        <v>7.5</v>
      </c>
      <c r="K904" s="7" t="s">
        <v>64</v>
      </c>
      <c r="L904" s="9" t="str">
        <f>VLOOKUP(K904, 'Alphabetical by species code'!A:B, 2, FALSE)</f>
        <v>Brassica nigra</v>
      </c>
    </row>
    <row r="905">
      <c r="A905" s="7">
        <v>10.0</v>
      </c>
      <c r="B905" s="7">
        <v>2025.0</v>
      </c>
      <c r="C905" s="8">
        <v>45777.0</v>
      </c>
      <c r="D905" s="7" t="s">
        <v>77</v>
      </c>
      <c r="E905" s="7" t="s">
        <v>75</v>
      </c>
      <c r="F905" s="7">
        <v>1.0</v>
      </c>
      <c r="G905" s="7" t="s">
        <v>46</v>
      </c>
      <c r="H905" s="7">
        <v>1.0</v>
      </c>
      <c r="I905" s="7">
        <v>15.0</v>
      </c>
      <c r="J905" s="7">
        <v>7.5</v>
      </c>
      <c r="K905" s="7" t="s">
        <v>42</v>
      </c>
      <c r="L905" s="9" t="str">
        <f>VLOOKUP(K905, 'Alphabetical by species code'!A:B, 2, FALSE)</f>
        <v>Centaurea melitensis</v>
      </c>
    </row>
    <row r="906">
      <c r="A906" s="7">
        <v>10.0</v>
      </c>
      <c r="B906" s="7">
        <v>2025.0</v>
      </c>
      <c r="C906" s="8">
        <v>45777.0</v>
      </c>
      <c r="D906" s="7" t="s">
        <v>77</v>
      </c>
      <c r="E906" s="7" t="s">
        <v>75</v>
      </c>
      <c r="F906" s="7">
        <v>1.0</v>
      </c>
      <c r="G906" s="7" t="s">
        <v>46</v>
      </c>
      <c r="H906" s="7">
        <v>2.0</v>
      </c>
      <c r="I906" s="7">
        <v>1.0</v>
      </c>
      <c r="J906" s="7">
        <v>0.0</v>
      </c>
      <c r="K906" s="7" t="s">
        <v>52</v>
      </c>
      <c r="L906" s="9" t="str">
        <f>VLOOKUP(K906, 'Alphabetical by species code'!A:B, 2, FALSE)</f>
        <v>Rock</v>
      </c>
    </row>
    <row r="907">
      <c r="A907" s="7">
        <v>10.0</v>
      </c>
      <c r="B907" s="7">
        <v>2025.0</v>
      </c>
      <c r="C907" s="8">
        <v>45777.0</v>
      </c>
      <c r="D907" s="7" t="s">
        <v>77</v>
      </c>
      <c r="E907" s="7" t="s">
        <v>75</v>
      </c>
      <c r="F907" s="7">
        <v>1.0</v>
      </c>
      <c r="G907" s="7" t="s">
        <v>46</v>
      </c>
      <c r="H907" s="7">
        <v>2.0</v>
      </c>
      <c r="I907" s="7">
        <v>2.0</v>
      </c>
      <c r="J907" s="7">
        <v>0.5</v>
      </c>
      <c r="K907" s="7" t="s">
        <v>28</v>
      </c>
      <c r="L907" s="9" t="str">
        <f>VLOOKUP(K907, 'Alphabetical by species code'!A:B, 2, FALSE)</f>
        <v>Litter</v>
      </c>
    </row>
    <row r="908">
      <c r="A908" s="7">
        <v>10.0</v>
      </c>
      <c r="B908" s="7">
        <v>2025.0</v>
      </c>
      <c r="C908" s="8">
        <v>45777.0</v>
      </c>
      <c r="D908" s="7" t="s">
        <v>77</v>
      </c>
      <c r="E908" s="7" t="s">
        <v>75</v>
      </c>
      <c r="F908" s="7">
        <v>1.0</v>
      </c>
      <c r="G908" s="7" t="s">
        <v>46</v>
      </c>
      <c r="H908" s="7">
        <v>2.0</v>
      </c>
      <c r="I908" s="7">
        <v>2.0</v>
      </c>
      <c r="J908" s="7">
        <v>0.5</v>
      </c>
      <c r="K908" s="7" t="s">
        <v>36</v>
      </c>
      <c r="L908" s="9" t="str">
        <f>VLOOKUP(K908, 'Alphabetical by species code'!A:B, 2, FALSE)</f>
        <v>Bromus madritensis</v>
      </c>
    </row>
    <row r="909">
      <c r="A909" s="7">
        <v>10.0</v>
      </c>
      <c r="B909" s="7">
        <v>2025.0</v>
      </c>
      <c r="C909" s="8">
        <v>45777.0</v>
      </c>
      <c r="D909" s="7" t="s">
        <v>77</v>
      </c>
      <c r="E909" s="7" t="s">
        <v>75</v>
      </c>
      <c r="F909" s="7">
        <v>1.0</v>
      </c>
      <c r="G909" s="7" t="s">
        <v>46</v>
      </c>
      <c r="H909" s="7">
        <v>2.0</v>
      </c>
      <c r="I909" s="7">
        <v>3.0</v>
      </c>
      <c r="J909" s="7">
        <v>1.0</v>
      </c>
      <c r="K909" s="7" t="s">
        <v>51</v>
      </c>
      <c r="L909" s="9" t="str">
        <f>VLOOKUP(K909, 'Alphabetical by species code'!A:B, 2, FALSE)</f>
        <v>Bareground</v>
      </c>
    </row>
    <row r="910">
      <c r="A910" s="7">
        <v>10.0</v>
      </c>
      <c r="B910" s="7">
        <v>2025.0</v>
      </c>
      <c r="C910" s="8">
        <v>45777.0</v>
      </c>
      <c r="D910" s="7" t="s">
        <v>77</v>
      </c>
      <c r="E910" s="7" t="s">
        <v>75</v>
      </c>
      <c r="F910" s="7">
        <v>1.0</v>
      </c>
      <c r="G910" s="7" t="s">
        <v>46</v>
      </c>
      <c r="H910" s="7">
        <v>2.0</v>
      </c>
      <c r="I910" s="7">
        <v>3.0</v>
      </c>
      <c r="J910" s="7">
        <v>1.0</v>
      </c>
      <c r="K910" s="7" t="s">
        <v>91</v>
      </c>
      <c r="L910" s="9" t="str">
        <f>VLOOKUP(K910, 'Alphabetical by species code'!A:B, 2, FALSE)</f>
        <v>#N/A</v>
      </c>
    </row>
    <row r="911">
      <c r="A911" s="7">
        <v>10.0</v>
      </c>
      <c r="B911" s="7">
        <v>2025.0</v>
      </c>
      <c r="C911" s="8">
        <v>45777.0</v>
      </c>
      <c r="D911" s="7" t="s">
        <v>77</v>
      </c>
      <c r="E911" s="7" t="s">
        <v>75</v>
      </c>
      <c r="F911" s="7">
        <v>1.0</v>
      </c>
      <c r="G911" s="7" t="s">
        <v>46</v>
      </c>
      <c r="H911" s="7">
        <v>2.0</v>
      </c>
      <c r="I911" s="7">
        <v>3.0</v>
      </c>
      <c r="J911" s="7">
        <v>1.0</v>
      </c>
      <c r="K911" s="7" t="s">
        <v>80</v>
      </c>
      <c r="L911" s="9" t="str">
        <f>VLOOKUP(K911, 'Alphabetical by species code'!A:B, 2, FALSE)</f>
        <v>Erodium species</v>
      </c>
    </row>
    <row r="912">
      <c r="A912" s="7">
        <v>10.0</v>
      </c>
      <c r="B912" s="7">
        <v>2025.0</v>
      </c>
      <c r="C912" s="8">
        <v>45777.0</v>
      </c>
      <c r="D912" s="7" t="s">
        <v>77</v>
      </c>
      <c r="E912" s="7" t="s">
        <v>75</v>
      </c>
      <c r="F912" s="7">
        <v>1.0</v>
      </c>
      <c r="G912" s="7" t="s">
        <v>46</v>
      </c>
      <c r="H912" s="7">
        <v>2.0</v>
      </c>
      <c r="I912" s="7">
        <v>4.0</v>
      </c>
      <c r="J912" s="7">
        <v>1.5</v>
      </c>
      <c r="K912" s="7" t="s">
        <v>28</v>
      </c>
      <c r="L912" s="9" t="str">
        <f>VLOOKUP(K912, 'Alphabetical by species code'!A:B, 2, FALSE)</f>
        <v>Litter</v>
      </c>
    </row>
    <row r="913">
      <c r="A913" s="7">
        <v>10.0</v>
      </c>
      <c r="B913" s="7">
        <v>2025.0</v>
      </c>
      <c r="C913" s="8">
        <v>45777.0</v>
      </c>
      <c r="D913" s="7" t="s">
        <v>77</v>
      </c>
      <c r="E913" s="7" t="s">
        <v>75</v>
      </c>
      <c r="F913" s="7">
        <v>1.0</v>
      </c>
      <c r="G913" s="7" t="s">
        <v>46</v>
      </c>
      <c r="H913" s="7">
        <v>2.0</v>
      </c>
      <c r="I913" s="7">
        <v>4.0</v>
      </c>
      <c r="J913" s="7">
        <v>1.5</v>
      </c>
      <c r="K913" s="7" t="s">
        <v>35</v>
      </c>
      <c r="L913" s="9" t="str">
        <f>VLOOKUP(K913, 'Alphabetical by species code'!A:B, 2, FALSE)</f>
        <v>Deinandra fasciculata</v>
      </c>
    </row>
    <row r="914">
      <c r="A914" s="7">
        <v>10.0</v>
      </c>
      <c r="B914" s="7">
        <v>2025.0</v>
      </c>
      <c r="C914" s="8">
        <v>45777.0</v>
      </c>
      <c r="D914" s="7" t="s">
        <v>77</v>
      </c>
      <c r="E914" s="7" t="s">
        <v>75</v>
      </c>
      <c r="F914" s="7">
        <v>1.0</v>
      </c>
      <c r="G914" s="7" t="s">
        <v>46</v>
      </c>
      <c r="H914" s="7">
        <v>2.0</v>
      </c>
      <c r="I914" s="7">
        <v>5.0</v>
      </c>
      <c r="J914" s="7">
        <v>2.5</v>
      </c>
      <c r="K914" s="7" t="s">
        <v>28</v>
      </c>
      <c r="L914" s="9" t="str">
        <f>VLOOKUP(K914, 'Alphabetical by species code'!A:B, 2, FALSE)</f>
        <v>Litter</v>
      </c>
    </row>
    <row r="915">
      <c r="A915" s="7">
        <v>10.0</v>
      </c>
      <c r="B915" s="7">
        <v>2025.0</v>
      </c>
      <c r="C915" s="8">
        <v>45777.0</v>
      </c>
      <c r="D915" s="7" t="s">
        <v>77</v>
      </c>
      <c r="E915" s="7" t="s">
        <v>75</v>
      </c>
      <c r="F915" s="7">
        <v>1.0</v>
      </c>
      <c r="G915" s="7" t="s">
        <v>46</v>
      </c>
      <c r="H915" s="7">
        <v>2.0</v>
      </c>
      <c r="I915" s="7">
        <v>6.0</v>
      </c>
      <c r="J915" s="7">
        <v>3.0</v>
      </c>
      <c r="K915" s="7" t="s">
        <v>28</v>
      </c>
      <c r="L915" s="9" t="str">
        <f>VLOOKUP(K915, 'Alphabetical by species code'!A:B, 2, FALSE)</f>
        <v>Litter</v>
      </c>
    </row>
    <row r="916">
      <c r="A916" s="7">
        <v>10.0</v>
      </c>
      <c r="B916" s="7">
        <v>2025.0</v>
      </c>
      <c r="C916" s="8">
        <v>45777.0</v>
      </c>
      <c r="D916" s="7" t="s">
        <v>77</v>
      </c>
      <c r="E916" s="7" t="s">
        <v>75</v>
      </c>
      <c r="F916" s="7">
        <v>1.0</v>
      </c>
      <c r="G916" s="7" t="s">
        <v>46</v>
      </c>
      <c r="H916" s="7">
        <v>2.0</v>
      </c>
      <c r="I916" s="7">
        <v>6.0</v>
      </c>
      <c r="J916" s="7">
        <v>3.0</v>
      </c>
      <c r="K916" s="7" t="s">
        <v>35</v>
      </c>
      <c r="L916" s="9" t="str">
        <f>VLOOKUP(K916, 'Alphabetical by species code'!A:B, 2, FALSE)</f>
        <v>Deinandra fasciculata</v>
      </c>
    </row>
    <row r="917">
      <c r="A917" s="7">
        <v>10.0</v>
      </c>
      <c r="B917" s="7">
        <v>2025.0</v>
      </c>
      <c r="C917" s="8">
        <v>45777.0</v>
      </c>
      <c r="D917" s="7" t="s">
        <v>77</v>
      </c>
      <c r="E917" s="7" t="s">
        <v>75</v>
      </c>
      <c r="F917" s="7">
        <v>1.0</v>
      </c>
      <c r="G917" s="7" t="s">
        <v>46</v>
      </c>
      <c r="H917" s="7">
        <v>2.0</v>
      </c>
      <c r="I917" s="7">
        <v>7.0</v>
      </c>
      <c r="J917" s="7">
        <v>3.5</v>
      </c>
      <c r="K917" s="7" t="s">
        <v>28</v>
      </c>
      <c r="L917" s="9" t="str">
        <f>VLOOKUP(K917, 'Alphabetical by species code'!A:B, 2, FALSE)</f>
        <v>Litter</v>
      </c>
    </row>
    <row r="918">
      <c r="A918" s="7">
        <v>10.0</v>
      </c>
      <c r="B918" s="7">
        <v>2025.0</v>
      </c>
      <c r="C918" s="8">
        <v>45777.0</v>
      </c>
      <c r="D918" s="7" t="s">
        <v>77</v>
      </c>
      <c r="E918" s="7" t="s">
        <v>75</v>
      </c>
      <c r="F918" s="7">
        <v>1.0</v>
      </c>
      <c r="G918" s="7" t="s">
        <v>46</v>
      </c>
      <c r="H918" s="7">
        <v>2.0</v>
      </c>
      <c r="I918" s="7">
        <v>8.0</v>
      </c>
      <c r="J918" s="7">
        <v>4.0</v>
      </c>
      <c r="K918" s="7" t="s">
        <v>28</v>
      </c>
      <c r="L918" s="9" t="str">
        <f>VLOOKUP(K918, 'Alphabetical by species code'!A:B, 2, FALSE)</f>
        <v>Litter</v>
      </c>
    </row>
    <row r="919">
      <c r="A919" s="7">
        <v>10.0</v>
      </c>
      <c r="B919" s="7">
        <v>2025.0</v>
      </c>
      <c r="C919" s="8">
        <v>45777.0</v>
      </c>
      <c r="D919" s="7" t="s">
        <v>77</v>
      </c>
      <c r="E919" s="7" t="s">
        <v>75</v>
      </c>
      <c r="F919" s="7">
        <v>1.0</v>
      </c>
      <c r="G919" s="7" t="s">
        <v>46</v>
      </c>
      <c r="H919" s="7">
        <v>2.0</v>
      </c>
      <c r="I919" s="7">
        <v>9.0</v>
      </c>
      <c r="J919" s="7">
        <v>4.5</v>
      </c>
      <c r="K919" s="7" t="s">
        <v>51</v>
      </c>
      <c r="L919" s="9" t="str">
        <f>VLOOKUP(K919, 'Alphabetical by species code'!A:B, 2, FALSE)</f>
        <v>Bareground</v>
      </c>
    </row>
    <row r="920">
      <c r="A920" s="7">
        <v>10.0</v>
      </c>
      <c r="B920" s="7">
        <v>2025.0</v>
      </c>
      <c r="C920" s="8">
        <v>45777.0</v>
      </c>
      <c r="D920" s="7" t="s">
        <v>77</v>
      </c>
      <c r="E920" s="7" t="s">
        <v>75</v>
      </c>
      <c r="F920" s="7">
        <v>1.0</v>
      </c>
      <c r="G920" s="7" t="s">
        <v>46</v>
      </c>
      <c r="H920" s="7">
        <v>2.0</v>
      </c>
      <c r="I920" s="7">
        <v>10.0</v>
      </c>
      <c r="J920" s="7">
        <v>5.0</v>
      </c>
      <c r="K920" s="7" t="s">
        <v>51</v>
      </c>
      <c r="L920" s="9" t="str">
        <f>VLOOKUP(K920, 'Alphabetical by species code'!A:B, 2, FALSE)</f>
        <v>Bareground</v>
      </c>
    </row>
    <row r="921">
      <c r="A921" s="7">
        <v>10.0</v>
      </c>
      <c r="B921" s="7">
        <v>2025.0</v>
      </c>
      <c r="C921" s="8">
        <v>45777.0</v>
      </c>
      <c r="D921" s="7" t="s">
        <v>77</v>
      </c>
      <c r="E921" s="7" t="s">
        <v>75</v>
      </c>
      <c r="F921" s="7">
        <v>1.0</v>
      </c>
      <c r="G921" s="7" t="s">
        <v>46</v>
      </c>
      <c r="H921" s="7">
        <v>2.0</v>
      </c>
      <c r="I921" s="7">
        <v>10.0</v>
      </c>
      <c r="J921" s="7">
        <v>5.0</v>
      </c>
      <c r="K921" s="7" t="s">
        <v>81</v>
      </c>
      <c r="L921" s="9" t="str">
        <f>VLOOKUP(K921, 'Alphabetical by species code'!A:B, 2, FALSE)</f>
        <v>Brachypodium distachyon</v>
      </c>
    </row>
    <row r="922">
      <c r="A922" s="7">
        <v>10.0</v>
      </c>
      <c r="B922" s="7">
        <v>2025.0</v>
      </c>
      <c r="C922" s="8">
        <v>45777.0</v>
      </c>
      <c r="D922" s="7" t="s">
        <v>77</v>
      </c>
      <c r="E922" s="7" t="s">
        <v>75</v>
      </c>
      <c r="F922" s="7">
        <v>1.0</v>
      </c>
      <c r="G922" s="7" t="s">
        <v>46</v>
      </c>
      <c r="H922" s="7">
        <v>2.0</v>
      </c>
      <c r="I922" s="7">
        <v>10.0</v>
      </c>
      <c r="J922" s="7">
        <v>5.0</v>
      </c>
      <c r="K922" s="7" t="s">
        <v>65</v>
      </c>
      <c r="L922" s="9" t="str">
        <f>VLOOKUP(K922, 'Alphabetical by species code'!A:B, 2, FALSE)</f>
        <v>Cryptantha intermedia</v>
      </c>
    </row>
    <row r="923">
      <c r="A923" s="7">
        <v>10.0</v>
      </c>
      <c r="B923" s="7">
        <v>2025.0</v>
      </c>
      <c r="C923" s="8">
        <v>45777.0</v>
      </c>
      <c r="D923" s="7" t="s">
        <v>77</v>
      </c>
      <c r="E923" s="7" t="s">
        <v>75</v>
      </c>
      <c r="F923" s="7">
        <v>1.0</v>
      </c>
      <c r="G923" s="7" t="s">
        <v>46</v>
      </c>
      <c r="H923" s="7">
        <v>2.0</v>
      </c>
      <c r="I923" s="7">
        <v>10.0</v>
      </c>
      <c r="J923" s="7">
        <v>5.0</v>
      </c>
      <c r="K923" s="7" t="s">
        <v>82</v>
      </c>
      <c r="L923" s="9" t="str">
        <f>VLOOKUP(K923, 'Alphabetical by species code'!A:B, 2, FALSE)</f>
        <v>Helminthotheca echioides</v>
      </c>
    </row>
    <row r="924">
      <c r="A924" s="7">
        <v>10.0</v>
      </c>
      <c r="B924" s="7">
        <v>2025.0</v>
      </c>
      <c r="C924" s="8">
        <v>45777.0</v>
      </c>
      <c r="D924" s="7" t="s">
        <v>77</v>
      </c>
      <c r="E924" s="7" t="s">
        <v>75</v>
      </c>
      <c r="F924" s="7">
        <v>1.0</v>
      </c>
      <c r="G924" s="7" t="s">
        <v>46</v>
      </c>
      <c r="H924" s="7">
        <v>2.0</v>
      </c>
      <c r="I924" s="7">
        <v>11.0</v>
      </c>
      <c r="J924" s="7">
        <v>5.5</v>
      </c>
      <c r="K924" s="7" t="s">
        <v>28</v>
      </c>
      <c r="L924" s="9" t="str">
        <f>VLOOKUP(K924, 'Alphabetical by species code'!A:B, 2, FALSE)</f>
        <v>Litter</v>
      </c>
    </row>
    <row r="925">
      <c r="A925" s="7">
        <v>10.0</v>
      </c>
      <c r="B925" s="7">
        <v>2025.0</v>
      </c>
      <c r="C925" s="8">
        <v>45777.0</v>
      </c>
      <c r="D925" s="7" t="s">
        <v>77</v>
      </c>
      <c r="E925" s="7" t="s">
        <v>75</v>
      </c>
      <c r="F925" s="7">
        <v>1.0</v>
      </c>
      <c r="G925" s="7" t="s">
        <v>46</v>
      </c>
      <c r="H925" s="7">
        <v>2.0</v>
      </c>
      <c r="I925" s="7">
        <v>11.0</v>
      </c>
      <c r="J925" s="7">
        <v>5.5</v>
      </c>
      <c r="K925" s="7" t="s">
        <v>36</v>
      </c>
      <c r="L925" s="9" t="str">
        <f>VLOOKUP(K925, 'Alphabetical by species code'!A:B, 2, FALSE)</f>
        <v>Bromus madritensis</v>
      </c>
    </row>
    <row r="926">
      <c r="A926" s="7">
        <v>10.0</v>
      </c>
      <c r="B926" s="7">
        <v>2025.0</v>
      </c>
      <c r="C926" s="8">
        <v>45777.0</v>
      </c>
      <c r="D926" s="7" t="s">
        <v>77</v>
      </c>
      <c r="E926" s="7" t="s">
        <v>75</v>
      </c>
      <c r="F926" s="7">
        <v>1.0</v>
      </c>
      <c r="G926" s="7" t="s">
        <v>46</v>
      </c>
      <c r="H926" s="7">
        <v>2.0</v>
      </c>
      <c r="I926" s="7">
        <v>11.0</v>
      </c>
      <c r="J926" s="7">
        <v>5.5</v>
      </c>
      <c r="K926" s="7" t="s">
        <v>31</v>
      </c>
      <c r="L926" s="9" t="str">
        <f>VLOOKUP(K926, 'Alphabetical by species code'!A:B, 2, FALSE)</f>
        <v>Festuca myuros</v>
      </c>
    </row>
    <row r="927">
      <c r="A927" s="7">
        <v>10.0</v>
      </c>
      <c r="B927" s="7">
        <v>2025.0</v>
      </c>
      <c r="C927" s="8">
        <v>45777.0</v>
      </c>
      <c r="D927" s="7" t="s">
        <v>77</v>
      </c>
      <c r="E927" s="7" t="s">
        <v>75</v>
      </c>
      <c r="F927" s="7">
        <v>1.0</v>
      </c>
      <c r="G927" s="7" t="s">
        <v>46</v>
      </c>
      <c r="H927" s="7">
        <v>2.0</v>
      </c>
      <c r="I927" s="7">
        <v>11.0</v>
      </c>
      <c r="J927" s="7">
        <v>5.5</v>
      </c>
      <c r="K927" s="7" t="s">
        <v>42</v>
      </c>
      <c r="L927" s="9" t="str">
        <f>VLOOKUP(K927, 'Alphabetical by species code'!A:B, 2, FALSE)</f>
        <v>Centaurea melitensis</v>
      </c>
    </row>
    <row r="928">
      <c r="A928" s="7">
        <v>10.0</v>
      </c>
      <c r="B928" s="7">
        <v>2025.0</v>
      </c>
      <c r="C928" s="8">
        <v>45777.0</v>
      </c>
      <c r="D928" s="7" t="s">
        <v>77</v>
      </c>
      <c r="E928" s="7" t="s">
        <v>75</v>
      </c>
      <c r="F928" s="7">
        <v>1.0</v>
      </c>
      <c r="G928" s="7" t="s">
        <v>46</v>
      </c>
      <c r="H928" s="7">
        <v>2.0</v>
      </c>
      <c r="I928" s="7">
        <v>12.0</v>
      </c>
      <c r="J928" s="7">
        <v>6.0</v>
      </c>
      <c r="K928" s="7" t="s">
        <v>28</v>
      </c>
      <c r="L928" s="9" t="str">
        <f>VLOOKUP(K928, 'Alphabetical by species code'!A:B, 2, FALSE)</f>
        <v>Litter</v>
      </c>
    </row>
    <row r="929">
      <c r="A929" s="7">
        <v>10.0</v>
      </c>
      <c r="B929" s="7">
        <v>2025.0</v>
      </c>
      <c r="C929" s="8">
        <v>45777.0</v>
      </c>
      <c r="D929" s="7" t="s">
        <v>77</v>
      </c>
      <c r="E929" s="7" t="s">
        <v>75</v>
      </c>
      <c r="F929" s="7">
        <v>1.0</v>
      </c>
      <c r="G929" s="7" t="s">
        <v>46</v>
      </c>
      <c r="H929" s="7">
        <v>2.0</v>
      </c>
      <c r="I929" s="7">
        <v>13.0</v>
      </c>
      <c r="J929" s="7">
        <v>6.5</v>
      </c>
      <c r="K929" s="7" t="s">
        <v>28</v>
      </c>
      <c r="L929" s="9" t="str">
        <f>VLOOKUP(K929, 'Alphabetical by species code'!A:B, 2, FALSE)</f>
        <v>Litter</v>
      </c>
    </row>
    <row r="930">
      <c r="A930" s="7">
        <v>10.0</v>
      </c>
      <c r="B930" s="7">
        <v>2025.0</v>
      </c>
      <c r="C930" s="8">
        <v>45777.0</v>
      </c>
      <c r="D930" s="7" t="s">
        <v>77</v>
      </c>
      <c r="E930" s="7" t="s">
        <v>75</v>
      </c>
      <c r="F930" s="7">
        <v>1.0</v>
      </c>
      <c r="G930" s="7" t="s">
        <v>46</v>
      </c>
      <c r="H930" s="7">
        <v>2.0</v>
      </c>
      <c r="I930" s="7">
        <v>13.0</v>
      </c>
      <c r="J930" s="7">
        <v>6.5</v>
      </c>
      <c r="K930" s="7" t="s">
        <v>81</v>
      </c>
      <c r="L930" s="9" t="str">
        <f>VLOOKUP(K930, 'Alphabetical by species code'!A:B, 2, FALSE)</f>
        <v>Brachypodium distachyon</v>
      </c>
    </row>
    <row r="931">
      <c r="A931" s="7">
        <v>10.0</v>
      </c>
      <c r="B931" s="7">
        <v>2025.0</v>
      </c>
      <c r="C931" s="8">
        <v>45777.0</v>
      </c>
      <c r="D931" s="7" t="s">
        <v>77</v>
      </c>
      <c r="E931" s="7" t="s">
        <v>75</v>
      </c>
      <c r="F931" s="7">
        <v>1.0</v>
      </c>
      <c r="G931" s="7" t="s">
        <v>46</v>
      </c>
      <c r="H931" s="7">
        <v>2.0</v>
      </c>
      <c r="I931" s="7">
        <v>14.0</v>
      </c>
      <c r="J931" s="7">
        <v>7.0</v>
      </c>
      <c r="K931" s="7" t="s">
        <v>28</v>
      </c>
      <c r="L931" s="9" t="str">
        <f>VLOOKUP(K931, 'Alphabetical by species code'!A:B, 2, FALSE)</f>
        <v>Litter</v>
      </c>
    </row>
    <row r="932">
      <c r="A932" s="7">
        <v>10.0</v>
      </c>
      <c r="B932" s="7">
        <v>2025.0</v>
      </c>
      <c r="C932" s="8">
        <v>45777.0</v>
      </c>
      <c r="D932" s="7" t="s">
        <v>77</v>
      </c>
      <c r="E932" s="7" t="s">
        <v>75</v>
      </c>
      <c r="F932" s="7">
        <v>1.0</v>
      </c>
      <c r="G932" s="7" t="s">
        <v>46</v>
      </c>
      <c r="H932" s="7">
        <v>2.0</v>
      </c>
      <c r="I932" s="7">
        <v>14.0</v>
      </c>
      <c r="J932" s="7">
        <v>7.0</v>
      </c>
      <c r="K932" s="7" t="s">
        <v>76</v>
      </c>
      <c r="L932" s="9" t="str">
        <f>VLOOKUP(K932, 'Alphabetical by species code'!A:B, 2, FALSE)</f>
        <v>Avena fatua</v>
      </c>
    </row>
    <row r="933">
      <c r="A933" s="7">
        <v>10.0</v>
      </c>
      <c r="B933" s="7">
        <v>2025.0</v>
      </c>
      <c r="C933" s="8">
        <v>45777.0</v>
      </c>
      <c r="D933" s="7" t="s">
        <v>77</v>
      </c>
      <c r="E933" s="7" t="s">
        <v>75</v>
      </c>
      <c r="F933" s="7">
        <v>1.0</v>
      </c>
      <c r="G933" s="7" t="s">
        <v>46</v>
      </c>
      <c r="H933" s="7">
        <v>2.0</v>
      </c>
      <c r="I933" s="7">
        <v>14.0</v>
      </c>
      <c r="J933" s="7">
        <v>7.0</v>
      </c>
      <c r="K933" s="7" t="s">
        <v>81</v>
      </c>
      <c r="L933" s="9" t="str">
        <f>VLOOKUP(K933, 'Alphabetical by species code'!A:B, 2, FALSE)</f>
        <v>Brachypodium distachyon</v>
      </c>
    </row>
    <row r="934">
      <c r="A934" s="7">
        <v>10.0</v>
      </c>
      <c r="B934" s="7">
        <v>2025.0</v>
      </c>
      <c r="C934" s="8">
        <v>45777.0</v>
      </c>
      <c r="D934" s="7" t="s">
        <v>77</v>
      </c>
      <c r="E934" s="7" t="s">
        <v>75</v>
      </c>
      <c r="F934" s="7">
        <v>1.0</v>
      </c>
      <c r="G934" s="7" t="s">
        <v>46</v>
      </c>
      <c r="H934" s="7">
        <v>2.0</v>
      </c>
      <c r="I934" s="7">
        <v>15.0</v>
      </c>
      <c r="J934" s="7">
        <v>7.5</v>
      </c>
      <c r="K934" s="7" t="s">
        <v>28</v>
      </c>
      <c r="L934" s="9" t="str">
        <f>VLOOKUP(K934, 'Alphabetical by species code'!A:B, 2, FALSE)</f>
        <v>Litter</v>
      </c>
    </row>
    <row r="935">
      <c r="A935" s="7">
        <v>10.0</v>
      </c>
      <c r="B935" s="7">
        <v>2025.0</v>
      </c>
      <c r="C935" s="8">
        <v>45777.0</v>
      </c>
      <c r="D935" s="7" t="s">
        <v>77</v>
      </c>
      <c r="E935" s="7" t="s">
        <v>75</v>
      </c>
      <c r="F935" s="7">
        <v>1.0</v>
      </c>
      <c r="G935" s="7" t="s">
        <v>46</v>
      </c>
      <c r="H935" s="7">
        <v>2.0</v>
      </c>
      <c r="I935" s="7">
        <v>15.0</v>
      </c>
      <c r="J935" s="7">
        <v>7.5</v>
      </c>
      <c r="K935" s="7" t="s">
        <v>76</v>
      </c>
      <c r="L935" s="9" t="str">
        <f>VLOOKUP(K935, 'Alphabetical by species code'!A:B, 2, FALSE)</f>
        <v>Avena fatua</v>
      </c>
    </row>
    <row r="936">
      <c r="A936" s="7">
        <v>10.0</v>
      </c>
      <c r="B936" s="7">
        <v>2025.0</v>
      </c>
      <c r="C936" s="8">
        <v>45777.0</v>
      </c>
      <c r="D936" s="7" t="s">
        <v>77</v>
      </c>
      <c r="E936" s="7" t="s">
        <v>75</v>
      </c>
      <c r="F936" s="7">
        <v>1.0</v>
      </c>
      <c r="G936" s="7" t="s">
        <v>46</v>
      </c>
      <c r="H936" s="7">
        <v>2.0</v>
      </c>
      <c r="I936" s="7">
        <v>15.0</v>
      </c>
      <c r="J936" s="7">
        <v>7.5</v>
      </c>
      <c r="K936" s="7" t="s">
        <v>81</v>
      </c>
      <c r="L936" s="9" t="str">
        <f>VLOOKUP(K936, 'Alphabetical by species code'!A:B, 2, FALSE)</f>
        <v>Brachypodium distachyon</v>
      </c>
    </row>
    <row r="937">
      <c r="A937" s="7">
        <v>11.0</v>
      </c>
      <c r="B937" s="7">
        <v>2025.0</v>
      </c>
      <c r="C937" s="8">
        <v>45790.0</v>
      </c>
      <c r="D937" s="7" t="s">
        <v>83</v>
      </c>
      <c r="E937" s="7" t="s">
        <v>75</v>
      </c>
      <c r="F937" s="7">
        <v>1.0</v>
      </c>
      <c r="G937" s="7" t="s">
        <v>63</v>
      </c>
      <c r="H937" s="7">
        <v>1.0</v>
      </c>
      <c r="I937" s="7">
        <v>1.0</v>
      </c>
      <c r="J937" s="7">
        <v>0.0</v>
      </c>
      <c r="K937" s="7" t="s">
        <v>28</v>
      </c>
      <c r="L937" s="9" t="str">
        <f>VLOOKUP(K937, 'Alphabetical by species code'!A:B, 2, FALSE)</f>
        <v>Litter</v>
      </c>
    </row>
    <row r="938">
      <c r="A938" s="7">
        <v>11.0</v>
      </c>
      <c r="B938" s="7">
        <v>2025.0</v>
      </c>
      <c r="C938" s="8">
        <v>45790.0</v>
      </c>
      <c r="D938" s="7" t="s">
        <v>83</v>
      </c>
      <c r="E938" s="7" t="s">
        <v>75</v>
      </c>
      <c r="F938" s="7">
        <v>1.0</v>
      </c>
      <c r="G938" s="7" t="s">
        <v>63</v>
      </c>
      <c r="H938" s="7">
        <v>1.0</v>
      </c>
      <c r="I938" s="7">
        <v>1.0</v>
      </c>
      <c r="J938" s="7">
        <v>0.0</v>
      </c>
      <c r="K938" s="7" t="s">
        <v>35</v>
      </c>
      <c r="L938" s="9" t="str">
        <f>VLOOKUP(K938, 'Alphabetical by species code'!A:B, 2, FALSE)</f>
        <v>Deinandra fasciculata</v>
      </c>
    </row>
    <row r="939">
      <c r="A939" s="7">
        <v>11.0</v>
      </c>
      <c r="B939" s="7">
        <v>2025.0</v>
      </c>
      <c r="C939" s="8">
        <v>45790.0</v>
      </c>
      <c r="D939" s="7" t="s">
        <v>83</v>
      </c>
      <c r="E939" s="7" t="s">
        <v>75</v>
      </c>
      <c r="F939" s="7">
        <v>1.0</v>
      </c>
      <c r="G939" s="7" t="s">
        <v>63</v>
      </c>
      <c r="H939" s="7">
        <v>1.0</v>
      </c>
      <c r="I939" s="7">
        <v>2.0</v>
      </c>
      <c r="J939" s="7">
        <v>1.0</v>
      </c>
      <c r="K939" s="7" t="s">
        <v>28</v>
      </c>
      <c r="L939" s="9" t="str">
        <f>VLOOKUP(K939, 'Alphabetical by species code'!A:B, 2, FALSE)</f>
        <v>Litter</v>
      </c>
    </row>
    <row r="940">
      <c r="A940" s="7">
        <v>11.0</v>
      </c>
      <c r="B940" s="7">
        <v>2025.0</v>
      </c>
      <c r="C940" s="8">
        <v>45790.0</v>
      </c>
      <c r="D940" s="7" t="s">
        <v>83</v>
      </c>
      <c r="E940" s="7" t="s">
        <v>75</v>
      </c>
      <c r="F940" s="7">
        <v>1.0</v>
      </c>
      <c r="G940" s="7" t="s">
        <v>63</v>
      </c>
      <c r="H940" s="7">
        <v>1.0</v>
      </c>
      <c r="I940" s="7">
        <v>2.0</v>
      </c>
      <c r="J940" s="7">
        <v>1.0</v>
      </c>
      <c r="K940" s="7" t="s">
        <v>47</v>
      </c>
      <c r="L940" s="9" t="str">
        <f>VLOOKUP(K940, 'Alphabetical by species code'!A:B, 2, FALSE)</f>
        <v>Sonchus species</v>
      </c>
    </row>
    <row r="941">
      <c r="A941" s="7">
        <v>11.0</v>
      </c>
      <c r="B941" s="7">
        <v>2025.0</v>
      </c>
      <c r="C941" s="8">
        <v>45790.0</v>
      </c>
      <c r="D941" s="7" t="s">
        <v>83</v>
      </c>
      <c r="E941" s="7" t="s">
        <v>75</v>
      </c>
      <c r="F941" s="7">
        <v>1.0</v>
      </c>
      <c r="G941" s="7" t="s">
        <v>63</v>
      </c>
      <c r="H941" s="7">
        <v>1.0</v>
      </c>
      <c r="I941" s="7">
        <v>3.0</v>
      </c>
      <c r="J941" s="7">
        <v>1.5</v>
      </c>
      <c r="K941" s="7" t="s">
        <v>28</v>
      </c>
      <c r="L941" s="9" t="str">
        <f>VLOOKUP(K941, 'Alphabetical by species code'!A:B, 2, FALSE)</f>
        <v>Litter</v>
      </c>
    </row>
    <row r="942">
      <c r="A942" s="7">
        <v>11.0</v>
      </c>
      <c r="B942" s="7">
        <v>2025.0</v>
      </c>
      <c r="C942" s="8">
        <v>45790.0</v>
      </c>
      <c r="D942" s="7" t="s">
        <v>83</v>
      </c>
      <c r="E942" s="7" t="s">
        <v>75</v>
      </c>
      <c r="F942" s="7">
        <v>1.0</v>
      </c>
      <c r="G942" s="7" t="s">
        <v>63</v>
      </c>
      <c r="H942" s="7">
        <v>1.0</v>
      </c>
      <c r="I942" s="7">
        <v>3.0</v>
      </c>
      <c r="J942" s="7">
        <v>1.5</v>
      </c>
      <c r="K942" s="7" t="s">
        <v>64</v>
      </c>
      <c r="L942" s="9" t="str">
        <f>VLOOKUP(K942, 'Alphabetical by species code'!A:B, 2, FALSE)</f>
        <v>Brassica nigra</v>
      </c>
    </row>
    <row r="943">
      <c r="A943" s="7">
        <v>11.0</v>
      </c>
      <c r="B943" s="7">
        <v>2025.0</v>
      </c>
      <c r="C943" s="8">
        <v>45790.0</v>
      </c>
      <c r="D943" s="7" t="s">
        <v>83</v>
      </c>
      <c r="E943" s="7" t="s">
        <v>75</v>
      </c>
      <c r="F943" s="7">
        <v>1.0</v>
      </c>
      <c r="G943" s="7" t="s">
        <v>63</v>
      </c>
      <c r="H943" s="7">
        <v>1.0</v>
      </c>
      <c r="I943" s="7">
        <v>3.0</v>
      </c>
      <c r="J943" s="7">
        <v>1.5</v>
      </c>
      <c r="K943" s="7" t="s">
        <v>35</v>
      </c>
      <c r="L943" s="9" t="str">
        <f>VLOOKUP(K943, 'Alphabetical by species code'!A:B, 2, FALSE)</f>
        <v>Deinandra fasciculata</v>
      </c>
    </row>
    <row r="944">
      <c r="A944" s="7">
        <v>11.0</v>
      </c>
      <c r="B944" s="7">
        <v>2025.0</v>
      </c>
      <c r="C944" s="8">
        <v>45790.0</v>
      </c>
      <c r="D944" s="7" t="s">
        <v>83</v>
      </c>
      <c r="E944" s="7" t="s">
        <v>75</v>
      </c>
      <c r="F944" s="7">
        <v>1.0</v>
      </c>
      <c r="G944" s="7" t="s">
        <v>63</v>
      </c>
      <c r="H944" s="7">
        <v>1.0</v>
      </c>
      <c r="I944" s="7">
        <v>3.0</v>
      </c>
      <c r="J944" s="7">
        <v>1.5</v>
      </c>
      <c r="K944" s="7" t="s">
        <v>31</v>
      </c>
      <c r="L944" s="9" t="str">
        <f>VLOOKUP(K944, 'Alphabetical by species code'!A:B, 2, FALSE)</f>
        <v>Festuca myuros</v>
      </c>
    </row>
    <row r="945">
      <c r="A945" s="7">
        <v>11.0</v>
      </c>
      <c r="B945" s="7">
        <v>2025.0</v>
      </c>
      <c r="C945" s="8">
        <v>45790.0</v>
      </c>
      <c r="D945" s="7" t="s">
        <v>83</v>
      </c>
      <c r="E945" s="7" t="s">
        <v>75</v>
      </c>
      <c r="F945" s="7">
        <v>1.0</v>
      </c>
      <c r="G945" s="7" t="s">
        <v>63</v>
      </c>
      <c r="H945" s="7">
        <v>1.0</v>
      </c>
      <c r="I945" s="7">
        <v>4.0</v>
      </c>
      <c r="J945" s="7">
        <v>2.0</v>
      </c>
      <c r="K945" s="7" t="s">
        <v>28</v>
      </c>
      <c r="L945" s="9" t="str">
        <f>VLOOKUP(K945, 'Alphabetical by species code'!A:B, 2, FALSE)</f>
        <v>Litter</v>
      </c>
    </row>
    <row r="946">
      <c r="A946" s="7">
        <v>11.0</v>
      </c>
      <c r="B946" s="7">
        <v>2025.0</v>
      </c>
      <c r="C946" s="8">
        <v>45790.0</v>
      </c>
      <c r="D946" s="7" t="s">
        <v>83</v>
      </c>
      <c r="E946" s="7" t="s">
        <v>75</v>
      </c>
      <c r="F946" s="7">
        <v>1.0</v>
      </c>
      <c r="G946" s="7" t="s">
        <v>63</v>
      </c>
      <c r="H946" s="7">
        <v>1.0</v>
      </c>
      <c r="I946" s="7">
        <v>4.0</v>
      </c>
      <c r="J946" s="7">
        <v>2.0</v>
      </c>
      <c r="K946" s="7" t="s">
        <v>35</v>
      </c>
      <c r="L946" s="9" t="str">
        <f>VLOOKUP(K946, 'Alphabetical by species code'!A:B, 2, FALSE)</f>
        <v>Deinandra fasciculata</v>
      </c>
    </row>
    <row r="947">
      <c r="A947" s="7">
        <v>11.0</v>
      </c>
      <c r="B947" s="7">
        <v>2025.0</v>
      </c>
      <c r="C947" s="8">
        <v>45790.0</v>
      </c>
      <c r="D947" s="7" t="s">
        <v>83</v>
      </c>
      <c r="E947" s="7" t="s">
        <v>75</v>
      </c>
      <c r="F947" s="7">
        <v>1.0</v>
      </c>
      <c r="G947" s="7" t="s">
        <v>63</v>
      </c>
      <c r="H947" s="7">
        <v>1.0</v>
      </c>
      <c r="I947" s="7">
        <v>4.0</v>
      </c>
      <c r="J947" s="7">
        <v>2.0</v>
      </c>
      <c r="K947" s="7" t="s">
        <v>47</v>
      </c>
      <c r="L947" s="9" t="str">
        <f>VLOOKUP(K947, 'Alphabetical by species code'!A:B, 2, FALSE)</f>
        <v>Sonchus species</v>
      </c>
    </row>
    <row r="948">
      <c r="A948" s="7">
        <v>11.0</v>
      </c>
      <c r="B948" s="7">
        <v>2025.0</v>
      </c>
      <c r="C948" s="8">
        <v>45790.0</v>
      </c>
      <c r="D948" s="7" t="s">
        <v>83</v>
      </c>
      <c r="E948" s="7" t="s">
        <v>75</v>
      </c>
      <c r="F948" s="7">
        <v>1.0</v>
      </c>
      <c r="G948" s="7" t="s">
        <v>63</v>
      </c>
      <c r="H948" s="7">
        <v>1.0</v>
      </c>
      <c r="I948" s="7">
        <v>4.0</v>
      </c>
      <c r="J948" s="7">
        <v>2.0</v>
      </c>
      <c r="K948" s="7" t="s">
        <v>64</v>
      </c>
      <c r="L948" s="9" t="str">
        <f>VLOOKUP(K948, 'Alphabetical by species code'!A:B, 2, FALSE)</f>
        <v>Brassica nigra</v>
      </c>
    </row>
    <row r="949">
      <c r="A949" s="7">
        <v>11.0</v>
      </c>
      <c r="B949" s="7">
        <v>2025.0</v>
      </c>
      <c r="C949" s="8">
        <v>45790.0</v>
      </c>
      <c r="D949" s="7" t="s">
        <v>83</v>
      </c>
      <c r="E949" s="7" t="s">
        <v>75</v>
      </c>
      <c r="F949" s="7">
        <v>1.0</v>
      </c>
      <c r="G949" s="7" t="s">
        <v>63</v>
      </c>
      <c r="H949" s="7">
        <v>1.0</v>
      </c>
      <c r="I949" s="7">
        <v>5.0</v>
      </c>
      <c r="J949" s="7">
        <v>3.0</v>
      </c>
      <c r="K949" s="7" t="s">
        <v>28</v>
      </c>
      <c r="L949" s="9" t="str">
        <f>VLOOKUP(K949, 'Alphabetical by species code'!A:B, 2, FALSE)</f>
        <v>Litter</v>
      </c>
    </row>
    <row r="950">
      <c r="A950" s="7">
        <v>11.0</v>
      </c>
      <c r="B950" s="7">
        <v>2025.0</v>
      </c>
      <c r="C950" s="8">
        <v>45790.0</v>
      </c>
      <c r="D950" s="7" t="s">
        <v>83</v>
      </c>
      <c r="E950" s="7" t="s">
        <v>75</v>
      </c>
      <c r="F950" s="7">
        <v>1.0</v>
      </c>
      <c r="G950" s="7" t="s">
        <v>63</v>
      </c>
      <c r="H950" s="7">
        <v>1.0</v>
      </c>
      <c r="I950" s="7">
        <v>5.0</v>
      </c>
      <c r="J950" s="7">
        <v>3.0</v>
      </c>
      <c r="K950" s="7" t="s">
        <v>64</v>
      </c>
      <c r="L950" s="9" t="str">
        <f>VLOOKUP(K950, 'Alphabetical by species code'!A:B, 2, FALSE)</f>
        <v>Brassica nigra</v>
      </c>
    </row>
    <row r="951">
      <c r="A951" s="7">
        <v>11.0</v>
      </c>
      <c r="B951" s="7">
        <v>2025.0</v>
      </c>
      <c r="C951" s="8">
        <v>45790.0</v>
      </c>
      <c r="D951" s="7" t="s">
        <v>83</v>
      </c>
      <c r="E951" s="7" t="s">
        <v>75</v>
      </c>
      <c r="F951" s="7">
        <v>1.0</v>
      </c>
      <c r="G951" s="7" t="s">
        <v>63</v>
      </c>
      <c r="H951" s="7">
        <v>1.0</v>
      </c>
      <c r="I951" s="7">
        <v>5.0</v>
      </c>
      <c r="J951" s="7">
        <v>3.0</v>
      </c>
      <c r="K951" s="7" t="s">
        <v>35</v>
      </c>
      <c r="L951" s="9" t="str">
        <f>VLOOKUP(K951, 'Alphabetical by species code'!A:B, 2, FALSE)</f>
        <v>Deinandra fasciculata</v>
      </c>
    </row>
    <row r="952">
      <c r="A952" s="7">
        <v>11.0</v>
      </c>
      <c r="B952" s="7">
        <v>2025.0</v>
      </c>
      <c r="C952" s="8">
        <v>45790.0</v>
      </c>
      <c r="D952" s="7" t="s">
        <v>83</v>
      </c>
      <c r="E952" s="7" t="s">
        <v>75</v>
      </c>
      <c r="F952" s="7">
        <v>1.0</v>
      </c>
      <c r="G952" s="7" t="s">
        <v>63</v>
      </c>
      <c r="H952" s="7">
        <v>1.0</v>
      </c>
      <c r="I952" s="7">
        <v>6.0</v>
      </c>
      <c r="J952" s="7">
        <v>3.5</v>
      </c>
      <c r="K952" s="7" t="s">
        <v>38</v>
      </c>
      <c r="L952" s="9" t="str">
        <f>VLOOKUP(K952, 'Alphabetical by species code'!A:B, 2, FALSE)</f>
        <v>Thatch</v>
      </c>
    </row>
    <row r="953">
      <c r="A953" s="7">
        <v>11.0</v>
      </c>
      <c r="B953" s="7">
        <v>2025.0</v>
      </c>
      <c r="C953" s="8">
        <v>45790.0</v>
      </c>
      <c r="D953" s="7" t="s">
        <v>83</v>
      </c>
      <c r="E953" s="7" t="s">
        <v>75</v>
      </c>
      <c r="F953" s="7">
        <v>1.0</v>
      </c>
      <c r="G953" s="7" t="s">
        <v>63</v>
      </c>
      <c r="H953" s="7">
        <v>1.0</v>
      </c>
      <c r="I953" s="7">
        <v>6.0</v>
      </c>
      <c r="J953" s="7">
        <v>3.5</v>
      </c>
      <c r="K953" s="7" t="s">
        <v>64</v>
      </c>
      <c r="L953" s="9" t="str">
        <f>VLOOKUP(K953, 'Alphabetical by species code'!A:B, 2, FALSE)</f>
        <v>Brassica nigra</v>
      </c>
    </row>
    <row r="954">
      <c r="A954" s="7">
        <v>11.0</v>
      </c>
      <c r="B954" s="7">
        <v>2025.0</v>
      </c>
      <c r="C954" s="8">
        <v>45790.0</v>
      </c>
      <c r="D954" s="7" t="s">
        <v>83</v>
      </c>
      <c r="E954" s="7" t="s">
        <v>75</v>
      </c>
      <c r="F954" s="7">
        <v>1.0</v>
      </c>
      <c r="G954" s="7" t="s">
        <v>63</v>
      </c>
      <c r="H954" s="7">
        <v>1.0</v>
      </c>
      <c r="I954" s="7">
        <v>7.0</v>
      </c>
      <c r="J954" s="7">
        <v>4.0</v>
      </c>
      <c r="K954" s="7" t="s">
        <v>38</v>
      </c>
      <c r="L954" s="9" t="str">
        <f>VLOOKUP(K954, 'Alphabetical by species code'!A:B, 2, FALSE)</f>
        <v>Thatch</v>
      </c>
    </row>
    <row r="955">
      <c r="A955" s="7">
        <v>11.0</v>
      </c>
      <c r="B955" s="7">
        <v>2025.0</v>
      </c>
      <c r="C955" s="8">
        <v>45790.0</v>
      </c>
      <c r="D955" s="7" t="s">
        <v>83</v>
      </c>
      <c r="E955" s="7" t="s">
        <v>75</v>
      </c>
      <c r="F955" s="7">
        <v>1.0</v>
      </c>
      <c r="G955" s="7" t="s">
        <v>63</v>
      </c>
      <c r="H955" s="7">
        <v>1.0</v>
      </c>
      <c r="I955" s="7">
        <v>7.0</v>
      </c>
      <c r="J955" s="7">
        <v>4.0</v>
      </c>
      <c r="K955" s="7" t="s">
        <v>35</v>
      </c>
      <c r="L955" s="9" t="str">
        <f>VLOOKUP(K955, 'Alphabetical by species code'!A:B, 2, FALSE)</f>
        <v>Deinandra fasciculata</v>
      </c>
    </row>
    <row r="956">
      <c r="A956" s="7">
        <v>11.0</v>
      </c>
      <c r="B956" s="7">
        <v>2025.0</v>
      </c>
      <c r="C956" s="8">
        <v>45790.0</v>
      </c>
      <c r="D956" s="7" t="s">
        <v>83</v>
      </c>
      <c r="E956" s="7" t="s">
        <v>75</v>
      </c>
      <c r="F956" s="7">
        <v>1.0</v>
      </c>
      <c r="G956" s="7" t="s">
        <v>63</v>
      </c>
      <c r="H956" s="7">
        <v>1.0</v>
      </c>
      <c r="I956" s="7">
        <v>8.0</v>
      </c>
      <c r="J956" s="7">
        <v>5.0</v>
      </c>
      <c r="K956" s="7" t="s">
        <v>28</v>
      </c>
      <c r="L956" s="9" t="str">
        <f>VLOOKUP(K956, 'Alphabetical by species code'!A:B, 2, FALSE)</f>
        <v>Litter</v>
      </c>
    </row>
    <row r="957">
      <c r="A957" s="7">
        <v>11.0</v>
      </c>
      <c r="B957" s="7">
        <v>2025.0</v>
      </c>
      <c r="C957" s="8">
        <v>45790.0</v>
      </c>
      <c r="D957" s="7" t="s">
        <v>83</v>
      </c>
      <c r="E957" s="7" t="s">
        <v>75</v>
      </c>
      <c r="F957" s="7">
        <v>1.0</v>
      </c>
      <c r="G957" s="7" t="s">
        <v>63</v>
      </c>
      <c r="H957" s="7">
        <v>1.0</v>
      </c>
      <c r="I957" s="7">
        <v>8.0</v>
      </c>
      <c r="J957" s="7">
        <v>5.0</v>
      </c>
      <c r="K957" s="7" t="s">
        <v>31</v>
      </c>
      <c r="L957" s="9" t="str">
        <f>VLOOKUP(K957, 'Alphabetical by species code'!A:B, 2, FALSE)</f>
        <v>Festuca myuros</v>
      </c>
    </row>
    <row r="958">
      <c r="A958" s="7">
        <v>11.0</v>
      </c>
      <c r="B958" s="7">
        <v>2025.0</v>
      </c>
      <c r="C958" s="8">
        <v>45790.0</v>
      </c>
      <c r="D958" s="7" t="s">
        <v>83</v>
      </c>
      <c r="E958" s="7" t="s">
        <v>75</v>
      </c>
      <c r="F958" s="7">
        <v>1.0</v>
      </c>
      <c r="G958" s="7" t="s">
        <v>63</v>
      </c>
      <c r="H958" s="7">
        <v>1.0</v>
      </c>
      <c r="I958" s="7">
        <v>9.0</v>
      </c>
      <c r="J958" s="7">
        <v>7.0</v>
      </c>
      <c r="K958" s="7" t="s">
        <v>28</v>
      </c>
      <c r="L958" s="9" t="str">
        <f>VLOOKUP(K958, 'Alphabetical by species code'!A:B, 2, FALSE)</f>
        <v>Litter</v>
      </c>
    </row>
    <row r="959">
      <c r="A959" s="7">
        <v>11.0</v>
      </c>
      <c r="B959" s="7">
        <v>2025.0</v>
      </c>
      <c r="C959" s="8">
        <v>45790.0</v>
      </c>
      <c r="D959" s="7" t="s">
        <v>83</v>
      </c>
      <c r="E959" s="7" t="s">
        <v>75</v>
      </c>
      <c r="F959" s="7">
        <v>1.0</v>
      </c>
      <c r="G959" s="7" t="s">
        <v>63</v>
      </c>
      <c r="H959" s="7">
        <v>1.0</v>
      </c>
      <c r="I959" s="7">
        <v>9.0</v>
      </c>
      <c r="J959" s="7">
        <v>7.0</v>
      </c>
      <c r="K959" s="7" t="s">
        <v>35</v>
      </c>
      <c r="L959" s="9" t="str">
        <f>VLOOKUP(K959, 'Alphabetical by species code'!A:B, 2, FALSE)</f>
        <v>Deinandra fasciculata</v>
      </c>
    </row>
    <row r="960">
      <c r="A960" s="7">
        <v>11.0</v>
      </c>
      <c r="B960" s="7">
        <v>2025.0</v>
      </c>
      <c r="C960" s="8">
        <v>45790.0</v>
      </c>
      <c r="D960" s="7" t="s">
        <v>83</v>
      </c>
      <c r="E960" s="7" t="s">
        <v>75</v>
      </c>
      <c r="F960" s="7">
        <v>1.0</v>
      </c>
      <c r="G960" s="7" t="s">
        <v>63</v>
      </c>
      <c r="H960" s="7">
        <v>1.0</v>
      </c>
      <c r="I960" s="7">
        <v>9.0</v>
      </c>
      <c r="J960" s="7">
        <v>7.0</v>
      </c>
      <c r="K960" s="7" t="s">
        <v>31</v>
      </c>
      <c r="L960" s="9" t="str">
        <f>VLOOKUP(K960, 'Alphabetical by species code'!A:B, 2, FALSE)</f>
        <v>Festuca myuros</v>
      </c>
    </row>
    <row r="961">
      <c r="A961" s="7">
        <v>11.0</v>
      </c>
      <c r="B961" s="7">
        <v>2025.0</v>
      </c>
      <c r="C961" s="8">
        <v>45790.0</v>
      </c>
      <c r="D961" s="7" t="s">
        <v>83</v>
      </c>
      <c r="E961" s="7" t="s">
        <v>75</v>
      </c>
      <c r="F961" s="7">
        <v>1.0</v>
      </c>
      <c r="G961" s="7" t="s">
        <v>63</v>
      </c>
      <c r="H961" s="7">
        <v>1.0</v>
      </c>
      <c r="I961" s="7">
        <v>10.0</v>
      </c>
      <c r="J961" s="7">
        <v>8.0</v>
      </c>
      <c r="K961" s="7" t="s">
        <v>28</v>
      </c>
      <c r="L961" s="9" t="str">
        <f>VLOOKUP(K961, 'Alphabetical by species code'!A:B, 2, FALSE)</f>
        <v>Litter</v>
      </c>
    </row>
    <row r="962">
      <c r="A962" s="7">
        <v>11.0</v>
      </c>
      <c r="B962" s="7">
        <v>2025.0</v>
      </c>
      <c r="C962" s="8">
        <v>45790.0</v>
      </c>
      <c r="D962" s="7" t="s">
        <v>83</v>
      </c>
      <c r="E962" s="7" t="s">
        <v>75</v>
      </c>
      <c r="F962" s="7">
        <v>1.0</v>
      </c>
      <c r="G962" s="7" t="s">
        <v>63</v>
      </c>
      <c r="H962" s="7">
        <v>1.0</v>
      </c>
      <c r="I962" s="7">
        <v>10.0</v>
      </c>
      <c r="J962" s="7">
        <v>8.0</v>
      </c>
      <c r="K962" s="7" t="s">
        <v>31</v>
      </c>
      <c r="L962" s="9" t="str">
        <f>VLOOKUP(K962, 'Alphabetical by species code'!A:B, 2, FALSE)</f>
        <v>Festuca myuros</v>
      </c>
    </row>
    <row r="963">
      <c r="A963" s="7">
        <v>11.0</v>
      </c>
      <c r="B963" s="7">
        <v>2025.0</v>
      </c>
      <c r="C963" s="8">
        <v>45790.0</v>
      </c>
      <c r="D963" s="7" t="s">
        <v>83</v>
      </c>
      <c r="E963" s="7" t="s">
        <v>75</v>
      </c>
      <c r="F963" s="7">
        <v>1.0</v>
      </c>
      <c r="G963" s="7" t="s">
        <v>63</v>
      </c>
      <c r="H963" s="7">
        <v>1.0</v>
      </c>
      <c r="I963" s="7">
        <v>10.0</v>
      </c>
      <c r="J963" s="7">
        <v>8.0</v>
      </c>
      <c r="K963" s="7" t="s">
        <v>64</v>
      </c>
      <c r="L963" s="9" t="str">
        <f>VLOOKUP(K963, 'Alphabetical by species code'!A:B, 2, FALSE)</f>
        <v>Brassica nigra</v>
      </c>
    </row>
    <row r="964">
      <c r="A964" s="7">
        <v>11.0</v>
      </c>
      <c r="B964" s="7">
        <v>2025.0</v>
      </c>
      <c r="C964" s="8">
        <v>45790.0</v>
      </c>
      <c r="D964" s="7" t="s">
        <v>83</v>
      </c>
      <c r="E964" s="7" t="s">
        <v>75</v>
      </c>
      <c r="F964" s="7">
        <v>1.0</v>
      </c>
      <c r="G964" s="7" t="s">
        <v>63</v>
      </c>
      <c r="H964" s="7">
        <v>1.0</v>
      </c>
      <c r="I964" s="7">
        <v>11.0</v>
      </c>
      <c r="J964" s="7">
        <v>8.5</v>
      </c>
      <c r="K964" s="7" t="s">
        <v>28</v>
      </c>
      <c r="L964" s="9" t="str">
        <f>VLOOKUP(K964, 'Alphabetical by species code'!A:B, 2, FALSE)</f>
        <v>Litter</v>
      </c>
    </row>
    <row r="965">
      <c r="A965" s="7">
        <v>11.0</v>
      </c>
      <c r="B965" s="7">
        <v>2025.0</v>
      </c>
      <c r="C965" s="8">
        <v>45790.0</v>
      </c>
      <c r="D965" s="7" t="s">
        <v>83</v>
      </c>
      <c r="E965" s="7" t="s">
        <v>75</v>
      </c>
      <c r="F965" s="7">
        <v>1.0</v>
      </c>
      <c r="G965" s="7" t="s">
        <v>63</v>
      </c>
      <c r="H965" s="7">
        <v>1.0</v>
      </c>
      <c r="I965" s="7">
        <v>11.0</v>
      </c>
      <c r="J965" s="7">
        <v>8.5</v>
      </c>
      <c r="K965" s="7" t="s">
        <v>36</v>
      </c>
      <c r="L965" s="9" t="str">
        <f>VLOOKUP(K965, 'Alphabetical by species code'!A:B, 2, FALSE)</f>
        <v>Bromus madritensis</v>
      </c>
    </row>
    <row r="966">
      <c r="A966" s="7">
        <v>11.0</v>
      </c>
      <c r="B966" s="7">
        <v>2025.0</v>
      </c>
      <c r="C966" s="8">
        <v>45790.0</v>
      </c>
      <c r="D966" s="7" t="s">
        <v>83</v>
      </c>
      <c r="E966" s="7" t="s">
        <v>75</v>
      </c>
      <c r="F966" s="7">
        <v>1.0</v>
      </c>
      <c r="G966" s="7" t="s">
        <v>63</v>
      </c>
      <c r="H966" s="7">
        <v>1.0</v>
      </c>
      <c r="I966" s="7">
        <v>12.0</v>
      </c>
      <c r="J966" s="7">
        <v>9.0</v>
      </c>
      <c r="K966" s="7" t="s">
        <v>28</v>
      </c>
      <c r="L966" s="9" t="str">
        <f>VLOOKUP(K966, 'Alphabetical by species code'!A:B, 2, FALSE)</f>
        <v>Litter</v>
      </c>
    </row>
    <row r="967">
      <c r="A967" s="7">
        <v>11.0</v>
      </c>
      <c r="B967" s="7">
        <v>2025.0</v>
      </c>
      <c r="C967" s="8">
        <v>45790.0</v>
      </c>
      <c r="D967" s="7" t="s">
        <v>83</v>
      </c>
      <c r="E967" s="7" t="s">
        <v>75</v>
      </c>
      <c r="F967" s="7">
        <v>1.0</v>
      </c>
      <c r="G967" s="7" t="s">
        <v>63</v>
      </c>
      <c r="H967" s="7">
        <v>1.0</v>
      </c>
      <c r="I967" s="7">
        <v>12.0</v>
      </c>
      <c r="J967" s="7">
        <v>9.0</v>
      </c>
      <c r="K967" s="7" t="s">
        <v>35</v>
      </c>
      <c r="L967" s="9" t="str">
        <f>VLOOKUP(K967, 'Alphabetical by species code'!A:B, 2, FALSE)</f>
        <v>Deinandra fasciculata</v>
      </c>
    </row>
    <row r="968">
      <c r="A968" s="7">
        <v>11.0</v>
      </c>
      <c r="B968" s="7">
        <v>2025.0</v>
      </c>
      <c r="C968" s="8">
        <v>45790.0</v>
      </c>
      <c r="D968" s="7" t="s">
        <v>83</v>
      </c>
      <c r="E968" s="7" t="s">
        <v>75</v>
      </c>
      <c r="F968" s="7">
        <v>1.0</v>
      </c>
      <c r="G968" s="7" t="s">
        <v>63</v>
      </c>
      <c r="H968" s="7">
        <v>1.0</v>
      </c>
      <c r="I968" s="7">
        <v>13.0</v>
      </c>
      <c r="J968" s="7">
        <v>10.0</v>
      </c>
      <c r="K968" s="7" t="s">
        <v>28</v>
      </c>
      <c r="L968" s="9" t="str">
        <f>VLOOKUP(K968, 'Alphabetical by species code'!A:B, 2, FALSE)</f>
        <v>Litter</v>
      </c>
    </row>
    <row r="969">
      <c r="A969" s="7">
        <v>11.0</v>
      </c>
      <c r="B969" s="7">
        <v>2025.0</v>
      </c>
      <c r="C969" s="8">
        <v>45790.0</v>
      </c>
      <c r="D969" s="7" t="s">
        <v>83</v>
      </c>
      <c r="E969" s="7" t="s">
        <v>75</v>
      </c>
      <c r="F969" s="7">
        <v>1.0</v>
      </c>
      <c r="G969" s="7" t="s">
        <v>63</v>
      </c>
      <c r="H969" s="7">
        <v>1.0</v>
      </c>
      <c r="I969" s="7">
        <v>13.0</v>
      </c>
      <c r="J969" s="7">
        <v>10.0</v>
      </c>
      <c r="K969" s="7" t="s">
        <v>31</v>
      </c>
      <c r="L969" s="9" t="str">
        <f>VLOOKUP(K969, 'Alphabetical by species code'!A:B, 2, FALSE)</f>
        <v>Festuca myuros</v>
      </c>
    </row>
    <row r="970">
      <c r="A970" s="7">
        <v>11.0</v>
      </c>
      <c r="B970" s="7">
        <v>2025.0</v>
      </c>
      <c r="C970" s="8">
        <v>45790.0</v>
      </c>
      <c r="D970" s="7" t="s">
        <v>83</v>
      </c>
      <c r="E970" s="7" t="s">
        <v>75</v>
      </c>
      <c r="F970" s="7">
        <v>1.0</v>
      </c>
      <c r="G970" s="7" t="s">
        <v>63</v>
      </c>
      <c r="H970" s="7">
        <v>1.0</v>
      </c>
      <c r="I970" s="7">
        <v>14.0</v>
      </c>
      <c r="J970" s="7">
        <v>11.0</v>
      </c>
      <c r="K970" s="7" t="s">
        <v>28</v>
      </c>
      <c r="L970" s="9" t="str">
        <f>VLOOKUP(K970, 'Alphabetical by species code'!A:B, 2, FALSE)</f>
        <v>Litter</v>
      </c>
    </row>
    <row r="971">
      <c r="A971" s="7">
        <v>11.0</v>
      </c>
      <c r="B971" s="7">
        <v>2025.0</v>
      </c>
      <c r="C971" s="8">
        <v>45790.0</v>
      </c>
      <c r="D971" s="7" t="s">
        <v>83</v>
      </c>
      <c r="E971" s="7" t="s">
        <v>75</v>
      </c>
      <c r="F971" s="7">
        <v>1.0</v>
      </c>
      <c r="G971" s="7" t="s">
        <v>63</v>
      </c>
      <c r="H971" s="7">
        <v>1.0</v>
      </c>
      <c r="I971" s="7">
        <v>14.0</v>
      </c>
      <c r="J971" s="7">
        <v>11.0</v>
      </c>
      <c r="K971" s="7" t="s">
        <v>64</v>
      </c>
      <c r="L971" s="9" t="str">
        <f>VLOOKUP(K971, 'Alphabetical by species code'!A:B, 2, FALSE)</f>
        <v>Brassica nigra</v>
      </c>
    </row>
    <row r="972">
      <c r="A972" s="7">
        <v>11.0</v>
      </c>
      <c r="B972" s="7">
        <v>2025.0</v>
      </c>
      <c r="C972" s="8">
        <v>45790.0</v>
      </c>
      <c r="D972" s="7" t="s">
        <v>83</v>
      </c>
      <c r="E972" s="7" t="s">
        <v>75</v>
      </c>
      <c r="F972" s="7">
        <v>1.0</v>
      </c>
      <c r="G972" s="7" t="s">
        <v>63</v>
      </c>
      <c r="H972" s="7">
        <v>1.0</v>
      </c>
      <c r="I972" s="7">
        <v>15.0</v>
      </c>
      <c r="J972" s="7">
        <v>12.0</v>
      </c>
      <c r="K972" s="7" t="s">
        <v>28</v>
      </c>
      <c r="L972" s="9" t="str">
        <f>VLOOKUP(K972, 'Alphabetical by species code'!A:B, 2, FALSE)</f>
        <v>Litter</v>
      </c>
    </row>
    <row r="973">
      <c r="A973" s="7">
        <v>11.0</v>
      </c>
      <c r="B973" s="7">
        <v>2025.0</v>
      </c>
      <c r="C973" s="8">
        <v>45790.0</v>
      </c>
      <c r="D973" s="7" t="s">
        <v>83</v>
      </c>
      <c r="E973" s="7" t="s">
        <v>75</v>
      </c>
      <c r="F973" s="7">
        <v>1.0</v>
      </c>
      <c r="G973" s="7" t="s">
        <v>63</v>
      </c>
      <c r="H973" s="7">
        <v>1.0</v>
      </c>
      <c r="I973" s="7">
        <v>15.0</v>
      </c>
      <c r="J973" s="7">
        <v>12.0</v>
      </c>
      <c r="K973" s="7" t="s">
        <v>29</v>
      </c>
      <c r="L973" s="9" t="str">
        <f>VLOOKUP(K973, 'Alphabetical by species code'!A:B, 2, FALSE)</f>
        <v>Opuntia littoralis</v>
      </c>
    </row>
    <row r="974">
      <c r="A974" s="7">
        <v>11.0</v>
      </c>
      <c r="B974" s="7">
        <v>2025.0</v>
      </c>
      <c r="C974" s="8">
        <v>45790.0</v>
      </c>
      <c r="D974" s="7" t="s">
        <v>83</v>
      </c>
      <c r="E974" s="7" t="s">
        <v>75</v>
      </c>
      <c r="F974" s="7">
        <v>1.0</v>
      </c>
      <c r="G974" s="7" t="s">
        <v>63</v>
      </c>
      <c r="H974" s="7">
        <v>1.0</v>
      </c>
      <c r="I974" s="7">
        <v>15.0</v>
      </c>
      <c r="J974" s="7">
        <v>12.0</v>
      </c>
      <c r="K974" s="7" t="s">
        <v>47</v>
      </c>
      <c r="L974" s="9" t="str">
        <f>VLOOKUP(K974, 'Alphabetical by species code'!A:B, 2, FALSE)</f>
        <v>Sonchus species</v>
      </c>
    </row>
    <row r="975">
      <c r="A975" s="7">
        <v>11.0</v>
      </c>
      <c r="B975" s="7">
        <v>2025.0</v>
      </c>
      <c r="C975" s="8">
        <v>45790.0</v>
      </c>
      <c r="D975" s="7" t="s">
        <v>83</v>
      </c>
      <c r="E975" s="7" t="s">
        <v>75</v>
      </c>
      <c r="F975" s="7">
        <v>1.0</v>
      </c>
      <c r="G975" s="7" t="s">
        <v>63</v>
      </c>
      <c r="H975" s="7">
        <v>2.0</v>
      </c>
      <c r="I975" s="7">
        <v>1.0</v>
      </c>
      <c r="J975" s="7">
        <v>0.0</v>
      </c>
      <c r="K975" s="7" t="s">
        <v>28</v>
      </c>
      <c r="L975" s="9" t="str">
        <f>VLOOKUP(K975, 'Alphabetical by species code'!A:B, 2, FALSE)</f>
        <v>Litter</v>
      </c>
    </row>
    <row r="976">
      <c r="A976" s="7">
        <v>11.0</v>
      </c>
      <c r="B976" s="7">
        <v>2025.0</v>
      </c>
      <c r="C976" s="8">
        <v>45790.0</v>
      </c>
      <c r="D976" s="7" t="s">
        <v>83</v>
      </c>
      <c r="E976" s="7" t="s">
        <v>75</v>
      </c>
      <c r="F976" s="7">
        <v>1.0</v>
      </c>
      <c r="G976" s="7" t="s">
        <v>63</v>
      </c>
      <c r="H976" s="7">
        <v>2.0</v>
      </c>
      <c r="I976" s="7">
        <v>1.0</v>
      </c>
      <c r="J976" s="7">
        <v>0.0</v>
      </c>
      <c r="K976" s="7" t="s">
        <v>36</v>
      </c>
      <c r="L976" s="9" t="str">
        <f>VLOOKUP(K976, 'Alphabetical by species code'!A:B, 2, FALSE)</f>
        <v>Bromus madritensis</v>
      </c>
    </row>
    <row r="977">
      <c r="A977" s="7">
        <v>11.0</v>
      </c>
      <c r="B977" s="7">
        <v>2025.0</v>
      </c>
      <c r="C977" s="8">
        <v>45790.0</v>
      </c>
      <c r="D977" s="7" t="s">
        <v>83</v>
      </c>
      <c r="E977" s="7" t="s">
        <v>75</v>
      </c>
      <c r="F977" s="7">
        <v>1.0</v>
      </c>
      <c r="G977" s="7" t="s">
        <v>63</v>
      </c>
      <c r="H977" s="7">
        <v>2.0</v>
      </c>
      <c r="I977" s="7">
        <v>1.0</v>
      </c>
      <c r="J977" s="7">
        <v>0.0</v>
      </c>
      <c r="K977" s="7" t="s">
        <v>29</v>
      </c>
      <c r="L977" s="9" t="str">
        <f>VLOOKUP(K977, 'Alphabetical by species code'!A:B, 2, FALSE)</f>
        <v>Opuntia littoralis</v>
      </c>
    </row>
    <row r="978">
      <c r="A978" s="7">
        <v>11.0</v>
      </c>
      <c r="B978" s="7">
        <v>2025.0</v>
      </c>
      <c r="C978" s="8">
        <v>45790.0</v>
      </c>
      <c r="D978" s="7" t="s">
        <v>83</v>
      </c>
      <c r="E978" s="7" t="s">
        <v>75</v>
      </c>
      <c r="F978" s="7">
        <v>1.0</v>
      </c>
      <c r="G978" s="7" t="s">
        <v>63</v>
      </c>
      <c r="H978" s="7">
        <v>2.0</v>
      </c>
      <c r="I978" s="7">
        <v>2.0</v>
      </c>
      <c r="J978" s="7">
        <v>1.0</v>
      </c>
      <c r="K978" s="7" t="s">
        <v>28</v>
      </c>
      <c r="L978" s="9" t="str">
        <f>VLOOKUP(K978, 'Alphabetical by species code'!A:B, 2, FALSE)</f>
        <v>Litter</v>
      </c>
    </row>
    <row r="979">
      <c r="A979" s="7">
        <v>11.0</v>
      </c>
      <c r="B979" s="7">
        <v>2025.0</v>
      </c>
      <c r="C979" s="8">
        <v>45790.0</v>
      </c>
      <c r="D979" s="7" t="s">
        <v>83</v>
      </c>
      <c r="E979" s="7" t="s">
        <v>75</v>
      </c>
      <c r="F979" s="7">
        <v>1.0</v>
      </c>
      <c r="G979" s="7" t="s">
        <v>63</v>
      </c>
      <c r="H979" s="7">
        <v>2.0</v>
      </c>
      <c r="I979" s="7">
        <v>2.0</v>
      </c>
      <c r="J979" s="7">
        <v>1.0</v>
      </c>
      <c r="K979" s="7" t="s">
        <v>47</v>
      </c>
      <c r="L979" s="9" t="str">
        <f>VLOOKUP(K979, 'Alphabetical by species code'!A:B, 2, FALSE)</f>
        <v>Sonchus species</v>
      </c>
    </row>
    <row r="980">
      <c r="A980" s="7">
        <v>11.0</v>
      </c>
      <c r="B980" s="7">
        <v>2025.0</v>
      </c>
      <c r="C980" s="8">
        <v>45790.0</v>
      </c>
      <c r="D980" s="7" t="s">
        <v>83</v>
      </c>
      <c r="E980" s="7" t="s">
        <v>75</v>
      </c>
      <c r="F980" s="7">
        <v>1.0</v>
      </c>
      <c r="G980" s="7" t="s">
        <v>63</v>
      </c>
      <c r="H980" s="7">
        <v>2.0</v>
      </c>
      <c r="I980" s="7">
        <v>2.0</v>
      </c>
      <c r="J980" s="7">
        <v>1.0</v>
      </c>
      <c r="K980" s="7" t="s">
        <v>67</v>
      </c>
      <c r="L980" s="9" t="str">
        <f>VLOOKUP(K980, 'Alphabetical by species code'!A:B, 2, FALSE)</f>
        <v>Galium aparine</v>
      </c>
    </row>
    <row r="981">
      <c r="A981" s="7">
        <v>11.0</v>
      </c>
      <c r="B981" s="7">
        <v>2025.0</v>
      </c>
      <c r="C981" s="8">
        <v>45790.0</v>
      </c>
      <c r="D981" s="7" t="s">
        <v>83</v>
      </c>
      <c r="E981" s="7" t="s">
        <v>75</v>
      </c>
      <c r="F981" s="7">
        <v>1.0</v>
      </c>
      <c r="G981" s="7" t="s">
        <v>63</v>
      </c>
      <c r="H981" s="7">
        <v>2.0</v>
      </c>
      <c r="I981" s="7">
        <v>3.0</v>
      </c>
      <c r="J981" s="7">
        <v>1.5</v>
      </c>
      <c r="K981" s="7" t="s">
        <v>52</v>
      </c>
      <c r="L981" s="9" t="str">
        <f>VLOOKUP(K981, 'Alphabetical by species code'!A:B, 2, FALSE)</f>
        <v>Rock</v>
      </c>
    </row>
    <row r="982">
      <c r="A982" s="7">
        <v>11.0</v>
      </c>
      <c r="B982" s="7">
        <v>2025.0</v>
      </c>
      <c r="C982" s="8">
        <v>45790.0</v>
      </c>
      <c r="D982" s="7" t="s">
        <v>83</v>
      </c>
      <c r="E982" s="7" t="s">
        <v>75</v>
      </c>
      <c r="F982" s="7">
        <v>1.0</v>
      </c>
      <c r="G982" s="7" t="s">
        <v>63</v>
      </c>
      <c r="H982" s="7">
        <v>2.0</v>
      </c>
      <c r="I982" s="7">
        <v>4.0</v>
      </c>
      <c r="J982" s="7">
        <v>2.0</v>
      </c>
      <c r="K982" s="7" t="s">
        <v>28</v>
      </c>
      <c r="L982" s="9" t="str">
        <f>VLOOKUP(K982, 'Alphabetical by species code'!A:B, 2, FALSE)</f>
        <v>Litter</v>
      </c>
    </row>
    <row r="983">
      <c r="A983" s="7">
        <v>11.0</v>
      </c>
      <c r="B983" s="7">
        <v>2025.0</v>
      </c>
      <c r="C983" s="8">
        <v>45790.0</v>
      </c>
      <c r="D983" s="7" t="s">
        <v>83</v>
      </c>
      <c r="E983" s="7" t="s">
        <v>75</v>
      </c>
      <c r="F983" s="7">
        <v>1.0</v>
      </c>
      <c r="G983" s="7" t="s">
        <v>63</v>
      </c>
      <c r="H983" s="7">
        <v>2.0</v>
      </c>
      <c r="I983" s="7">
        <v>5.0</v>
      </c>
      <c r="J983" s="7">
        <v>3.0</v>
      </c>
      <c r="K983" s="7" t="s">
        <v>28</v>
      </c>
      <c r="L983" s="9" t="str">
        <f>VLOOKUP(K983, 'Alphabetical by species code'!A:B, 2, FALSE)</f>
        <v>Litter</v>
      </c>
    </row>
    <row r="984">
      <c r="A984" s="7">
        <v>11.0</v>
      </c>
      <c r="B984" s="7">
        <v>2025.0</v>
      </c>
      <c r="C984" s="8">
        <v>45790.0</v>
      </c>
      <c r="D984" s="7" t="s">
        <v>83</v>
      </c>
      <c r="E984" s="7" t="s">
        <v>75</v>
      </c>
      <c r="F984" s="7">
        <v>1.0</v>
      </c>
      <c r="G984" s="7" t="s">
        <v>63</v>
      </c>
      <c r="H984" s="7">
        <v>2.0</v>
      </c>
      <c r="I984" s="7">
        <v>5.0</v>
      </c>
      <c r="J984" s="7">
        <v>3.0</v>
      </c>
      <c r="K984" s="7" t="s">
        <v>35</v>
      </c>
      <c r="L984" s="9" t="str">
        <f>VLOOKUP(K984, 'Alphabetical by species code'!A:B, 2, FALSE)</f>
        <v>Deinandra fasciculata</v>
      </c>
    </row>
    <row r="985">
      <c r="A985" s="7">
        <v>11.0</v>
      </c>
      <c r="B985" s="7">
        <v>2025.0</v>
      </c>
      <c r="C985" s="8">
        <v>45790.0</v>
      </c>
      <c r="D985" s="7" t="s">
        <v>83</v>
      </c>
      <c r="E985" s="7" t="s">
        <v>75</v>
      </c>
      <c r="F985" s="7">
        <v>1.0</v>
      </c>
      <c r="G985" s="7" t="s">
        <v>63</v>
      </c>
      <c r="H985" s="7">
        <v>2.0</v>
      </c>
      <c r="I985" s="7">
        <v>5.0</v>
      </c>
      <c r="J985" s="7">
        <v>3.0</v>
      </c>
      <c r="K985" s="7" t="s">
        <v>31</v>
      </c>
      <c r="L985" s="9" t="str">
        <f>VLOOKUP(K985, 'Alphabetical by species code'!A:B, 2, FALSE)</f>
        <v>Festuca myuros</v>
      </c>
    </row>
    <row r="986">
      <c r="A986" s="7">
        <v>11.0</v>
      </c>
      <c r="B986" s="7">
        <v>2025.0</v>
      </c>
      <c r="C986" s="8">
        <v>45790.0</v>
      </c>
      <c r="D986" s="7" t="s">
        <v>83</v>
      </c>
      <c r="E986" s="7" t="s">
        <v>75</v>
      </c>
      <c r="F986" s="7">
        <v>1.0</v>
      </c>
      <c r="G986" s="7" t="s">
        <v>63</v>
      </c>
      <c r="H986" s="7">
        <v>2.0</v>
      </c>
      <c r="I986" s="7">
        <v>6.0</v>
      </c>
      <c r="J986" s="7">
        <v>3.5</v>
      </c>
      <c r="K986" s="7" t="s">
        <v>28</v>
      </c>
      <c r="L986" s="9" t="str">
        <f>VLOOKUP(K986, 'Alphabetical by species code'!A:B, 2, FALSE)</f>
        <v>Litter</v>
      </c>
    </row>
    <row r="987">
      <c r="A987" s="7">
        <v>11.0</v>
      </c>
      <c r="B987" s="7">
        <v>2025.0</v>
      </c>
      <c r="C987" s="8">
        <v>45790.0</v>
      </c>
      <c r="D987" s="7" t="s">
        <v>83</v>
      </c>
      <c r="E987" s="7" t="s">
        <v>75</v>
      </c>
      <c r="F987" s="7">
        <v>1.0</v>
      </c>
      <c r="G987" s="7" t="s">
        <v>63</v>
      </c>
      <c r="H987" s="7">
        <v>2.0</v>
      </c>
      <c r="I987" s="7">
        <v>6.0</v>
      </c>
      <c r="J987" s="7">
        <v>3.5</v>
      </c>
      <c r="K987" s="7" t="s">
        <v>31</v>
      </c>
      <c r="L987" s="9" t="str">
        <f>VLOOKUP(K987, 'Alphabetical by species code'!A:B, 2, FALSE)</f>
        <v>Festuca myuros</v>
      </c>
    </row>
    <row r="988">
      <c r="A988" s="7">
        <v>11.0</v>
      </c>
      <c r="B988" s="7">
        <v>2025.0</v>
      </c>
      <c r="C988" s="8">
        <v>45790.0</v>
      </c>
      <c r="D988" s="7" t="s">
        <v>83</v>
      </c>
      <c r="E988" s="7" t="s">
        <v>75</v>
      </c>
      <c r="F988" s="7">
        <v>1.0</v>
      </c>
      <c r="G988" s="7" t="s">
        <v>63</v>
      </c>
      <c r="H988" s="7">
        <v>2.0</v>
      </c>
      <c r="I988" s="7">
        <v>7.0</v>
      </c>
      <c r="J988" s="7">
        <v>4.0</v>
      </c>
      <c r="K988" s="7" t="s">
        <v>28</v>
      </c>
      <c r="L988" s="9" t="str">
        <f>VLOOKUP(K988, 'Alphabetical by species code'!A:B, 2, FALSE)</f>
        <v>Litter</v>
      </c>
    </row>
    <row r="989">
      <c r="A989" s="7">
        <v>11.0</v>
      </c>
      <c r="B989" s="7">
        <v>2025.0</v>
      </c>
      <c r="C989" s="8">
        <v>45790.0</v>
      </c>
      <c r="D989" s="7" t="s">
        <v>83</v>
      </c>
      <c r="E989" s="7" t="s">
        <v>75</v>
      </c>
      <c r="F989" s="7">
        <v>1.0</v>
      </c>
      <c r="G989" s="7" t="s">
        <v>63</v>
      </c>
      <c r="H989" s="7">
        <v>2.0</v>
      </c>
      <c r="I989" s="7">
        <v>7.0</v>
      </c>
      <c r="J989" s="7">
        <v>4.0</v>
      </c>
      <c r="K989" s="7" t="s">
        <v>36</v>
      </c>
      <c r="L989" s="9" t="str">
        <f>VLOOKUP(K989, 'Alphabetical by species code'!A:B, 2, FALSE)</f>
        <v>Bromus madritensis</v>
      </c>
    </row>
    <row r="990">
      <c r="A990" s="7">
        <v>11.0</v>
      </c>
      <c r="B990" s="7">
        <v>2025.0</v>
      </c>
      <c r="C990" s="8">
        <v>45790.0</v>
      </c>
      <c r="D990" s="7" t="s">
        <v>83</v>
      </c>
      <c r="E990" s="7" t="s">
        <v>75</v>
      </c>
      <c r="F990" s="7">
        <v>1.0</v>
      </c>
      <c r="G990" s="7" t="s">
        <v>63</v>
      </c>
      <c r="H990" s="7">
        <v>2.0</v>
      </c>
      <c r="I990" s="7">
        <v>8.0</v>
      </c>
      <c r="J990" s="7">
        <v>5.0</v>
      </c>
      <c r="K990" s="7" t="s">
        <v>28</v>
      </c>
      <c r="L990" s="9" t="str">
        <f>VLOOKUP(K990, 'Alphabetical by species code'!A:B, 2, FALSE)</f>
        <v>Litter</v>
      </c>
    </row>
    <row r="991">
      <c r="A991" s="7">
        <v>11.0</v>
      </c>
      <c r="B991" s="7">
        <v>2025.0</v>
      </c>
      <c r="C991" s="8">
        <v>45790.0</v>
      </c>
      <c r="D991" s="7" t="s">
        <v>83</v>
      </c>
      <c r="E991" s="7" t="s">
        <v>75</v>
      </c>
      <c r="F991" s="7">
        <v>1.0</v>
      </c>
      <c r="G991" s="7" t="s">
        <v>63</v>
      </c>
      <c r="H991" s="7">
        <v>2.0</v>
      </c>
      <c r="I991" s="7">
        <v>8.0</v>
      </c>
      <c r="J991" s="7">
        <v>5.0</v>
      </c>
      <c r="K991" s="7" t="s">
        <v>35</v>
      </c>
      <c r="L991" s="9" t="str">
        <f>VLOOKUP(K991, 'Alphabetical by species code'!A:B, 2, FALSE)</f>
        <v>Deinandra fasciculata</v>
      </c>
    </row>
    <row r="992">
      <c r="A992" s="7">
        <v>11.0</v>
      </c>
      <c r="B992" s="7">
        <v>2025.0</v>
      </c>
      <c r="C992" s="8">
        <v>45790.0</v>
      </c>
      <c r="D992" s="7" t="s">
        <v>83</v>
      </c>
      <c r="E992" s="7" t="s">
        <v>75</v>
      </c>
      <c r="F992" s="7">
        <v>1.0</v>
      </c>
      <c r="G992" s="7" t="s">
        <v>63</v>
      </c>
      <c r="H992" s="7">
        <v>2.0</v>
      </c>
      <c r="I992" s="7">
        <v>8.0</v>
      </c>
      <c r="J992" s="7">
        <v>5.0</v>
      </c>
      <c r="K992" s="7" t="s">
        <v>36</v>
      </c>
      <c r="L992" s="9" t="str">
        <f>VLOOKUP(K992, 'Alphabetical by species code'!A:B, 2, FALSE)</f>
        <v>Bromus madritensis</v>
      </c>
    </row>
    <row r="993">
      <c r="A993" s="7">
        <v>11.0</v>
      </c>
      <c r="B993" s="7">
        <v>2025.0</v>
      </c>
      <c r="C993" s="8">
        <v>45790.0</v>
      </c>
      <c r="D993" s="7" t="s">
        <v>83</v>
      </c>
      <c r="E993" s="7" t="s">
        <v>75</v>
      </c>
      <c r="F993" s="7">
        <v>1.0</v>
      </c>
      <c r="G993" s="7" t="s">
        <v>63</v>
      </c>
      <c r="H993" s="7">
        <v>2.0</v>
      </c>
      <c r="I993" s="7">
        <v>9.0</v>
      </c>
      <c r="J993" s="7">
        <v>7.0</v>
      </c>
      <c r="K993" s="7" t="s">
        <v>28</v>
      </c>
      <c r="L993" s="9" t="str">
        <f>VLOOKUP(K993, 'Alphabetical by species code'!A:B, 2, FALSE)</f>
        <v>Litter</v>
      </c>
    </row>
    <row r="994">
      <c r="A994" s="7">
        <v>11.0</v>
      </c>
      <c r="B994" s="7">
        <v>2025.0</v>
      </c>
      <c r="C994" s="8">
        <v>45790.0</v>
      </c>
      <c r="D994" s="7" t="s">
        <v>83</v>
      </c>
      <c r="E994" s="7" t="s">
        <v>75</v>
      </c>
      <c r="F994" s="7">
        <v>1.0</v>
      </c>
      <c r="G994" s="7" t="s">
        <v>63</v>
      </c>
      <c r="H994" s="7">
        <v>2.0</v>
      </c>
      <c r="I994" s="7">
        <v>9.0</v>
      </c>
      <c r="J994" s="7">
        <v>7.0</v>
      </c>
      <c r="K994" s="7" t="s">
        <v>35</v>
      </c>
      <c r="L994" s="9" t="str">
        <f>VLOOKUP(K994, 'Alphabetical by species code'!A:B, 2, FALSE)</f>
        <v>Deinandra fasciculata</v>
      </c>
    </row>
    <row r="995">
      <c r="A995" s="7">
        <v>11.0</v>
      </c>
      <c r="B995" s="7">
        <v>2025.0</v>
      </c>
      <c r="C995" s="8">
        <v>45790.0</v>
      </c>
      <c r="D995" s="7" t="s">
        <v>83</v>
      </c>
      <c r="E995" s="7" t="s">
        <v>75</v>
      </c>
      <c r="F995" s="7">
        <v>1.0</v>
      </c>
      <c r="G995" s="7" t="s">
        <v>63</v>
      </c>
      <c r="H995" s="7">
        <v>2.0</v>
      </c>
      <c r="I995" s="7">
        <v>9.0</v>
      </c>
      <c r="J995" s="7">
        <v>7.0</v>
      </c>
      <c r="K995" s="7" t="s">
        <v>47</v>
      </c>
      <c r="L995" s="9" t="str">
        <f>VLOOKUP(K995, 'Alphabetical by species code'!A:B, 2, FALSE)</f>
        <v>Sonchus species</v>
      </c>
    </row>
    <row r="996">
      <c r="A996" s="7">
        <v>11.0</v>
      </c>
      <c r="B996" s="7">
        <v>2025.0</v>
      </c>
      <c r="C996" s="8">
        <v>45790.0</v>
      </c>
      <c r="D996" s="7" t="s">
        <v>83</v>
      </c>
      <c r="E996" s="7" t="s">
        <v>75</v>
      </c>
      <c r="F996" s="7">
        <v>1.0</v>
      </c>
      <c r="G996" s="7" t="s">
        <v>63</v>
      </c>
      <c r="H996" s="7">
        <v>2.0</v>
      </c>
      <c r="I996" s="7">
        <v>9.0</v>
      </c>
      <c r="J996" s="7">
        <v>7.0</v>
      </c>
      <c r="K996" s="7" t="s">
        <v>84</v>
      </c>
      <c r="L996" s="9" t="str">
        <f>VLOOKUP(K996, 'Alphabetical by species code'!A:B, 2, FALSE)</f>
        <v>Bromus diandrus</v>
      </c>
    </row>
    <row r="997">
      <c r="A997" s="7">
        <v>11.0</v>
      </c>
      <c r="B997" s="7">
        <v>2025.0</v>
      </c>
      <c r="C997" s="8">
        <v>45790.0</v>
      </c>
      <c r="D997" s="7" t="s">
        <v>83</v>
      </c>
      <c r="E997" s="7" t="s">
        <v>75</v>
      </c>
      <c r="F997" s="7">
        <v>1.0</v>
      </c>
      <c r="G997" s="7" t="s">
        <v>63</v>
      </c>
      <c r="H997" s="7">
        <v>2.0</v>
      </c>
      <c r="I997" s="7">
        <v>10.0</v>
      </c>
      <c r="J997" s="7">
        <v>8.0</v>
      </c>
      <c r="K997" s="7" t="s">
        <v>28</v>
      </c>
      <c r="L997" s="9" t="str">
        <f>VLOOKUP(K997, 'Alphabetical by species code'!A:B, 2, FALSE)</f>
        <v>Litter</v>
      </c>
    </row>
    <row r="998">
      <c r="A998" s="7">
        <v>11.0</v>
      </c>
      <c r="B998" s="7">
        <v>2025.0</v>
      </c>
      <c r="C998" s="8">
        <v>45790.0</v>
      </c>
      <c r="D998" s="7" t="s">
        <v>83</v>
      </c>
      <c r="E998" s="7" t="s">
        <v>75</v>
      </c>
      <c r="F998" s="7">
        <v>1.0</v>
      </c>
      <c r="G998" s="7" t="s">
        <v>63</v>
      </c>
      <c r="H998" s="7">
        <v>2.0</v>
      </c>
      <c r="I998" s="7">
        <v>10.0</v>
      </c>
      <c r="J998" s="7">
        <v>8.0</v>
      </c>
      <c r="K998" s="7" t="s">
        <v>35</v>
      </c>
      <c r="L998" s="9" t="str">
        <f>VLOOKUP(K998, 'Alphabetical by species code'!A:B, 2, FALSE)</f>
        <v>Deinandra fasciculata</v>
      </c>
    </row>
    <row r="999">
      <c r="A999" s="7">
        <v>11.0</v>
      </c>
      <c r="B999" s="7">
        <v>2025.0</v>
      </c>
      <c r="C999" s="8">
        <v>45790.0</v>
      </c>
      <c r="D999" s="7" t="s">
        <v>83</v>
      </c>
      <c r="E999" s="7" t="s">
        <v>75</v>
      </c>
      <c r="F999" s="7">
        <v>1.0</v>
      </c>
      <c r="G999" s="7" t="s">
        <v>63</v>
      </c>
      <c r="H999" s="7">
        <v>2.0</v>
      </c>
      <c r="I999" s="7">
        <v>10.0</v>
      </c>
      <c r="J999" s="7">
        <v>8.0</v>
      </c>
      <c r="K999" s="7" t="s">
        <v>31</v>
      </c>
      <c r="L999" s="9" t="str">
        <f>VLOOKUP(K999, 'Alphabetical by species code'!A:B, 2, FALSE)</f>
        <v>Festuca myuros</v>
      </c>
    </row>
    <row r="1000">
      <c r="A1000" s="7">
        <v>11.0</v>
      </c>
      <c r="B1000" s="7">
        <v>2025.0</v>
      </c>
      <c r="C1000" s="8">
        <v>45790.0</v>
      </c>
      <c r="D1000" s="7" t="s">
        <v>83</v>
      </c>
      <c r="E1000" s="7" t="s">
        <v>75</v>
      </c>
      <c r="F1000" s="7">
        <v>1.0</v>
      </c>
      <c r="G1000" s="7" t="s">
        <v>63</v>
      </c>
      <c r="H1000" s="7">
        <v>2.0</v>
      </c>
      <c r="I1000" s="7">
        <v>11.0</v>
      </c>
      <c r="J1000" s="7">
        <v>8.5</v>
      </c>
      <c r="K1000" s="7" t="s">
        <v>28</v>
      </c>
      <c r="L1000" s="9" t="str">
        <f>VLOOKUP(K1000, 'Alphabetical by species code'!A:B, 2, FALSE)</f>
        <v>Litter</v>
      </c>
    </row>
    <row r="1001">
      <c r="A1001" s="7">
        <v>11.0</v>
      </c>
      <c r="B1001" s="7">
        <v>2025.0</v>
      </c>
      <c r="C1001" s="8">
        <v>45790.0</v>
      </c>
      <c r="D1001" s="7" t="s">
        <v>83</v>
      </c>
      <c r="E1001" s="7" t="s">
        <v>75</v>
      </c>
      <c r="F1001" s="7">
        <v>1.0</v>
      </c>
      <c r="G1001" s="7" t="s">
        <v>63</v>
      </c>
      <c r="H1001" s="7">
        <v>2.0</v>
      </c>
      <c r="I1001" s="7">
        <v>11.0</v>
      </c>
      <c r="J1001" s="7">
        <v>8.5</v>
      </c>
      <c r="K1001" s="7" t="s">
        <v>64</v>
      </c>
      <c r="L1001" s="9" t="str">
        <f>VLOOKUP(K1001, 'Alphabetical by species code'!A:B, 2, FALSE)</f>
        <v>Brassica nigra</v>
      </c>
    </row>
    <row r="1002">
      <c r="A1002" s="7">
        <v>11.0</v>
      </c>
      <c r="B1002" s="7">
        <v>2025.0</v>
      </c>
      <c r="C1002" s="8">
        <v>45790.0</v>
      </c>
      <c r="D1002" s="7" t="s">
        <v>83</v>
      </c>
      <c r="E1002" s="7" t="s">
        <v>75</v>
      </c>
      <c r="F1002" s="7">
        <v>1.0</v>
      </c>
      <c r="G1002" s="7" t="s">
        <v>63</v>
      </c>
      <c r="H1002" s="7">
        <v>2.0</v>
      </c>
      <c r="I1002" s="7">
        <v>11.0</v>
      </c>
      <c r="J1002" s="7">
        <v>8.5</v>
      </c>
      <c r="K1002" s="7" t="s">
        <v>35</v>
      </c>
      <c r="L1002" s="9" t="str">
        <f>VLOOKUP(K1002, 'Alphabetical by species code'!A:B, 2, FALSE)</f>
        <v>Deinandra fasciculata</v>
      </c>
    </row>
    <row r="1003">
      <c r="A1003" s="7">
        <v>11.0</v>
      </c>
      <c r="B1003" s="7">
        <v>2025.0</v>
      </c>
      <c r="C1003" s="8">
        <v>45790.0</v>
      </c>
      <c r="D1003" s="7" t="s">
        <v>83</v>
      </c>
      <c r="E1003" s="7" t="s">
        <v>75</v>
      </c>
      <c r="F1003" s="7">
        <v>1.0</v>
      </c>
      <c r="G1003" s="7" t="s">
        <v>63</v>
      </c>
      <c r="H1003" s="7">
        <v>2.0</v>
      </c>
      <c r="I1003" s="7">
        <v>12.0</v>
      </c>
      <c r="J1003" s="7">
        <v>9.0</v>
      </c>
      <c r="K1003" s="7" t="s">
        <v>28</v>
      </c>
      <c r="L1003" s="9" t="str">
        <f>VLOOKUP(K1003, 'Alphabetical by species code'!A:B, 2, FALSE)</f>
        <v>Litter</v>
      </c>
    </row>
    <row r="1004">
      <c r="A1004" s="7">
        <v>11.0</v>
      </c>
      <c r="B1004" s="7">
        <v>2025.0</v>
      </c>
      <c r="C1004" s="8">
        <v>45790.0</v>
      </c>
      <c r="D1004" s="7" t="s">
        <v>83</v>
      </c>
      <c r="E1004" s="7" t="s">
        <v>75</v>
      </c>
      <c r="F1004" s="7">
        <v>1.0</v>
      </c>
      <c r="G1004" s="7" t="s">
        <v>63</v>
      </c>
      <c r="H1004" s="7">
        <v>2.0</v>
      </c>
      <c r="I1004" s="7">
        <v>12.0</v>
      </c>
      <c r="J1004" s="7">
        <v>9.0</v>
      </c>
      <c r="K1004" s="7" t="s">
        <v>35</v>
      </c>
      <c r="L1004" s="9" t="str">
        <f>VLOOKUP(K1004, 'Alphabetical by species code'!A:B, 2, FALSE)</f>
        <v>Deinandra fasciculata</v>
      </c>
    </row>
    <row r="1005">
      <c r="A1005" s="7">
        <v>11.0</v>
      </c>
      <c r="B1005" s="7">
        <v>2025.0</v>
      </c>
      <c r="C1005" s="8">
        <v>45790.0</v>
      </c>
      <c r="D1005" s="7" t="s">
        <v>83</v>
      </c>
      <c r="E1005" s="7" t="s">
        <v>75</v>
      </c>
      <c r="F1005" s="7">
        <v>1.0</v>
      </c>
      <c r="G1005" s="7" t="s">
        <v>63</v>
      </c>
      <c r="H1005" s="7">
        <v>2.0</v>
      </c>
      <c r="I1005" s="7">
        <v>12.0</v>
      </c>
      <c r="J1005" s="7">
        <v>9.0</v>
      </c>
      <c r="K1005" s="7" t="s">
        <v>47</v>
      </c>
      <c r="L1005" s="9" t="str">
        <f>VLOOKUP(K1005, 'Alphabetical by species code'!A:B, 2, FALSE)</f>
        <v>Sonchus species</v>
      </c>
    </row>
    <row r="1006">
      <c r="A1006" s="7">
        <v>11.0</v>
      </c>
      <c r="B1006" s="7">
        <v>2025.0</v>
      </c>
      <c r="C1006" s="8">
        <v>45790.0</v>
      </c>
      <c r="D1006" s="7" t="s">
        <v>83</v>
      </c>
      <c r="E1006" s="7" t="s">
        <v>75</v>
      </c>
      <c r="F1006" s="7">
        <v>1.0</v>
      </c>
      <c r="G1006" s="7" t="s">
        <v>63</v>
      </c>
      <c r="H1006" s="7">
        <v>2.0</v>
      </c>
      <c r="I1006" s="7">
        <v>13.0</v>
      </c>
      <c r="J1006" s="7">
        <v>10.0</v>
      </c>
      <c r="K1006" s="7" t="s">
        <v>28</v>
      </c>
      <c r="L1006" s="9" t="str">
        <f>VLOOKUP(K1006, 'Alphabetical by species code'!A:B, 2, FALSE)</f>
        <v>Litter</v>
      </c>
    </row>
    <row r="1007">
      <c r="A1007" s="7">
        <v>11.0</v>
      </c>
      <c r="B1007" s="7">
        <v>2025.0</v>
      </c>
      <c r="C1007" s="8">
        <v>45790.0</v>
      </c>
      <c r="D1007" s="7" t="s">
        <v>83</v>
      </c>
      <c r="E1007" s="7" t="s">
        <v>75</v>
      </c>
      <c r="F1007" s="7">
        <v>1.0</v>
      </c>
      <c r="G1007" s="7" t="s">
        <v>63</v>
      </c>
      <c r="H1007" s="7">
        <v>2.0</v>
      </c>
      <c r="I1007" s="7">
        <v>13.0</v>
      </c>
      <c r="J1007" s="7">
        <v>10.0</v>
      </c>
      <c r="K1007" s="7" t="s">
        <v>64</v>
      </c>
      <c r="L1007" s="9" t="str">
        <f>VLOOKUP(K1007, 'Alphabetical by species code'!A:B, 2, FALSE)</f>
        <v>Brassica nigra</v>
      </c>
    </row>
    <row r="1008">
      <c r="A1008" s="7">
        <v>11.0</v>
      </c>
      <c r="B1008" s="7">
        <v>2025.0</v>
      </c>
      <c r="C1008" s="8">
        <v>45790.0</v>
      </c>
      <c r="D1008" s="7" t="s">
        <v>83</v>
      </c>
      <c r="E1008" s="7" t="s">
        <v>75</v>
      </c>
      <c r="F1008" s="7">
        <v>1.0</v>
      </c>
      <c r="G1008" s="7" t="s">
        <v>63</v>
      </c>
      <c r="H1008" s="7">
        <v>2.0</v>
      </c>
      <c r="I1008" s="7">
        <v>14.0</v>
      </c>
      <c r="J1008" s="7">
        <v>11.0</v>
      </c>
      <c r="K1008" s="7" t="s">
        <v>28</v>
      </c>
      <c r="L1008" s="9" t="str">
        <f>VLOOKUP(K1008, 'Alphabetical by species code'!A:B, 2, FALSE)</f>
        <v>Litter</v>
      </c>
    </row>
    <row r="1009">
      <c r="A1009" s="7">
        <v>11.0</v>
      </c>
      <c r="B1009" s="7">
        <v>2025.0</v>
      </c>
      <c r="C1009" s="8">
        <v>45790.0</v>
      </c>
      <c r="D1009" s="7" t="s">
        <v>83</v>
      </c>
      <c r="E1009" s="7" t="s">
        <v>75</v>
      </c>
      <c r="F1009" s="7">
        <v>1.0</v>
      </c>
      <c r="G1009" s="7" t="s">
        <v>63</v>
      </c>
      <c r="H1009" s="7">
        <v>2.0</v>
      </c>
      <c r="I1009" s="7">
        <v>14.0</v>
      </c>
      <c r="J1009" s="7">
        <v>11.0</v>
      </c>
      <c r="K1009" s="7" t="s">
        <v>64</v>
      </c>
      <c r="L1009" s="9" t="str">
        <f>VLOOKUP(K1009, 'Alphabetical by species code'!A:B, 2, FALSE)</f>
        <v>Brassica nigra</v>
      </c>
    </row>
    <row r="1010">
      <c r="A1010" s="7">
        <v>11.0</v>
      </c>
      <c r="B1010" s="7">
        <v>2025.0</v>
      </c>
      <c r="C1010" s="8">
        <v>45790.0</v>
      </c>
      <c r="D1010" s="7" t="s">
        <v>83</v>
      </c>
      <c r="E1010" s="7" t="s">
        <v>75</v>
      </c>
      <c r="F1010" s="7">
        <v>1.0</v>
      </c>
      <c r="G1010" s="7" t="s">
        <v>63</v>
      </c>
      <c r="H1010" s="7">
        <v>2.0</v>
      </c>
      <c r="I1010" s="7">
        <v>14.0</v>
      </c>
      <c r="J1010" s="7">
        <v>11.0</v>
      </c>
      <c r="K1010" s="7" t="s">
        <v>35</v>
      </c>
      <c r="L1010" s="9" t="str">
        <f>VLOOKUP(K1010, 'Alphabetical by species code'!A:B, 2, FALSE)</f>
        <v>Deinandra fasciculata</v>
      </c>
    </row>
    <row r="1011">
      <c r="A1011" s="7">
        <v>11.0</v>
      </c>
      <c r="B1011" s="7">
        <v>2025.0</v>
      </c>
      <c r="C1011" s="8">
        <v>45790.0</v>
      </c>
      <c r="D1011" s="7" t="s">
        <v>83</v>
      </c>
      <c r="E1011" s="7" t="s">
        <v>75</v>
      </c>
      <c r="F1011" s="7">
        <v>1.0</v>
      </c>
      <c r="G1011" s="7" t="s">
        <v>63</v>
      </c>
      <c r="H1011" s="7">
        <v>2.0</v>
      </c>
      <c r="I1011" s="7">
        <v>15.0</v>
      </c>
      <c r="J1011" s="7">
        <v>12.0</v>
      </c>
      <c r="K1011" s="7" t="s">
        <v>28</v>
      </c>
      <c r="L1011" s="9" t="str">
        <f>VLOOKUP(K1011, 'Alphabetical by species code'!A:B, 2, FALSE)</f>
        <v>Litter</v>
      </c>
    </row>
    <row r="1012">
      <c r="A1012" s="7">
        <v>11.0</v>
      </c>
      <c r="B1012" s="7">
        <v>2025.0</v>
      </c>
      <c r="C1012" s="8">
        <v>45790.0</v>
      </c>
      <c r="D1012" s="7" t="s">
        <v>83</v>
      </c>
      <c r="E1012" s="7" t="s">
        <v>75</v>
      </c>
      <c r="F1012" s="7">
        <v>1.0</v>
      </c>
      <c r="G1012" s="7" t="s">
        <v>63</v>
      </c>
      <c r="H1012" s="7">
        <v>2.0</v>
      </c>
      <c r="I1012" s="7">
        <v>15.0</v>
      </c>
      <c r="J1012" s="7">
        <v>12.0</v>
      </c>
      <c r="K1012" s="7" t="s">
        <v>35</v>
      </c>
      <c r="L1012" s="9" t="str">
        <f>VLOOKUP(K1012, 'Alphabetical by species code'!A:B, 2, FALSE)</f>
        <v>Deinandra fasciculata</v>
      </c>
    </row>
    <row r="1013">
      <c r="A1013" s="7">
        <v>12.0</v>
      </c>
      <c r="B1013" s="7">
        <v>2025.0</v>
      </c>
      <c r="C1013" s="8">
        <v>45790.0</v>
      </c>
      <c r="D1013" s="7" t="s">
        <v>92</v>
      </c>
      <c r="E1013" s="7" t="s">
        <v>75</v>
      </c>
      <c r="F1013" s="7">
        <v>1.0</v>
      </c>
      <c r="G1013" s="7" t="s">
        <v>66</v>
      </c>
      <c r="H1013" s="7">
        <v>1.0</v>
      </c>
      <c r="I1013" s="7">
        <v>1.0</v>
      </c>
      <c r="J1013" s="7">
        <v>0.0</v>
      </c>
      <c r="K1013" s="7" t="s">
        <v>28</v>
      </c>
      <c r="L1013" s="9" t="str">
        <f>VLOOKUP(K1013, 'Alphabetical by species code'!A:B, 2, FALSE)</f>
        <v>Litter</v>
      </c>
    </row>
    <row r="1014">
      <c r="A1014" s="7">
        <v>12.0</v>
      </c>
      <c r="B1014" s="7">
        <v>2025.0</v>
      </c>
      <c r="C1014" s="8">
        <v>45790.0</v>
      </c>
      <c r="D1014" s="7" t="s">
        <v>92</v>
      </c>
      <c r="E1014" s="7" t="s">
        <v>75</v>
      </c>
      <c r="F1014" s="7">
        <v>1.0</v>
      </c>
      <c r="G1014" s="7" t="s">
        <v>66</v>
      </c>
      <c r="H1014" s="7">
        <v>1.0</v>
      </c>
      <c r="I1014" s="7">
        <v>1.0</v>
      </c>
      <c r="J1014" s="7">
        <v>0.0</v>
      </c>
      <c r="K1014" s="7" t="s">
        <v>64</v>
      </c>
      <c r="L1014" s="9" t="str">
        <f>VLOOKUP(K1014, 'Alphabetical by species code'!A:B, 2, FALSE)</f>
        <v>Brassica nigra</v>
      </c>
    </row>
    <row r="1015">
      <c r="A1015" s="7">
        <v>12.0</v>
      </c>
      <c r="B1015" s="7">
        <v>2025.0</v>
      </c>
      <c r="C1015" s="8">
        <v>45790.0</v>
      </c>
      <c r="D1015" s="7" t="s">
        <v>92</v>
      </c>
      <c r="E1015" s="7" t="s">
        <v>75</v>
      </c>
      <c r="F1015" s="7">
        <v>1.0</v>
      </c>
      <c r="G1015" s="7" t="s">
        <v>66</v>
      </c>
      <c r="H1015" s="7">
        <v>1.0</v>
      </c>
      <c r="I1015" s="7">
        <v>2.0</v>
      </c>
      <c r="J1015" s="7">
        <v>1.0</v>
      </c>
      <c r="K1015" s="7" t="s">
        <v>28</v>
      </c>
      <c r="L1015" s="9" t="str">
        <f>VLOOKUP(K1015, 'Alphabetical by species code'!A:B, 2, FALSE)</f>
        <v>Litter</v>
      </c>
    </row>
    <row r="1016">
      <c r="A1016" s="7">
        <v>12.0</v>
      </c>
      <c r="B1016" s="7">
        <v>2025.0</v>
      </c>
      <c r="C1016" s="8">
        <v>45790.0</v>
      </c>
      <c r="D1016" s="7" t="s">
        <v>92</v>
      </c>
      <c r="E1016" s="7" t="s">
        <v>75</v>
      </c>
      <c r="F1016" s="7">
        <v>1.0</v>
      </c>
      <c r="G1016" s="7" t="s">
        <v>66</v>
      </c>
      <c r="H1016" s="7">
        <v>1.0</v>
      </c>
      <c r="I1016" s="7">
        <v>2.0</v>
      </c>
      <c r="J1016" s="7">
        <v>1.0</v>
      </c>
      <c r="K1016" s="7" t="s">
        <v>34</v>
      </c>
      <c r="L1016" s="9" t="str">
        <f>VLOOKUP(K1016, 'Alphabetical by species code'!A:B, 2, FALSE)</f>
        <v>Erodium cicutarium</v>
      </c>
    </row>
    <row r="1017">
      <c r="A1017" s="7">
        <v>12.0</v>
      </c>
      <c r="B1017" s="7">
        <v>2025.0</v>
      </c>
      <c r="C1017" s="8">
        <v>45790.0</v>
      </c>
      <c r="D1017" s="7" t="s">
        <v>92</v>
      </c>
      <c r="E1017" s="7" t="s">
        <v>75</v>
      </c>
      <c r="F1017" s="7">
        <v>1.0</v>
      </c>
      <c r="G1017" s="7" t="s">
        <v>66</v>
      </c>
      <c r="H1017" s="7">
        <v>1.0</v>
      </c>
      <c r="I1017" s="7">
        <v>3.0</v>
      </c>
      <c r="J1017" s="7">
        <v>1.5</v>
      </c>
      <c r="K1017" s="7" t="s">
        <v>28</v>
      </c>
      <c r="L1017" s="9" t="str">
        <f>VLOOKUP(K1017, 'Alphabetical by species code'!A:B, 2, FALSE)</f>
        <v>Litter</v>
      </c>
    </row>
    <row r="1018">
      <c r="A1018" s="7">
        <v>12.0</v>
      </c>
      <c r="B1018" s="7">
        <v>2025.0</v>
      </c>
      <c r="C1018" s="8">
        <v>45790.0</v>
      </c>
      <c r="D1018" s="7" t="s">
        <v>92</v>
      </c>
      <c r="E1018" s="7" t="s">
        <v>75</v>
      </c>
      <c r="F1018" s="7">
        <v>1.0</v>
      </c>
      <c r="G1018" s="7" t="s">
        <v>66</v>
      </c>
      <c r="H1018" s="7">
        <v>1.0</v>
      </c>
      <c r="I1018" s="7">
        <v>4.0</v>
      </c>
      <c r="J1018" s="7">
        <v>2.0</v>
      </c>
      <c r="K1018" s="7" t="s">
        <v>28</v>
      </c>
      <c r="L1018" s="9" t="str">
        <f>VLOOKUP(K1018, 'Alphabetical by species code'!A:B, 2, FALSE)</f>
        <v>Litter</v>
      </c>
    </row>
    <row r="1019">
      <c r="A1019" s="7">
        <v>12.0</v>
      </c>
      <c r="B1019" s="7">
        <v>2025.0</v>
      </c>
      <c r="C1019" s="8">
        <v>45790.0</v>
      </c>
      <c r="D1019" s="7" t="s">
        <v>92</v>
      </c>
      <c r="E1019" s="7" t="s">
        <v>75</v>
      </c>
      <c r="F1019" s="7">
        <v>1.0</v>
      </c>
      <c r="G1019" s="7" t="s">
        <v>66</v>
      </c>
      <c r="H1019" s="7">
        <v>1.0</v>
      </c>
      <c r="I1019" s="7">
        <v>4.0</v>
      </c>
      <c r="J1019" s="7">
        <v>2.0</v>
      </c>
      <c r="K1019" s="7" t="s">
        <v>35</v>
      </c>
      <c r="L1019" s="9" t="str">
        <f>VLOOKUP(K1019, 'Alphabetical by species code'!A:B, 2, FALSE)</f>
        <v>Deinandra fasciculata</v>
      </c>
    </row>
    <row r="1020">
      <c r="A1020" s="7">
        <v>12.0</v>
      </c>
      <c r="B1020" s="7">
        <v>2025.0</v>
      </c>
      <c r="C1020" s="8">
        <v>45790.0</v>
      </c>
      <c r="D1020" s="7" t="s">
        <v>92</v>
      </c>
      <c r="E1020" s="7" t="s">
        <v>75</v>
      </c>
      <c r="F1020" s="7">
        <v>1.0</v>
      </c>
      <c r="G1020" s="7" t="s">
        <v>66</v>
      </c>
      <c r="H1020" s="7">
        <v>1.0</v>
      </c>
      <c r="I1020" s="7">
        <v>5.0</v>
      </c>
      <c r="J1020" s="7">
        <v>3.0</v>
      </c>
      <c r="K1020" s="7" t="s">
        <v>28</v>
      </c>
      <c r="L1020" s="9" t="str">
        <f>VLOOKUP(K1020, 'Alphabetical by species code'!A:B, 2, FALSE)</f>
        <v>Litter</v>
      </c>
    </row>
    <row r="1021">
      <c r="A1021" s="7">
        <v>12.0</v>
      </c>
      <c r="B1021" s="7">
        <v>2025.0</v>
      </c>
      <c r="C1021" s="8">
        <v>45790.0</v>
      </c>
      <c r="D1021" s="7" t="s">
        <v>92</v>
      </c>
      <c r="E1021" s="7" t="s">
        <v>75</v>
      </c>
      <c r="F1021" s="7">
        <v>1.0</v>
      </c>
      <c r="G1021" s="7" t="s">
        <v>66</v>
      </c>
      <c r="H1021" s="7">
        <v>1.0</v>
      </c>
      <c r="I1021" s="7">
        <v>5.0</v>
      </c>
      <c r="J1021" s="7">
        <v>3.0</v>
      </c>
      <c r="K1021" s="7" t="s">
        <v>35</v>
      </c>
      <c r="L1021" s="9" t="str">
        <f>VLOOKUP(K1021, 'Alphabetical by species code'!A:B, 2, FALSE)</f>
        <v>Deinandra fasciculata</v>
      </c>
    </row>
    <row r="1022">
      <c r="A1022" s="7">
        <v>12.0</v>
      </c>
      <c r="B1022" s="7">
        <v>2025.0</v>
      </c>
      <c r="C1022" s="8">
        <v>45790.0</v>
      </c>
      <c r="D1022" s="7" t="s">
        <v>92</v>
      </c>
      <c r="E1022" s="7" t="s">
        <v>75</v>
      </c>
      <c r="F1022" s="7">
        <v>1.0</v>
      </c>
      <c r="G1022" s="7" t="s">
        <v>66</v>
      </c>
      <c r="H1022" s="7">
        <v>1.0</v>
      </c>
      <c r="I1022" s="7">
        <v>6.0</v>
      </c>
      <c r="J1022" s="7">
        <v>3.5</v>
      </c>
      <c r="K1022" s="7" t="s">
        <v>28</v>
      </c>
      <c r="L1022" s="9" t="str">
        <f>VLOOKUP(K1022, 'Alphabetical by species code'!A:B, 2, FALSE)</f>
        <v>Litter</v>
      </c>
    </row>
    <row r="1023">
      <c r="A1023" s="7">
        <v>12.0</v>
      </c>
      <c r="B1023" s="7">
        <v>2025.0</v>
      </c>
      <c r="C1023" s="8">
        <v>45790.0</v>
      </c>
      <c r="D1023" s="7" t="s">
        <v>92</v>
      </c>
      <c r="E1023" s="7" t="s">
        <v>75</v>
      </c>
      <c r="F1023" s="7">
        <v>1.0</v>
      </c>
      <c r="G1023" s="7" t="s">
        <v>66</v>
      </c>
      <c r="H1023" s="7">
        <v>1.0</v>
      </c>
      <c r="I1023" s="7">
        <v>6.0</v>
      </c>
      <c r="J1023" s="7">
        <v>3.5</v>
      </c>
      <c r="K1023" s="7" t="s">
        <v>64</v>
      </c>
      <c r="L1023" s="9" t="str">
        <f>VLOOKUP(K1023, 'Alphabetical by species code'!A:B, 2, FALSE)</f>
        <v>Brassica nigra</v>
      </c>
    </row>
    <row r="1024">
      <c r="A1024" s="7">
        <v>12.0</v>
      </c>
      <c r="B1024" s="7">
        <v>2025.0</v>
      </c>
      <c r="C1024" s="8">
        <v>45790.0</v>
      </c>
      <c r="D1024" s="7" t="s">
        <v>92</v>
      </c>
      <c r="E1024" s="7" t="s">
        <v>75</v>
      </c>
      <c r="F1024" s="7">
        <v>1.0</v>
      </c>
      <c r="G1024" s="7" t="s">
        <v>66</v>
      </c>
      <c r="H1024" s="7">
        <v>1.0</v>
      </c>
      <c r="I1024" s="7">
        <v>7.0</v>
      </c>
      <c r="J1024" s="7">
        <v>4.0</v>
      </c>
      <c r="K1024" s="7" t="s">
        <v>28</v>
      </c>
      <c r="L1024" s="9" t="str">
        <f>VLOOKUP(K1024, 'Alphabetical by species code'!A:B, 2, FALSE)</f>
        <v>Litter</v>
      </c>
    </row>
    <row r="1025">
      <c r="A1025" s="7">
        <v>12.0</v>
      </c>
      <c r="B1025" s="7">
        <v>2025.0</v>
      </c>
      <c r="C1025" s="8">
        <v>45790.0</v>
      </c>
      <c r="D1025" s="7" t="s">
        <v>92</v>
      </c>
      <c r="E1025" s="7" t="s">
        <v>75</v>
      </c>
      <c r="F1025" s="7">
        <v>1.0</v>
      </c>
      <c r="G1025" s="7" t="s">
        <v>66</v>
      </c>
      <c r="H1025" s="7">
        <v>1.0</v>
      </c>
      <c r="I1025" s="7">
        <v>7.0</v>
      </c>
      <c r="J1025" s="7">
        <v>4.0</v>
      </c>
      <c r="K1025" s="7" t="s">
        <v>35</v>
      </c>
      <c r="L1025" s="9" t="str">
        <f>VLOOKUP(K1025, 'Alphabetical by species code'!A:B, 2, FALSE)</f>
        <v>Deinandra fasciculata</v>
      </c>
    </row>
    <row r="1026">
      <c r="A1026" s="7">
        <v>12.0</v>
      </c>
      <c r="B1026" s="7">
        <v>2025.0</v>
      </c>
      <c r="C1026" s="8">
        <v>45790.0</v>
      </c>
      <c r="D1026" s="7" t="s">
        <v>92</v>
      </c>
      <c r="E1026" s="7" t="s">
        <v>75</v>
      </c>
      <c r="F1026" s="7">
        <v>1.0</v>
      </c>
      <c r="G1026" s="7" t="s">
        <v>66</v>
      </c>
      <c r="H1026" s="7">
        <v>1.0</v>
      </c>
      <c r="I1026" s="7">
        <v>8.0</v>
      </c>
      <c r="J1026" s="7">
        <v>5.0</v>
      </c>
      <c r="K1026" s="7" t="s">
        <v>28</v>
      </c>
      <c r="L1026" s="9" t="str">
        <f>VLOOKUP(K1026, 'Alphabetical by species code'!A:B, 2, FALSE)</f>
        <v>Litter</v>
      </c>
    </row>
    <row r="1027">
      <c r="A1027" s="7">
        <v>12.0</v>
      </c>
      <c r="B1027" s="7">
        <v>2025.0</v>
      </c>
      <c r="C1027" s="8">
        <v>45790.0</v>
      </c>
      <c r="D1027" s="7" t="s">
        <v>92</v>
      </c>
      <c r="E1027" s="7" t="s">
        <v>75</v>
      </c>
      <c r="F1027" s="7">
        <v>1.0</v>
      </c>
      <c r="G1027" s="7" t="s">
        <v>66</v>
      </c>
      <c r="H1027" s="7">
        <v>1.0</v>
      </c>
      <c r="I1027" s="7">
        <v>8.0</v>
      </c>
      <c r="J1027" s="7">
        <v>5.0</v>
      </c>
      <c r="K1027" s="7" t="s">
        <v>64</v>
      </c>
      <c r="L1027" s="9" t="str">
        <f>VLOOKUP(K1027, 'Alphabetical by species code'!A:B, 2, FALSE)</f>
        <v>Brassica nigra</v>
      </c>
    </row>
    <row r="1028">
      <c r="A1028" s="7">
        <v>12.0</v>
      </c>
      <c r="B1028" s="7">
        <v>2025.0</v>
      </c>
      <c r="C1028" s="8">
        <v>45790.0</v>
      </c>
      <c r="D1028" s="7" t="s">
        <v>92</v>
      </c>
      <c r="E1028" s="7" t="s">
        <v>75</v>
      </c>
      <c r="F1028" s="7">
        <v>1.0</v>
      </c>
      <c r="G1028" s="7" t="s">
        <v>66</v>
      </c>
      <c r="H1028" s="7">
        <v>1.0</v>
      </c>
      <c r="I1028" s="7">
        <v>9.0</v>
      </c>
      <c r="J1028" s="7">
        <v>7.0</v>
      </c>
      <c r="K1028" s="7" t="s">
        <v>28</v>
      </c>
      <c r="L1028" s="9" t="str">
        <f>VLOOKUP(K1028, 'Alphabetical by species code'!A:B, 2, FALSE)</f>
        <v>Litter</v>
      </c>
    </row>
    <row r="1029">
      <c r="A1029" s="7">
        <v>12.0</v>
      </c>
      <c r="B1029" s="7">
        <v>2025.0</v>
      </c>
      <c r="C1029" s="8">
        <v>45790.0</v>
      </c>
      <c r="D1029" s="7" t="s">
        <v>92</v>
      </c>
      <c r="E1029" s="7" t="s">
        <v>75</v>
      </c>
      <c r="F1029" s="7">
        <v>1.0</v>
      </c>
      <c r="G1029" s="7" t="s">
        <v>66</v>
      </c>
      <c r="H1029" s="7">
        <v>1.0</v>
      </c>
      <c r="I1029" s="7">
        <v>9.0</v>
      </c>
      <c r="J1029" s="7">
        <v>7.0</v>
      </c>
      <c r="K1029" s="7" t="s">
        <v>76</v>
      </c>
      <c r="L1029" s="9" t="str">
        <f>VLOOKUP(K1029, 'Alphabetical by species code'!A:B, 2, FALSE)</f>
        <v>Avena fatua</v>
      </c>
    </row>
    <row r="1030">
      <c r="A1030" s="7">
        <v>12.0</v>
      </c>
      <c r="B1030" s="7">
        <v>2025.0</v>
      </c>
      <c r="C1030" s="8">
        <v>45790.0</v>
      </c>
      <c r="D1030" s="7" t="s">
        <v>92</v>
      </c>
      <c r="E1030" s="7" t="s">
        <v>75</v>
      </c>
      <c r="F1030" s="7">
        <v>1.0</v>
      </c>
      <c r="G1030" s="7" t="s">
        <v>66</v>
      </c>
      <c r="H1030" s="7">
        <v>1.0</v>
      </c>
      <c r="I1030" s="7">
        <v>9.0</v>
      </c>
      <c r="J1030" s="7">
        <v>7.0</v>
      </c>
      <c r="K1030" s="7" t="s">
        <v>64</v>
      </c>
      <c r="L1030" s="9" t="str">
        <f>VLOOKUP(K1030, 'Alphabetical by species code'!A:B, 2, FALSE)</f>
        <v>Brassica nigra</v>
      </c>
    </row>
    <row r="1031">
      <c r="A1031" s="7">
        <v>12.0</v>
      </c>
      <c r="B1031" s="7">
        <v>2025.0</v>
      </c>
      <c r="C1031" s="8">
        <v>45790.0</v>
      </c>
      <c r="D1031" s="7" t="s">
        <v>92</v>
      </c>
      <c r="E1031" s="7" t="s">
        <v>75</v>
      </c>
      <c r="F1031" s="7">
        <v>1.0</v>
      </c>
      <c r="G1031" s="7" t="s">
        <v>66</v>
      </c>
      <c r="H1031" s="7">
        <v>1.0</v>
      </c>
      <c r="I1031" s="7">
        <v>10.0</v>
      </c>
      <c r="J1031" s="7">
        <v>8.0</v>
      </c>
      <c r="K1031" s="7" t="s">
        <v>52</v>
      </c>
      <c r="L1031" s="9" t="str">
        <f>VLOOKUP(K1031, 'Alphabetical by species code'!A:B, 2, FALSE)</f>
        <v>Rock</v>
      </c>
    </row>
    <row r="1032">
      <c r="A1032" s="7">
        <v>12.0</v>
      </c>
      <c r="B1032" s="7">
        <v>2025.0</v>
      </c>
      <c r="C1032" s="8">
        <v>45790.0</v>
      </c>
      <c r="D1032" s="7" t="s">
        <v>92</v>
      </c>
      <c r="E1032" s="7" t="s">
        <v>75</v>
      </c>
      <c r="F1032" s="7">
        <v>1.0</v>
      </c>
      <c r="G1032" s="7" t="s">
        <v>66</v>
      </c>
      <c r="H1032" s="7">
        <v>1.0</v>
      </c>
      <c r="I1032" s="7">
        <v>11.0</v>
      </c>
      <c r="J1032" s="7">
        <v>8.5</v>
      </c>
      <c r="K1032" s="7" t="s">
        <v>28</v>
      </c>
      <c r="L1032" s="9" t="str">
        <f>VLOOKUP(K1032, 'Alphabetical by species code'!A:B, 2, FALSE)</f>
        <v>Litter</v>
      </c>
    </row>
    <row r="1033">
      <c r="A1033" s="7">
        <v>12.0</v>
      </c>
      <c r="B1033" s="7">
        <v>2025.0</v>
      </c>
      <c r="C1033" s="8">
        <v>45790.0</v>
      </c>
      <c r="D1033" s="7" t="s">
        <v>92</v>
      </c>
      <c r="E1033" s="7" t="s">
        <v>75</v>
      </c>
      <c r="F1033" s="7">
        <v>1.0</v>
      </c>
      <c r="G1033" s="7" t="s">
        <v>66</v>
      </c>
      <c r="H1033" s="7">
        <v>1.0</v>
      </c>
      <c r="I1033" s="7">
        <v>12.0</v>
      </c>
      <c r="J1033" s="7">
        <v>9.0</v>
      </c>
      <c r="K1033" s="7" t="s">
        <v>52</v>
      </c>
      <c r="L1033" s="9" t="str">
        <f>VLOOKUP(K1033, 'Alphabetical by species code'!A:B, 2, FALSE)</f>
        <v>Rock</v>
      </c>
    </row>
    <row r="1034">
      <c r="A1034" s="7">
        <v>12.0</v>
      </c>
      <c r="B1034" s="7">
        <v>2025.0</v>
      </c>
      <c r="C1034" s="8">
        <v>45790.0</v>
      </c>
      <c r="D1034" s="7" t="s">
        <v>92</v>
      </c>
      <c r="E1034" s="7" t="s">
        <v>75</v>
      </c>
      <c r="F1034" s="7">
        <v>1.0</v>
      </c>
      <c r="G1034" s="7" t="s">
        <v>66</v>
      </c>
      <c r="H1034" s="7">
        <v>1.0</v>
      </c>
      <c r="I1034" s="7">
        <v>13.0</v>
      </c>
      <c r="J1034" s="7">
        <v>10.0</v>
      </c>
      <c r="K1034" s="7" t="s">
        <v>28</v>
      </c>
      <c r="L1034" s="9" t="str">
        <f>VLOOKUP(K1034, 'Alphabetical by species code'!A:B, 2, FALSE)</f>
        <v>Litter</v>
      </c>
    </row>
    <row r="1035">
      <c r="A1035" s="7">
        <v>12.0</v>
      </c>
      <c r="B1035" s="7">
        <v>2025.0</v>
      </c>
      <c r="C1035" s="8">
        <v>45790.0</v>
      </c>
      <c r="D1035" s="7" t="s">
        <v>92</v>
      </c>
      <c r="E1035" s="7" t="s">
        <v>75</v>
      </c>
      <c r="F1035" s="7">
        <v>1.0</v>
      </c>
      <c r="G1035" s="7" t="s">
        <v>66</v>
      </c>
      <c r="H1035" s="7">
        <v>1.0</v>
      </c>
      <c r="I1035" s="7">
        <v>13.0</v>
      </c>
      <c r="J1035" s="7">
        <v>10.0</v>
      </c>
      <c r="K1035" s="7" t="s">
        <v>35</v>
      </c>
      <c r="L1035" s="9" t="str">
        <f>VLOOKUP(K1035, 'Alphabetical by species code'!A:B, 2, FALSE)</f>
        <v>Deinandra fasciculata</v>
      </c>
    </row>
    <row r="1036">
      <c r="A1036" s="7">
        <v>12.0</v>
      </c>
      <c r="B1036" s="7">
        <v>2025.0</v>
      </c>
      <c r="C1036" s="8">
        <v>45790.0</v>
      </c>
      <c r="D1036" s="7" t="s">
        <v>92</v>
      </c>
      <c r="E1036" s="7" t="s">
        <v>75</v>
      </c>
      <c r="F1036" s="7">
        <v>1.0</v>
      </c>
      <c r="G1036" s="7" t="s">
        <v>66</v>
      </c>
      <c r="H1036" s="7">
        <v>1.0</v>
      </c>
      <c r="I1036" s="7">
        <v>14.0</v>
      </c>
      <c r="J1036" s="7">
        <v>11.0</v>
      </c>
      <c r="K1036" s="7" t="s">
        <v>51</v>
      </c>
      <c r="L1036" s="9" t="str">
        <f>VLOOKUP(K1036, 'Alphabetical by species code'!A:B, 2, FALSE)</f>
        <v>Bareground</v>
      </c>
    </row>
    <row r="1037">
      <c r="A1037" s="7">
        <v>12.0</v>
      </c>
      <c r="B1037" s="7">
        <v>2025.0</v>
      </c>
      <c r="C1037" s="8">
        <v>45790.0</v>
      </c>
      <c r="D1037" s="7" t="s">
        <v>92</v>
      </c>
      <c r="E1037" s="7" t="s">
        <v>75</v>
      </c>
      <c r="F1037" s="7">
        <v>1.0</v>
      </c>
      <c r="G1037" s="7" t="s">
        <v>66</v>
      </c>
      <c r="H1037" s="7">
        <v>1.0</v>
      </c>
      <c r="I1037" s="7">
        <v>15.0</v>
      </c>
      <c r="J1037" s="7">
        <v>12.0</v>
      </c>
      <c r="K1037" s="7" t="s">
        <v>28</v>
      </c>
      <c r="L1037" s="9" t="str">
        <f>VLOOKUP(K1037, 'Alphabetical by species code'!A:B, 2, FALSE)</f>
        <v>Litter</v>
      </c>
    </row>
    <row r="1038">
      <c r="A1038" s="7">
        <v>12.0</v>
      </c>
      <c r="B1038" s="7">
        <v>2025.0</v>
      </c>
      <c r="C1038" s="8">
        <v>45790.0</v>
      </c>
      <c r="D1038" s="7" t="s">
        <v>92</v>
      </c>
      <c r="E1038" s="7" t="s">
        <v>75</v>
      </c>
      <c r="F1038" s="7">
        <v>1.0</v>
      </c>
      <c r="G1038" s="7" t="s">
        <v>66</v>
      </c>
      <c r="H1038" s="7">
        <v>1.0</v>
      </c>
      <c r="I1038" s="7">
        <v>15.0</v>
      </c>
      <c r="J1038" s="7">
        <v>12.0</v>
      </c>
      <c r="K1038" s="7" t="s">
        <v>35</v>
      </c>
      <c r="L1038" s="9" t="str">
        <f>VLOOKUP(K1038, 'Alphabetical by species code'!A:B, 2, FALSE)</f>
        <v>Deinandra fasciculata</v>
      </c>
    </row>
    <row r="1039">
      <c r="A1039" s="7">
        <v>12.0</v>
      </c>
      <c r="B1039" s="7">
        <v>2025.0</v>
      </c>
      <c r="C1039" s="8">
        <v>45790.0</v>
      </c>
      <c r="D1039" s="7" t="s">
        <v>92</v>
      </c>
      <c r="E1039" s="7" t="s">
        <v>75</v>
      </c>
      <c r="F1039" s="7">
        <v>1.0</v>
      </c>
      <c r="G1039" s="7" t="s">
        <v>66</v>
      </c>
      <c r="H1039" s="7">
        <v>2.0</v>
      </c>
      <c r="I1039" s="7">
        <v>1.0</v>
      </c>
      <c r="J1039" s="7">
        <v>0.0</v>
      </c>
      <c r="K1039" s="7" t="s">
        <v>28</v>
      </c>
      <c r="L1039" s="9" t="str">
        <f>VLOOKUP(K1039, 'Alphabetical by species code'!A:B, 2, FALSE)</f>
        <v>Litter</v>
      </c>
    </row>
    <row r="1040">
      <c r="A1040" s="7">
        <v>12.0</v>
      </c>
      <c r="B1040" s="7">
        <v>2025.0</v>
      </c>
      <c r="C1040" s="8">
        <v>45790.0</v>
      </c>
      <c r="D1040" s="7" t="s">
        <v>92</v>
      </c>
      <c r="E1040" s="7" t="s">
        <v>75</v>
      </c>
      <c r="F1040" s="7">
        <v>1.0</v>
      </c>
      <c r="G1040" s="7" t="s">
        <v>66</v>
      </c>
      <c r="H1040" s="7">
        <v>2.0</v>
      </c>
      <c r="I1040" s="7">
        <v>2.0</v>
      </c>
      <c r="J1040" s="7">
        <v>1.0</v>
      </c>
      <c r="K1040" s="7" t="s">
        <v>28</v>
      </c>
      <c r="L1040" s="9" t="str">
        <f>VLOOKUP(K1040, 'Alphabetical by species code'!A:B, 2, FALSE)</f>
        <v>Litter</v>
      </c>
    </row>
    <row r="1041">
      <c r="A1041" s="7">
        <v>12.0</v>
      </c>
      <c r="B1041" s="7">
        <v>2025.0</v>
      </c>
      <c r="C1041" s="8">
        <v>45790.0</v>
      </c>
      <c r="D1041" s="7" t="s">
        <v>92</v>
      </c>
      <c r="E1041" s="7" t="s">
        <v>75</v>
      </c>
      <c r="F1041" s="7">
        <v>1.0</v>
      </c>
      <c r="G1041" s="7" t="s">
        <v>66</v>
      </c>
      <c r="H1041" s="7">
        <v>2.0</v>
      </c>
      <c r="I1041" s="7">
        <v>2.0</v>
      </c>
      <c r="J1041" s="7">
        <v>1.0</v>
      </c>
      <c r="K1041" s="7" t="s">
        <v>36</v>
      </c>
      <c r="L1041" s="9" t="str">
        <f>VLOOKUP(K1041, 'Alphabetical by species code'!A:B, 2, FALSE)</f>
        <v>Bromus madritensis</v>
      </c>
    </row>
    <row r="1042">
      <c r="A1042" s="7">
        <v>12.0</v>
      </c>
      <c r="B1042" s="7">
        <v>2025.0</v>
      </c>
      <c r="C1042" s="8">
        <v>45790.0</v>
      </c>
      <c r="D1042" s="7" t="s">
        <v>92</v>
      </c>
      <c r="E1042" s="7" t="s">
        <v>75</v>
      </c>
      <c r="F1042" s="7">
        <v>1.0</v>
      </c>
      <c r="G1042" s="7" t="s">
        <v>66</v>
      </c>
      <c r="H1042" s="7">
        <v>2.0</v>
      </c>
      <c r="I1042" s="7">
        <v>3.0</v>
      </c>
      <c r="J1042" s="7">
        <v>1.5</v>
      </c>
      <c r="K1042" s="7" t="s">
        <v>28</v>
      </c>
      <c r="L1042" s="9" t="str">
        <f>VLOOKUP(K1042, 'Alphabetical by species code'!A:B, 2, FALSE)</f>
        <v>Litter</v>
      </c>
    </row>
    <row r="1043">
      <c r="A1043" s="7">
        <v>12.0</v>
      </c>
      <c r="B1043" s="7">
        <v>2025.0</v>
      </c>
      <c r="C1043" s="8">
        <v>45790.0</v>
      </c>
      <c r="D1043" s="7" t="s">
        <v>92</v>
      </c>
      <c r="E1043" s="7" t="s">
        <v>75</v>
      </c>
      <c r="F1043" s="7">
        <v>1.0</v>
      </c>
      <c r="G1043" s="7" t="s">
        <v>66</v>
      </c>
      <c r="H1043" s="7">
        <v>2.0</v>
      </c>
      <c r="I1043" s="7">
        <v>3.0</v>
      </c>
      <c r="J1043" s="7">
        <v>1.5</v>
      </c>
      <c r="K1043" s="7" t="s">
        <v>64</v>
      </c>
      <c r="L1043" s="9" t="str">
        <f>VLOOKUP(K1043, 'Alphabetical by species code'!A:B, 2, FALSE)</f>
        <v>Brassica nigra</v>
      </c>
    </row>
    <row r="1044">
      <c r="A1044" s="7">
        <v>12.0</v>
      </c>
      <c r="B1044" s="7">
        <v>2025.0</v>
      </c>
      <c r="C1044" s="8">
        <v>45790.0</v>
      </c>
      <c r="D1044" s="7" t="s">
        <v>92</v>
      </c>
      <c r="E1044" s="7" t="s">
        <v>75</v>
      </c>
      <c r="F1044" s="7">
        <v>1.0</v>
      </c>
      <c r="G1044" s="7" t="s">
        <v>66</v>
      </c>
      <c r="H1044" s="7">
        <v>2.0</v>
      </c>
      <c r="I1044" s="7">
        <v>3.0</v>
      </c>
      <c r="J1044" s="7">
        <v>1.5</v>
      </c>
      <c r="K1044" s="7" t="s">
        <v>35</v>
      </c>
      <c r="L1044" s="9" t="str">
        <f>VLOOKUP(K1044, 'Alphabetical by species code'!A:B, 2, FALSE)</f>
        <v>Deinandra fasciculata</v>
      </c>
    </row>
    <row r="1045">
      <c r="A1045" s="7">
        <v>12.0</v>
      </c>
      <c r="B1045" s="7">
        <v>2025.0</v>
      </c>
      <c r="C1045" s="8">
        <v>45790.0</v>
      </c>
      <c r="D1045" s="7" t="s">
        <v>92</v>
      </c>
      <c r="E1045" s="7" t="s">
        <v>75</v>
      </c>
      <c r="F1045" s="7">
        <v>1.0</v>
      </c>
      <c r="G1045" s="7" t="s">
        <v>66</v>
      </c>
      <c r="H1045" s="7">
        <v>2.0</v>
      </c>
      <c r="I1045" s="7">
        <v>4.0</v>
      </c>
      <c r="J1045" s="7">
        <v>2.0</v>
      </c>
      <c r="K1045" s="7" t="s">
        <v>28</v>
      </c>
      <c r="L1045" s="9" t="str">
        <f>VLOOKUP(K1045, 'Alphabetical by species code'!A:B, 2, FALSE)</f>
        <v>Litter</v>
      </c>
    </row>
    <row r="1046">
      <c r="A1046" s="7">
        <v>12.0</v>
      </c>
      <c r="B1046" s="7">
        <v>2025.0</v>
      </c>
      <c r="C1046" s="8">
        <v>45790.0</v>
      </c>
      <c r="D1046" s="7" t="s">
        <v>92</v>
      </c>
      <c r="E1046" s="7" t="s">
        <v>75</v>
      </c>
      <c r="F1046" s="7">
        <v>1.0</v>
      </c>
      <c r="G1046" s="7" t="s">
        <v>66</v>
      </c>
      <c r="H1046" s="7">
        <v>2.0</v>
      </c>
      <c r="I1046" s="7">
        <v>4.0</v>
      </c>
      <c r="J1046" s="7">
        <v>2.0</v>
      </c>
      <c r="K1046" s="7" t="s">
        <v>36</v>
      </c>
      <c r="L1046" s="9" t="str">
        <f>VLOOKUP(K1046, 'Alphabetical by species code'!A:B, 2, FALSE)</f>
        <v>Bromus madritensis</v>
      </c>
    </row>
    <row r="1047">
      <c r="A1047" s="7">
        <v>12.0</v>
      </c>
      <c r="B1047" s="7">
        <v>2025.0</v>
      </c>
      <c r="C1047" s="8">
        <v>45790.0</v>
      </c>
      <c r="D1047" s="7" t="s">
        <v>92</v>
      </c>
      <c r="E1047" s="7" t="s">
        <v>75</v>
      </c>
      <c r="F1047" s="7">
        <v>1.0</v>
      </c>
      <c r="G1047" s="7" t="s">
        <v>66</v>
      </c>
      <c r="H1047" s="7">
        <v>2.0</v>
      </c>
      <c r="I1047" s="7">
        <v>5.0</v>
      </c>
      <c r="J1047" s="7">
        <v>3.0</v>
      </c>
      <c r="K1047" s="7" t="s">
        <v>38</v>
      </c>
      <c r="L1047" s="9" t="str">
        <f>VLOOKUP(K1047, 'Alphabetical by species code'!A:B, 2, FALSE)</f>
        <v>Thatch</v>
      </c>
    </row>
    <row r="1048">
      <c r="A1048" s="7">
        <v>12.0</v>
      </c>
      <c r="B1048" s="7">
        <v>2025.0</v>
      </c>
      <c r="C1048" s="8">
        <v>45790.0</v>
      </c>
      <c r="D1048" s="7" t="s">
        <v>92</v>
      </c>
      <c r="E1048" s="7" t="s">
        <v>75</v>
      </c>
      <c r="F1048" s="7">
        <v>1.0</v>
      </c>
      <c r="G1048" s="7" t="s">
        <v>66</v>
      </c>
      <c r="H1048" s="7">
        <v>2.0</v>
      </c>
      <c r="I1048" s="7">
        <v>5.0</v>
      </c>
      <c r="J1048" s="7">
        <v>3.0</v>
      </c>
      <c r="K1048" s="7" t="s">
        <v>31</v>
      </c>
      <c r="L1048" s="9" t="str">
        <f>VLOOKUP(K1048, 'Alphabetical by species code'!A:B, 2, FALSE)</f>
        <v>Festuca myuros</v>
      </c>
    </row>
    <row r="1049">
      <c r="A1049" s="7">
        <v>12.0</v>
      </c>
      <c r="B1049" s="7">
        <v>2025.0</v>
      </c>
      <c r="C1049" s="8">
        <v>45790.0</v>
      </c>
      <c r="D1049" s="7" t="s">
        <v>92</v>
      </c>
      <c r="E1049" s="7" t="s">
        <v>75</v>
      </c>
      <c r="F1049" s="7">
        <v>1.0</v>
      </c>
      <c r="G1049" s="7" t="s">
        <v>66</v>
      </c>
      <c r="H1049" s="7">
        <v>2.0</v>
      </c>
      <c r="I1049" s="7">
        <v>6.0</v>
      </c>
      <c r="J1049" s="7">
        <v>3.5</v>
      </c>
      <c r="K1049" s="7" t="s">
        <v>38</v>
      </c>
      <c r="L1049" s="9" t="str">
        <f>VLOOKUP(K1049, 'Alphabetical by species code'!A:B, 2, FALSE)</f>
        <v>Thatch</v>
      </c>
    </row>
    <row r="1050">
      <c r="A1050" s="7">
        <v>12.0</v>
      </c>
      <c r="B1050" s="7">
        <v>2025.0</v>
      </c>
      <c r="C1050" s="8">
        <v>45790.0</v>
      </c>
      <c r="D1050" s="7" t="s">
        <v>92</v>
      </c>
      <c r="E1050" s="7" t="s">
        <v>75</v>
      </c>
      <c r="F1050" s="7">
        <v>1.0</v>
      </c>
      <c r="G1050" s="7" t="s">
        <v>66</v>
      </c>
      <c r="H1050" s="7">
        <v>2.0</v>
      </c>
      <c r="I1050" s="7">
        <v>6.0</v>
      </c>
      <c r="J1050" s="7">
        <v>3.5</v>
      </c>
      <c r="K1050" s="7" t="s">
        <v>36</v>
      </c>
      <c r="L1050" s="9" t="str">
        <f>VLOOKUP(K1050, 'Alphabetical by species code'!A:B, 2, FALSE)</f>
        <v>Bromus madritensis</v>
      </c>
    </row>
    <row r="1051">
      <c r="A1051" s="7">
        <v>12.0</v>
      </c>
      <c r="B1051" s="7">
        <v>2025.0</v>
      </c>
      <c r="C1051" s="8">
        <v>45790.0</v>
      </c>
      <c r="D1051" s="7" t="s">
        <v>92</v>
      </c>
      <c r="E1051" s="7" t="s">
        <v>75</v>
      </c>
      <c r="F1051" s="7">
        <v>1.0</v>
      </c>
      <c r="G1051" s="7" t="s">
        <v>66</v>
      </c>
      <c r="H1051" s="7">
        <v>2.0</v>
      </c>
      <c r="I1051" s="7">
        <v>7.0</v>
      </c>
      <c r="J1051" s="7">
        <v>4.0</v>
      </c>
      <c r="K1051" s="7" t="s">
        <v>28</v>
      </c>
      <c r="L1051" s="9" t="str">
        <f>VLOOKUP(K1051, 'Alphabetical by species code'!A:B, 2, FALSE)</f>
        <v>Litter</v>
      </c>
    </row>
    <row r="1052">
      <c r="A1052" s="7">
        <v>12.0</v>
      </c>
      <c r="B1052" s="7">
        <v>2025.0</v>
      </c>
      <c r="C1052" s="8">
        <v>45790.0</v>
      </c>
      <c r="D1052" s="7" t="s">
        <v>92</v>
      </c>
      <c r="E1052" s="7" t="s">
        <v>75</v>
      </c>
      <c r="F1052" s="7">
        <v>1.0</v>
      </c>
      <c r="G1052" s="7" t="s">
        <v>66</v>
      </c>
      <c r="H1052" s="7">
        <v>2.0</v>
      </c>
      <c r="I1052" s="7">
        <v>7.0</v>
      </c>
      <c r="J1052" s="7">
        <v>4.0</v>
      </c>
      <c r="K1052" s="7" t="s">
        <v>35</v>
      </c>
      <c r="L1052" s="9" t="str">
        <f>VLOOKUP(K1052, 'Alphabetical by species code'!A:B, 2, FALSE)</f>
        <v>Deinandra fasciculata</v>
      </c>
    </row>
    <row r="1053">
      <c r="A1053" s="7">
        <v>12.0</v>
      </c>
      <c r="B1053" s="7">
        <v>2025.0</v>
      </c>
      <c r="C1053" s="8">
        <v>45790.0</v>
      </c>
      <c r="D1053" s="7" t="s">
        <v>92</v>
      </c>
      <c r="E1053" s="7" t="s">
        <v>75</v>
      </c>
      <c r="F1053" s="7">
        <v>1.0</v>
      </c>
      <c r="G1053" s="7" t="s">
        <v>66</v>
      </c>
      <c r="H1053" s="7">
        <v>2.0</v>
      </c>
      <c r="I1053" s="7">
        <v>8.0</v>
      </c>
      <c r="J1053" s="7">
        <v>5.0</v>
      </c>
      <c r="K1053" s="7" t="s">
        <v>28</v>
      </c>
      <c r="L1053" s="9" t="str">
        <f>VLOOKUP(K1053, 'Alphabetical by species code'!A:B, 2, FALSE)</f>
        <v>Litter</v>
      </c>
    </row>
    <row r="1054">
      <c r="A1054" s="7">
        <v>12.0</v>
      </c>
      <c r="B1054" s="7">
        <v>2025.0</v>
      </c>
      <c r="C1054" s="8">
        <v>45790.0</v>
      </c>
      <c r="D1054" s="7" t="s">
        <v>92</v>
      </c>
      <c r="E1054" s="7" t="s">
        <v>75</v>
      </c>
      <c r="F1054" s="7">
        <v>1.0</v>
      </c>
      <c r="G1054" s="7" t="s">
        <v>66</v>
      </c>
      <c r="H1054" s="7">
        <v>2.0</v>
      </c>
      <c r="I1054" s="7">
        <v>8.0</v>
      </c>
      <c r="J1054" s="7">
        <v>5.0</v>
      </c>
      <c r="K1054" s="7" t="s">
        <v>34</v>
      </c>
      <c r="L1054" s="9" t="str">
        <f>VLOOKUP(K1054, 'Alphabetical by species code'!A:B, 2, FALSE)</f>
        <v>Erodium cicutarium</v>
      </c>
    </row>
    <row r="1055">
      <c r="A1055" s="7">
        <v>12.0</v>
      </c>
      <c r="B1055" s="7">
        <v>2025.0</v>
      </c>
      <c r="C1055" s="8">
        <v>45790.0</v>
      </c>
      <c r="D1055" s="7" t="s">
        <v>92</v>
      </c>
      <c r="E1055" s="7" t="s">
        <v>75</v>
      </c>
      <c r="F1055" s="7">
        <v>1.0</v>
      </c>
      <c r="G1055" s="7" t="s">
        <v>66</v>
      </c>
      <c r="H1055" s="7">
        <v>2.0</v>
      </c>
      <c r="I1055" s="7">
        <v>9.0</v>
      </c>
      <c r="J1055" s="7">
        <v>7.0</v>
      </c>
      <c r="K1055" s="7" t="s">
        <v>28</v>
      </c>
      <c r="L1055" s="9" t="str">
        <f>VLOOKUP(K1055, 'Alphabetical by species code'!A:B, 2, FALSE)</f>
        <v>Litter</v>
      </c>
    </row>
    <row r="1056">
      <c r="A1056" s="7">
        <v>12.0</v>
      </c>
      <c r="B1056" s="7">
        <v>2025.0</v>
      </c>
      <c r="C1056" s="8">
        <v>45790.0</v>
      </c>
      <c r="D1056" s="7" t="s">
        <v>92</v>
      </c>
      <c r="E1056" s="7" t="s">
        <v>75</v>
      </c>
      <c r="F1056" s="7">
        <v>1.0</v>
      </c>
      <c r="G1056" s="7" t="s">
        <v>66</v>
      </c>
      <c r="H1056" s="7">
        <v>2.0</v>
      </c>
      <c r="I1056" s="7">
        <v>9.0</v>
      </c>
      <c r="J1056" s="7">
        <v>7.0</v>
      </c>
      <c r="K1056" s="7" t="s">
        <v>36</v>
      </c>
      <c r="L1056" s="9" t="str">
        <f>VLOOKUP(K1056, 'Alphabetical by species code'!A:B, 2, FALSE)</f>
        <v>Bromus madritensis</v>
      </c>
    </row>
    <row r="1057">
      <c r="A1057" s="7">
        <v>12.0</v>
      </c>
      <c r="B1057" s="7">
        <v>2025.0</v>
      </c>
      <c r="C1057" s="8">
        <v>45790.0</v>
      </c>
      <c r="D1057" s="7" t="s">
        <v>92</v>
      </c>
      <c r="E1057" s="7" t="s">
        <v>75</v>
      </c>
      <c r="F1057" s="7">
        <v>1.0</v>
      </c>
      <c r="G1057" s="7" t="s">
        <v>66</v>
      </c>
      <c r="H1057" s="7">
        <v>2.0</v>
      </c>
      <c r="I1057" s="7">
        <v>9.0</v>
      </c>
      <c r="J1057" s="7">
        <v>7.0</v>
      </c>
      <c r="K1057" s="7" t="s">
        <v>31</v>
      </c>
      <c r="L1057" s="9" t="str">
        <f>VLOOKUP(K1057, 'Alphabetical by species code'!A:B, 2, FALSE)</f>
        <v>Festuca myuros</v>
      </c>
    </row>
    <row r="1058">
      <c r="A1058" s="7">
        <v>12.0</v>
      </c>
      <c r="B1058" s="7">
        <v>2025.0</v>
      </c>
      <c r="C1058" s="8">
        <v>45790.0</v>
      </c>
      <c r="D1058" s="7" t="s">
        <v>92</v>
      </c>
      <c r="E1058" s="7" t="s">
        <v>75</v>
      </c>
      <c r="F1058" s="7">
        <v>1.0</v>
      </c>
      <c r="G1058" s="7" t="s">
        <v>66</v>
      </c>
      <c r="H1058" s="7">
        <v>2.0</v>
      </c>
      <c r="I1058" s="7">
        <v>10.0</v>
      </c>
      <c r="J1058" s="7">
        <v>8.0</v>
      </c>
      <c r="K1058" s="7" t="s">
        <v>28</v>
      </c>
      <c r="L1058" s="9" t="str">
        <f>VLOOKUP(K1058, 'Alphabetical by species code'!A:B, 2, FALSE)</f>
        <v>Litter</v>
      </c>
    </row>
    <row r="1059">
      <c r="A1059" s="7">
        <v>12.0</v>
      </c>
      <c r="B1059" s="7">
        <v>2025.0</v>
      </c>
      <c r="C1059" s="8">
        <v>45790.0</v>
      </c>
      <c r="D1059" s="7" t="s">
        <v>92</v>
      </c>
      <c r="E1059" s="7" t="s">
        <v>75</v>
      </c>
      <c r="F1059" s="7">
        <v>1.0</v>
      </c>
      <c r="G1059" s="7" t="s">
        <v>66</v>
      </c>
      <c r="H1059" s="7">
        <v>2.0</v>
      </c>
      <c r="I1059" s="7">
        <v>10.0</v>
      </c>
      <c r="J1059" s="7">
        <v>8.0</v>
      </c>
      <c r="K1059" s="7" t="s">
        <v>64</v>
      </c>
      <c r="L1059" s="9" t="str">
        <f>VLOOKUP(K1059, 'Alphabetical by species code'!A:B, 2, FALSE)</f>
        <v>Brassica nigra</v>
      </c>
    </row>
    <row r="1060">
      <c r="A1060" s="7">
        <v>12.0</v>
      </c>
      <c r="B1060" s="7">
        <v>2025.0</v>
      </c>
      <c r="C1060" s="8">
        <v>45790.0</v>
      </c>
      <c r="D1060" s="7" t="s">
        <v>92</v>
      </c>
      <c r="E1060" s="7" t="s">
        <v>75</v>
      </c>
      <c r="F1060" s="7">
        <v>1.0</v>
      </c>
      <c r="G1060" s="7" t="s">
        <v>66</v>
      </c>
      <c r="H1060" s="7">
        <v>2.0</v>
      </c>
      <c r="I1060" s="7">
        <v>11.0</v>
      </c>
      <c r="J1060" s="7">
        <v>8.5</v>
      </c>
      <c r="K1060" s="7" t="s">
        <v>52</v>
      </c>
      <c r="L1060" s="9" t="str">
        <f>VLOOKUP(K1060, 'Alphabetical by species code'!A:B, 2, FALSE)</f>
        <v>Rock</v>
      </c>
    </row>
    <row r="1061">
      <c r="A1061" s="7">
        <v>12.0</v>
      </c>
      <c r="B1061" s="7">
        <v>2025.0</v>
      </c>
      <c r="C1061" s="8">
        <v>45790.0</v>
      </c>
      <c r="D1061" s="7" t="s">
        <v>92</v>
      </c>
      <c r="E1061" s="7" t="s">
        <v>75</v>
      </c>
      <c r="F1061" s="7">
        <v>1.0</v>
      </c>
      <c r="G1061" s="7" t="s">
        <v>66</v>
      </c>
      <c r="H1061" s="7">
        <v>2.0</v>
      </c>
      <c r="I1061" s="7">
        <v>12.0</v>
      </c>
      <c r="J1061" s="7">
        <v>9.0</v>
      </c>
      <c r="K1061" s="7" t="s">
        <v>52</v>
      </c>
      <c r="L1061" s="9" t="str">
        <f>VLOOKUP(K1061, 'Alphabetical by species code'!A:B, 2, FALSE)</f>
        <v>Rock</v>
      </c>
    </row>
    <row r="1062">
      <c r="A1062" s="7">
        <v>12.0</v>
      </c>
      <c r="B1062" s="7">
        <v>2025.0</v>
      </c>
      <c r="C1062" s="8">
        <v>45790.0</v>
      </c>
      <c r="D1062" s="7" t="s">
        <v>92</v>
      </c>
      <c r="E1062" s="7" t="s">
        <v>75</v>
      </c>
      <c r="F1062" s="7">
        <v>1.0</v>
      </c>
      <c r="G1062" s="7" t="s">
        <v>66</v>
      </c>
      <c r="H1062" s="7">
        <v>2.0</v>
      </c>
      <c r="I1062" s="7">
        <v>13.0</v>
      </c>
      <c r="J1062" s="7">
        <v>10.0</v>
      </c>
      <c r="K1062" s="7" t="s">
        <v>28</v>
      </c>
      <c r="L1062" s="9" t="str">
        <f>VLOOKUP(K1062, 'Alphabetical by species code'!A:B, 2, FALSE)</f>
        <v>Litter</v>
      </c>
    </row>
    <row r="1063">
      <c r="A1063" s="7">
        <v>12.0</v>
      </c>
      <c r="B1063" s="7">
        <v>2025.0</v>
      </c>
      <c r="C1063" s="8">
        <v>45790.0</v>
      </c>
      <c r="D1063" s="7" t="s">
        <v>92</v>
      </c>
      <c r="E1063" s="7" t="s">
        <v>75</v>
      </c>
      <c r="F1063" s="7">
        <v>1.0</v>
      </c>
      <c r="G1063" s="7" t="s">
        <v>66</v>
      </c>
      <c r="H1063" s="7">
        <v>2.0</v>
      </c>
      <c r="I1063" s="7">
        <v>13.0</v>
      </c>
      <c r="J1063" s="7">
        <v>10.0</v>
      </c>
      <c r="K1063" s="7" t="s">
        <v>47</v>
      </c>
      <c r="L1063" s="9" t="str">
        <f>VLOOKUP(K1063, 'Alphabetical by species code'!A:B, 2, FALSE)</f>
        <v>Sonchus species</v>
      </c>
    </row>
    <row r="1064">
      <c r="A1064" s="7">
        <v>12.0</v>
      </c>
      <c r="B1064" s="7">
        <v>2025.0</v>
      </c>
      <c r="C1064" s="8">
        <v>45790.0</v>
      </c>
      <c r="D1064" s="7" t="s">
        <v>92</v>
      </c>
      <c r="E1064" s="7" t="s">
        <v>75</v>
      </c>
      <c r="F1064" s="7">
        <v>1.0</v>
      </c>
      <c r="G1064" s="7" t="s">
        <v>66</v>
      </c>
      <c r="H1064" s="7">
        <v>2.0</v>
      </c>
      <c r="I1064" s="7">
        <v>13.0</v>
      </c>
      <c r="J1064" s="7">
        <v>10.0</v>
      </c>
      <c r="K1064" s="7" t="s">
        <v>65</v>
      </c>
      <c r="L1064" s="9" t="str">
        <f>VLOOKUP(K1064, 'Alphabetical by species code'!A:B, 2, FALSE)</f>
        <v>Cryptantha intermedia</v>
      </c>
    </row>
    <row r="1065">
      <c r="A1065" s="7">
        <v>12.0</v>
      </c>
      <c r="B1065" s="7">
        <v>2025.0</v>
      </c>
      <c r="C1065" s="8">
        <v>45790.0</v>
      </c>
      <c r="D1065" s="7" t="s">
        <v>92</v>
      </c>
      <c r="E1065" s="7" t="s">
        <v>75</v>
      </c>
      <c r="F1065" s="7">
        <v>1.0</v>
      </c>
      <c r="G1065" s="7" t="s">
        <v>66</v>
      </c>
      <c r="H1065" s="7">
        <v>2.0</v>
      </c>
      <c r="I1065" s="7">
        <v>13.0</v>
      </c>
      <c r="J1065" s="7">
        <v>10.0</v>
      </c>
      <c r="K1065" s="7" t="s">
        <v>64</v>
      </c>
      <c r="L1065" s="9" t="str">
        <f>VLOOKUP(K1065, 'Alphabetical by species code'!A:B, 2, FALSE)</f>
        <v>Brassica nigra</v>
      </c>
    </row>
    <row r="1066">
      <c r="A1066" s="7">
        <v>12.0</v>
      </c>
      <c r="B1066" s="7">
        <v>2025.0</v>
      </c>
      <c r="C1066" s="8">
        <v>45790.0</v>
      </c>
      <c r="D1066" s="7" t="s">
        <v>92</v>
      </c>
      <c r="E1066" s="7" t="s">
        <v>75</v>
      </c>
      <c r="F1066" s="7">
        <v>1.0</v>
      </c>
      <c r="G1066" s="7" t="s">
        <v>66</v>
      </c>
      <c r="H1066" s="7">
        <v>2.0</v>
      </c>
      <c r="I1066" s="7">
        <v>14.0</v>
      </c>
      <c r="J1066" s="7">
        <v>11.0</v>
      </c>
      <c r="K1066" s="7" t="s">
        <v>28</v>
      </c>
      <c r="L1066" s="9" t="str">
        <f>VLOOKUP(K1066, 'Alphabetical by species code'!A:B, 2, FALSE)</f>
        <v>Litter</v>
      </c>
    </row>
    <row r="1067">
      <c r="A1067" s="7">
        <v>12.0</v>
      </c>
      <c r="B1067" s="7">
        <v>2025.0</v>
      </c>
      <c r="C1067" s="8">
        <v>45790.0</v>
      </c>
      <c r="D1067" s="7" t="s">
        <v>92</v>
      </c>
      <c r="E1067" s="7" t="s">
        <v>75</v>
      </c>
      <c r="F1067" s="7">
        <v>1.0</v>
      </c>
      <c r="G1067" s="7" t="s">
        <v>66</v>
      </c>
      <c r="H1067" s="7">
        <v>2.0</v>
      </c>
      <c r="I1067" s="7">
        <v>14.0</v>
      </c>
      <c r="J1067" s="7">
        <v>11.0</v>
      </c>
      <c r="K1067" s="7" t="s">
        <v>35</v>
      </c>
      <c r="L1067" s="9" t="str">
        <f>VLOOKUP(K1067, 'Alphabetical by species code'!A:B, 2, FALSE)</f>
        <v>Deinandra fasciculata</v>
      </c>
    </row>
    <row r="1068">
      <c r="A1068" s="7">
        <v>12.0</v>
      </c>
      <c r="B1068" s="7">
        <v>2025.0</v>
      </c>
      <c r="C1068" s="8">
        <v>45790.0</v>
      </c>
      <c r="D1068" s="7" t="s">
        <v>92</v>
      </c>
      <c r="E1068" s="7" t="s">
        <v>75</v>
      </c>
      <c r="F1068" s="7">
        <v>1.0</v>
      </c>
      <c r="G1068" s="7" t="s">
        <v>66</v>
      </c>
      <c r="H1068" s="7">
        <v>2.0</v>
      </c>
      <c r="I1068" s="7">
        <v>15.0</v>
      </c>
      <c r="J1068" s="7">
        <v>12.0</v>
      </c>
      <c r="K1068" s="7" t="s">
        <v>52</v>
      </c>
      <c r="L1068" s="9" t="str">
        <f>VLOOKUP(K1068, 'Alphabetical by species code'!A:B, 2, FALSE)</f>
        <v>Rock</v>
      </c>
    </row>
    <row r="1069">
      <c r="A1069" s="7">
        <v>12.0</v>
      </c>
      <c r="B1069" s="7">
        <v>2025.0</v>
      </c>
      <c r="C1069" s="8">
        <v>45790.0</v>
      </c>
      <c r="D1069" s="7" t="s">
        <v>92</v>
      </c>
      <c r="E1069" s="7" t="s">
        <v>75</v>
      </c>
      <c r="F1069" s="7">
        <v>1.0</v>
      </c>
      <c r="G1069" s="7" t="s">
        <v>66</v>
      </c>
      <c r="H1069" s="7">
        <v>2.0</v>
      </c>
      <c r="I1069" s="7">
        <v>15.0</v>
      </c>
      <c r="J1069" s="7">
        <v>12.0</v>
      </c>
      <c r="K1069" s="7" t="s">
        <v>29</v>
      </c>
      <c r="L1069" s="9" t="str">
        <f>VLOOKUP(K1069, 'Alphabetical by species code'!A:B, 2, FALSE)</f>
        <v>Opuntia littoralis</v>
      </c>
    </row>
    <row r="1070">
      <c r="A1070" s="7">
        <v>13.0</v>
      </c>
      <c r="B1070" s="7">
        <v>2025.0</v>
      </c>
      <c r="C1070" s="8">
        <v>45790.0</v>
      </c>
      <c r="D1070" s="7" t="s">
        <v>83</v>
      </c>
      <c r="E1070" s="7" t="s">
        <v>85</v>
      </c>
      <c r="F1070" s="7">
        <v>3.0</v>
      </c>
      <c r="G1070" s="7" t="s">
        <v>27</v>
      </c>
      <c r="H1070" s="7">
        <v>1.0</v>
      </c>
      <c r="I1070" s="7">
        <v>1.0</v>
      </c>
      <c r="J1070" s="7">
        <v>0.0</v>
      </c>
      <c r="K1070" s="7" t="s">
        <v>28</v>
      </c>
      <c r="L1070" s="9" t="str">
        <f>VLOOKUP(K1070, 'Alphabetical by species code'!A:B, 2, FALSE)</f>
        <v>Litter</v>
      </c>
    </row>
    <row r="1071">
      <c r="A1071" s="7">
        <v>13.0</v>
      </c>
      <c r="B1071" s="7">
        <v>2025.0</v>
      </c>
      <c r="C1071" s="8">
        <v>45790.0</v>
      </c>
      <c r="D1071" s="7" t="s">
        <v>83</v>
      </c>
      <c r="E1071" s="7" t="s">
        <v>85</v>
      </c>
      <c r="F1071" s="7">
        <v>3.0</v>
      </c>
      <c r="G1071" s="7" t="s">
        <v>27</v>
      </c>
      <c r="H1071" s="7">
        <v>1.0</v>
      </c>
      <c r="I1071" s="7">
        <v>1.0</v>
      </c>
      <c r="J1071" s="7">
        <v>0.0</v>
      </c>
      <c r="K1071" s="7" t="s">
        <v>64</v>
      </c>
      <c r="L1071" s="9" t="str">
        <f>VLOOKUP(K1071, 'Alphabetical by species code'!A:B, 2, FALSE)</f>
        <v>Brassica nigra</v>
      </c>
    </row>
    <row r="1072">
      <c r="A1072" s="7">
        <v>13.0</v>
      </c>
      <c r="B1072" s="7">
        <v>2025.0</v>
      </c>
      <c r="C1072" s="8">
        <v>45790.0</v>
      </c>
      <c r="D1072" s="7" t="s">
        <v>83</v>
      </c>
      <c r="E1072" s="7" t="s">
        <v>85</v>
      </c>
      <c r="F1072" s="7">
        <v>3.0</v>
      </c>
      <c r="G1072" s="7" t="s">
        <v>27</v>
      </c>
      <c r="H1072" s="7">
        <v>1.0</v>
      </c>
      <c r="I1072" s="7">
        <v>1.0</v>
      </c>
      <c r="J1072" s="7">
        <v>0.0</v>
      </c>
      <c r="K1072" s="7" t="s">
        <v>36</v>
      </c>
      <c r="L1072" s="9" t="str">
        <f>VLOOKUP(K1072, 'Alphabetical by species code'!A:B, 2, FALSE)</f>
        <v>Bromus madritensis</v>
      </c>
    </row>
    <row r="1073">
      <c r="A1073" s="7">
        <v>13.0</v>
      </c>
      <c r="B1073" s="7">
        <v>2025.0</v>
      </c>
      <c r="C1073" s="8">
        <v>45790.0</v>
      </c>
      <c r="D1073" s="7" t="s">
        <v>83</v>
      </c>
      <c r="E1073" s="7" t="s">
        <v>85</v>
      </c>
      <c r="F1073" s="7">
        <v>3.0</v>
      </c>
      <c r="G1073" s="7" t="s">
        <v>27</v>
      </c>
      <c r="H1073" s="7">
        <v>1.0</v>
      </c>
      <c r="I1073" s="7">
        <v>2.0</v>
      </c>
      <c r="J1073" s="7">
        <v>0.5</v>
      </c>
      <c r="K1073" s="7" t="s">
        <v>28</v>
      </c>
      <c r="L1073" s="9" t="str">
        <f>VLOOKUP(K1073, 'Alphabetical by species code'!A:B, 2, FALSE)</f>
        <v>Litter</v>
      </c>
    </row>
    <row r="1074">
      <c r="A1074" s="7">
        <v>13.0</v>
      </c>
      <c r="B1074" s="7">
        <v>2025.0</v>
      </c>
      <c r="C1074" s="8">
        <v>45790.0</v>
      </c>
      <c r="D1074" s="7" t="s">
        <v>83</v>
      </c>
      <c r="E1074" s="7" t="s">
        <v>85</v>
      </c>
      <c r="F1074" s="7">
        <v>3.0</v>
      </c>
      <c r="G1074" s="7" t="s">
        <v>27</v>
      </c>
      <c r="H1074" s="7">
        <v>1.0</v>
      </c>
      <c r="I1074" s="7">
        <v>2.0</v>
      </c>
      <c r="J1074" s="7">
        <v>0.5</v>
      </c>
      <c r="K1074" s="7" t="s">
        <v>36</v>
      </c>
      <c r="L1074" s="9" t="str">
        <f>VLOOKUP(K1074, 'Alphabetical by species code'!A:B, 2, FALSE)</f>
        <v>Bromus madritensis</v>
      </c>
    </row>
    <row r="1075">
      <c r="A1075" s="7">
        <v>13.0</v>
      </c>
      <c r="B1075" s="7">
        <v>2025.0</v>
      </c>
      <c r="C1075" s="8">
        <v>45790.0</v>
      </c>
      <c r="D1075" s="7" t="s">
        <v>83</v>
      </c>
      <c r="E1075" s="7" t="s">
        <v>85</v>
      </c>
      <c r="F1075" s="7">
        <v>3.0</v>
      </c>
      <c r="G1075" s="7" t="s">
        <v>27</v>
      </c>
      <c r="H1075" s="7">
        <v>1.0</v>
      </c>
      <c r="I1075" s="7">
        <v>2.0</v>
      </c>
      <c r="J1075" s="7">
        <v>0.5</v>
      </c>
      <c r="K1075" s="7" t="s">
        <v>29</v>
      </c>
      <c r="L1075" s="9" t="str">
        <f>VLOOKUP(K1075, 'Alphabetical by species code'!A:B, 2, FALSE)</f>
        <v>Opuntia littoralis</v>
      </c>
    </row>
    <row r="1076">
      <c r="A1076" s="7">
        <v>13.0</v>
      </c>
      <c r="B1076" s="7">
        <v>2025.0</v>
      </c>
      <c r="C1076" s="8">
        <v>45790.0</v>
      </c>
      <c r="D1076" s="7" t="s">
        <v>83</v>
      </c>
      <c r="E1076" s="7" t="s">
        <v>85</v>
      </c>
      <c r="F1076" s="7">
        <v>3.0</v>
      </c>
      <c r="G1076" s="7" t="s">
        <v>27</v>
      </c>
      <c r="H1076" s="7">
        <v>1.0</v>
      </c>
      <c r="I1076" s="7">
        <v>3.0</v>
      </c>
      <c r="J1076" s="7">
        <v>1.0</v>
      </c>
      <c r="K1076" s="7" t="s">
        <v>28</v>
      </c>
      <c r="L1076" s="9" t="str">
        <f>VLOOKUP(K1076, 'Alphabetical by species code'!A:B, 2, FALSE)</f>
        <v>Litter</v>
      </c>
    </row>
    <row r="1077">
      <c r="A1077" s="7">
        <v>13.0</v>
      </c>
      <c r="B1077" s="7">
        <v>2025.0</v>
      </c>
      <c r="C1077" s="8">
        <v>45790.0</v>
      </c>
      <c r="D1077" s="7" t="s">
        <v>83</v>
      </c>
      <c r="E1077" s="7" t="s">
        <v>85</v>
      </c>
      <c r="F1077" s="7">
        <v>3.0</v>
      </c>
      <c r="G1077" s="7" t="s">
        <v>27</v>
      </c>
      <c r="H1077" s="7">
        <v>1.0</v>
      </c>
      <c r="I1077" s="7">
        <v>3.0</v>
      </c>
      <c r="J1077" s="7">
        <v>1.0</v>
      </c>
      <c r="K1077" s="7" t="s">
        <v>64</v>
      </c>
      <c r="L1077" s="9" t="str">
        <f>VLOOKUP(K1077, 'Alphabetical by species code'!A:B, 2, FALSE)</f>
        <v>Brassica nigra</v>
      </c>
    </row>
    <row r="1078">
      <c r="A1078" s="7">
        <v>13.0</v>
      </c>
      <c r="B1078" s="7">
        <v>2025.0</v>
      </c>
      <c r="C1078" s="8">
        <v>45790.0</v>
      </c>
      <c r="D1078" s="7" t="s">
        <v>83</v>
      </c>
      <c r="E1078" s="7" t="s">
        <v>85</v>
      </c>
      <c r="F1078" s="7">
        <v>3.0</v>
      </c>
      <c r="G1078" s="7" t="s">
        <v>27</v>
      </c>
      <c r="H1078" s="7">
        <v>1.0</v>
      </c>
      <c r="I1078" s="7">
        <v>3.0</v>
      </c>
      <c r="J1078" s="7">
        <v>1.0</v>
      </c>
      <c r="K1078" s="7" t="s">
        <v>49</v>
      </c>
      <c r="L1078" s="9" t="str">
        <f>VLOOKUP(K1078, 'Alphabetical by species code'!A:B, 2, FALSE)</f>
        <v>Anagallis arvensis</v>
      </c>
    </row>
    <row r="1079">
      <c r="A1079" s="7">
        <v>13.0</v>
      </c>
      <c r="B1079" s="7">
        <v>2025.0</v>
      </c>
      <c r="C1079" s="8">
        <v>45790.0</v>
      </c>
      <c r="D1079" s="7" t="s">
        <v>83</v>
      </c>
      <c r="E1079" s="7" t="s">
        <v>85</v>
      </c>
      <c r="F1079" s="7">
        <v>3.0</v>
      </c>
      <c r="G1079" s="7" t="s">
        <v>27</v>
      </c>
      <c r="H1079" s="7">
        <v>1.0</v>
      </c>
      <c r="I1079" s="7">
        <v>4.0</v>
      </c>
      <c r="J1079" s="7">
        <v>1.5</v>
      </c>
      <c r="K1079" s="7" t="s">
        <v>28</v>
      </c>
      <c r="L1079" s="9" t="str">
        <f>VLOOKUP(K1079, 'Alphabetical by species code'!A:B, 2, FALSE)</f>
        <v>Litter</v>
      </c>
    </row>
    <row r="1080">
      <c r="A1080" s="7">
        <v>13.0</v>
      </c>
      <c r="B1080" s="7">
        <v>2025.0</v>
      </c>
      <c r="C1080" s="8">
        <v>45790.0</v>
      </c>
      <c r="D1080" s="7" t="s">
        <v>83</v>
      </c>
      <c r="E1080" s="7" t="s">
        <v>85</v>
      </c>
      <c r="F1080" s="7">
        <v>3.0</v>
      </c>
      <c r="G1080" s="7" t="s">
        <v>27</v>
      </c>
      <c r="H1080" s="7">
        <v>1.0</v>
      </c>
      <c r="I1080" s="7">
        <v>4.0</v>
      </c>
      <c r="J1080" s="7">
        <v>1.5</v>
      </c>
      <c r="K1080" s="7" t="s">
        <v>64</v>
      </c>
      <c r="L1080" s="9" t="str">
        <f>VLOOKUP(K1080, 'Alphabetical by species code'!A:B, 2, FALSE)</f>
        <v>Brassica nigra</v>
      </c>
    </row>
    <row r="1081">
      <c r="A1081" s="7">
        <v>13.0</v>
      </c>
      <c r="B1081" s="7">
        <v>2025.0</v>
      </c>
      <c r="C1081" s="8">
        <v>45790.0</v>
      </c>
      <c r="D1081" s="7" t="s">
        <v>83</v>
      </c>
      <c r="E1081" s="7" t="s">
        <v>85</v>
      </c>
      <c r="F1081" s="7">
        <v>3.0</v>
      </c>
      <c r="G1081" s="7" t="s">
        <v>27</v>
      </c>
      <c r="H1081" s="7">
        <v>1.0</v>
      </c>
      <c r="I1081" s="7">
        <v>4.0</v>
      </c>
      <c r="J1081" s="7">
        <v>1.5</v>
      </c>
      <c r="K1081" s="7" t="s">
        <v>36</v>
      </c>
      <c r="L1081" s="9" t="str">
        <f>VLOOKUP(K1081, 'Alphabetical by species code'!A:B, 2, FALSE)</f>
        <v>Bromus madritensis</v>
      </c>
    </row>
    <row r="1082">
      <c r="A1082" s="7">
        <v>13.0</v>
      </c>
      <c r="B1082" s="7">
        <v>2025.0</v>
      </c>
      <c r="C1082" s="8">
        <v>45790.0</v>
      </c>
      <c r="D1082" s="7" t="s">
        <v>83</v>
      </c>
      <c r="E1082" s="7" t="s">
        <v>85</v>
      </c>
      <c r="F1082" s="7">
        <v>3.0</v>
      </c>
      <c r="G1082" s="7" t="s">
        <v>27</v>
      </c>
      <c r="H1082" s="7">
        <v>1.0</v>
      </c>
      <c r="I1082" s="7">
        <v>4.0</v>
      </c>
      <c r="J1082" s="7">
        <v>1.5</v>
      </c>
      <c r="K1082" s="7" t="s">
        <v>31</v>
      </c>
      <c r="L1082" s="9" t="str">
        <f>VLOOKUP(K1082, 'Alphabetical by species code'!A:B, 2, FALSE)</f>
        <v>Festuca myuros</v>
      </c>
    </row>
    <row r="1083">
      <c r="A1083" s="7">
        <v>13.0</v>
      </c>
      <c r="B1083" s="7">
        <v>2025.0</v>
      </c>
      <c r="C1083" s="8">
        <v>45790.0</v>
      </c>
      <c r="D1083" s="7" t="s">
        <v>83</v>
      </c>
      <c r="E1083" s="7" t="s">
        <v>85</v>
      </c>
      <c r="F1083" s="7">
        <v>3.0</v>
      </c>
      <c r="G1083" s="7" t="s">
        <v>27</v>
      </c>
      <c r="H1083" s="7">
        <v>1.0</v>
      </c>
      <c r="I1083" s="7">
        <v>4.0</v>
      </c>
      <c r="J1083" s="7">
        <v>1.5</v>
      </c>
      <c r="K1083" s="7" t="s">
        <v>49</v>
      </c>
      <c r="L1083" s="9" t="str">
        <f>VLOOKUP(K1083, 'Alphabetical by species code'!A:B, 2, FALSE)</f>
        <v>Anagallis arvensis</v>
      </c>
    </row>
    <row r="1084">
      <c r="A1084" s="7">
        <v>13.0</v>
      </c>
      <c r="B1084" s="7">
        <v>2025.0</v>
      </c>
      <c r="C1084" s="8">
        <v>45790.0</v>
      </c>
      <c r="D1084" s="7" t="s">
        <v>83</v>
      </c>
      <c r="E1084" s="7" t="s">
        <v>85</v>
      </c>
      <c r="F1084" s="7">
        <v>3.0</v>
      </c>
      <c r="G1084" s="7" t="s">
        <v>27</v>
      </c>
      <c r="H1084" s="7">
        <v>1.0</v>
      </c>
      <c r="I1084" s="7">
        <v>5.0</v>
      </c>
      <c r="J1084" s="7">
        <v>2.0</v>
      </c>
      <c r="K1084" s="7" t="s">
        <v>28</v>
      </c>
      <c r="L1084" s="9" t="str">
        <f>VLOOKUP(K1084, 'Alphabetical by species code'!A:B, 2, FALSE)</f>
        <v>Litter</v>
      </c>
    </row>
    <row r="1085">
      <c r="A1085" s="7">
        <v>13.0</v>
      </c>
      <c r="B1085" s="7">
        <v>2025.0</v>
      </c>
      <c r="C1085" s="8">
        <v>45790.0</v>
      </c>
      <c r="D1085" s="7" t="s">
        <v>83</v>
      </c>
      <c r="E1085" s="7" t="s">
        <v>85</v>
      </c>
      <c r="F1085" s="7">
        <v>3.0</v>
      </c>
      <c r="G1085" s="7" t="s">
        <v>27</v>
      </c>
      <c r="H1085" s="7">
        <v>1.0</v>
      </c>
      <c r="I1085" s="7">
        <v>5.0</v>
      </c>
      <c r="J1085" s="7">
        <v>2.0</v>
      </c>
      <c r="K1085" s="7" t="s">
        <v>36</v>
      </c>
      <c r="L1085" s="9" t="str">
        <f>VLOOKUP(K1085, 'Alphabetical by species code'!A:B, 2, FALSE)</f>
        <v>Bromus madritensis</v>
      </c>
    </row>
    <row r="1086">
      <c r="A1086" s="7">
        <v>13.0</v>
      </c>
      <c r="B1086" s="7">
        <v>2025.0</v>
      </c>
      <c r="C1086" s="8">
        <v>45790.0</v>
      </c>
      <c r="D1086" s="7" t="s">
        <v>83</v>
      </c>
      <c r="E1086" s="7" t="s">
        <v>85</v>
      </c>
      <c r="F1086" s="7">
        <v>3.0</v>
      </c>
      <c r="G1086" s="7" t="s">
        <v>27</v>
      </c>
      <c r="H1086" s="7">
        <v>1.0</v>
      </c>
      <c r="I1086" s="7">
        <v>5.0</v>
      </c>
      <c r="J1086" s="7">
        <v>2.0</v>
      </c>
      <c r="K1086" s="7" t="s">
        <v>31</v>
      </c>
      <c r="L1086" s="9" t="str">
        <f>VLOOKUP(K1086, 'Alphabetical by species code'!A:B, 2, FALSE)</f>
        <v>Festuca myuros</v>
      </c>
    </row>
    <row r="1087">
      <c r="A1087" s="7">
        <v>13.0</v>
      </c>
      <c r="B1087" s="7">
        <v>2025.0</v>
      </c>
      <c r="C1087" s="8">
        <v>45790.0</v>
      </c>
      <c r="D1087" s="7" t="s">
        <v>83</v>
      </c>
      <c r="E1087" s="7" t="s">
        <v>85</v>
      </c>
      <c r="F1087" s="7">
        <v>3.0</v>
      </c>
      <c r="G1087" s="7" t="s">
        <v>27</v>
      </c>
      <c r="H1087" s="7">
        <v>1.0</v>
      </c>
      <c r="I1087" s="7">
        <v>5.0</v>
      </c>
      <c r="J1087" s="7">
        <v>2.0</v>
      </c>
      <c r="K1087" s="7" t="s">
        <v>49</v>
      </c>
      <c r="L1087" s="9" t="str">
        <f>VLOOKUP(K1087, 'Alphabetical by species code'!A:B, 2, FALSE)</f>
        <v>Anagallis arvensis</v>
      </c>
    </row>
    <row r="1088">
      <c r="A1088" s="7">
        <v>13.0</v>
      </c>
      <c r="B1088" s="7">
        <v>2025.0</v>
      </c>
      <c r="C1088" s="8">
        <v>45790.0</v>
      </c>
      <c r="D1088" s="7" t="s">
        <v>83</v>
      </c>
      <c r="E1088" s="7" t="s">
        <v>85</v>
      </c>
      <c r="F1088" s="7">
        <v>3.0</v>
      </c>
      <c r="G1088" s="7" t="s">
        <v>27</v>
      </c>
      <c r="H1088" s="7">
        <v>1.0</v>
      </c>
      <c r="I1088" s="7">
        <v>6.0</v>
      </c>
      <c r="J1088" s="7">
        <v>2.5</v>
      </c>
      <c r="K1088" s="7" t="s">
        <v>28</v>
      </c>
      <c r="L1088" s="9" t="str">
        <f>VLOOKUP(K1088, 'Alphabetical by species code'!A:B, 2, FALSE)</f>
        <v>Litter</v>
      </c>
    </row>
    <row r="1089">
      <c r="A1089" s="7">
        <v>13.0</v>
      </c>
      <c r="B1089" s="7">
        <v>2025.0</v>
      </c>
      <c r="C1089" s="8">
        <v>45790.0</v>
      </c>
      <c r="D1089" s="7" t="s">
        <v>83</v>
      </c>
      <c r="E1089" s="7" t="s">
        <v>85</v>
      </c>
      <c r="F1089" s="7">
        <v>3.0</v>
      </c>
      <c r="G1089" s="7" t="s">
        <v>27</v>
      </c>
      <c r="H1089" s="7">
        <v>1.0</v>
      </c>
      <c r="I1089" s="7">
        <v>6.0</v>
      </c>
      <c r="J1089" s="7">
        <v>2.5</v>
      </c>
      <c r="K1089" s="7" t="s">
        <v>31</v>
      </c>
      <c r="L1089" s="9" t="str">
        <f>VLOOKUP(K1089, 'Alphabetical by species code'!A:B, 2, FALSE)</f>
        <v>Festuca myuros</v>
      </c>
    </row>
    <row r="1090">
      <c r="A1090" s="7">
        <v>13.0</v>
      </c>
      <c r="B1090" s="7">
        <v>2025.0</v>
      </c>
      <c r="C1090" s="8">
        <v>45790.0</v>
      </c>
      <c r="D1090" s="7" t="s">
        <v>83</v>
      </c>
      <c r="E1090" s="7" t="s">
        <v>85</v>
      </c>
      <c r="F1090" s="7">
        <v>3.0</v>
      </c>
      <c r="G1090" s="7" t="s">
        <v>27</v>
      </c>
      <c r="H1090" s="7">
        <v>1.0</v>
      </c>
      <c r="I1090" s="7">
        <v>6.0</v>
      </c>
      <c r="J1090" s="7">
        <v>2.5</v>
      </c>
      <c r="K1090" s="7" t="s">
        <v>64</v>
      </c>
      <c r="L1090" s="9" t="str">
        <f>VLOOKUP(K1090, 'Alphabetical by species code'!A:B, 2, FALSE)</f>
        <v>Brassica nigra</v>
      </c>
    </row>
    <row r="1091">
      <c r="A1091" s="7">
        <v>13.0</v>
      </c>
      <c r="B1091" s="7">
        <v>2025.0</v>
      </c>
      <c r="C1091" s="8">
        <v>45790.0</v>
      </c>
      <c r="D1091" s="7" t="s">
        <v>83</v>
      </c>
      <c r="E1091" s="7" t="s">
        <v>85</v>
      </c>
      <c r="F1091" s="7">
        <v>3.0</v>
      </c>
      <c r="G1091" s="7" t="s">
        <v>27</v>
      </c>
      <c r="H1091" s="7">
        <v>1.0</v>
      </c>
      <c r="I1091" s="7">
        <v>6.0</v>
      </c>
      <c r="J1091" s="7">
        <v>2.5</v>
      </c>
      <c r="K1091" s="7" t="s">
        <v>36</v>
      </c>
      <c r="L1091" s="9" t="str">
        <f>VLOOKUP(K1091, 'Alphabetical by species code'!A:B, 2, FALSE)</f>
        <v>Bromus madritensis</v>
      </c>
    </row>
    <row r="1092">
      <c r="A1092" s="7">
        <v>13.0</v>
      </c>
      <c r="B1092" s="7">
        <v>2025.0</v>
      </c>
      <c r="C1092" s="8">
        <v>45790.0</v>
      </c>
      <c r="D1092" s="7" t="s">
        <v>83</v>
      </c>
      <c r="E1092" s="7" t="s">
        <v>85</v>
      </c>
      <c r="F1092" s="7">
        <v>3.0</v>
      </c>
      <c r="G1092" s="7" t="s">
        <v>27</v>
      </c>
      <c r="H1092" s="7">
        <v>1.0</v>
      </c>
      <c r="I1092" s="7">
        <v>7.0</v>
      </c>
      <c r="J1092" s="7">
        <v>3.0</v>
      </c>
      <c r="K1092" s="7" t="s">
        <v>28</v>
      </c>
      <c r="L1092" s="9" t="str">
        <f>VLOOKUP(K1092, 'Alphabetical by species code'!A:B, 2, FALSE)</f>
        <v>Litter</v>
      </c>
    </row>
    <row r="1093">
      <c r="A1093" s="7">
        <v>13.0</v>
      </c>
      <c r="B1093" s="7">
        <v>2025.0</v>
      </c>
      <c r="C1093" s="8">
        <v>45790.0</v>
      </c>
      <c r="D1093" s="7" t="s">
        <v>83</v>
      </c>
      <c r="E1093" s="7" t="s">
        <v>85</v>
      </c>
      <c r="F1093" s="7">
        <v>3.0</v>
      </c>
      <c r="G1093" s="7" t="s">
        <v>27</v>
      </c>
      <c r="H1093" s="7">
        <v>1.0</v>
      </c>
      <c r="I1093" s="7">
        <v>7.0</v>
      </c>
      <c r="J1093" s="7">
        <v>3.0</v>
      </c>
      <c r="K1093" s="7" t="s">
        <v>36</v>
      </c>
      <c r="L1093" s="9" t="str">
        <f>VLOOKUP(K1093, 'Alphabetical by species code'!A:B, 2, FALSE)</f>
        <v>Bromus madritensis</v>
      </c>
    </row>
    <row r="1094">
      <c r="A1094" s="7">
        <v>13.0</v>
      </c>
      <c r="B1094" s="7">
        <v>2025.0</v>
      </c>
      <c r="C1094" s="8">
        <v>45790.0</v>
      </c>
      <c r="D1094" s="7" t="s">
        <v>83</v>
      </c>
      <c r="E1094" s="7" t="s">
        <v>85</v>
      </c>
      <c r="F1094" s="7">
        <v>3.0</v>
      </c>
      <c r="G1094" s="7" t="s">
        <v>27</v>
      </c>
      <c r="H1094" s="7">
        <v>1.0</v>
      </c>
      <c r="I1094" s="7">
        <v>7.0</v>
      </c>
      <c r="J1094" s="7">
        <v>3.0</v>
      </c>
      <c r="K1094" s="7" t="s">
        <v>31</v>
      </c>
      <c r="L1094" s="9" t="str">
        <f>VLOOKUP(K1094, 'Alphabetical by species code'!A:B, 2, FALSE)</f>
        <v>Festuca myuros</v>
      </c>
    </row>
    <row r="1095">
      <c r="A1095" s="7">
        <v>13.0</v>
      </c>
      <c r="B1095" s="7">
        <v>2025.0</v>
      </c>
      <c r="C1095" s="8">
        <v>45790.0</v>
      </c>
      <c r="D1095" s="7" t="s">
        <v>83</v>
      </c>
      <c r="E1095" s="7" t="s">
        <v>85</v>
      </c>
      <c r="F1095" s="7">
        <v>3.0</v>
      </c>
      <c r="G1095" s="7" t="s">
        <v>27</v>
      </c>
      <c r="H1095" s="7">
        <v>1.0</v>
      </c>
      <c r="I1095" s="7">
        <v>8.0</v>
      </c>
      <c r="J1095" s="7">
        <v>3.5</v>
      </c>
      <c r="K1095" s="7" t="s">
        <v>28</v>
      </c>
      <c r="L1095" s="9" t="str">
        <f>VLOOKUP(K1095, 'Alphabetical by species code'!A:B, 2, FALSE)</f>
        <v>Litter</v>
      </c>
    </row>
    <row r="1096">
      <c r="A1096" s="7">
        <v>13.0</v>
      </c>
      <c r="B1096" s="7">
        <v>2025.0</v>
      </c>
      <c r="C1096" s="8">
        <v>45790.0</v>
      </c>
      <c r="D1096" s="7" t="s">
        <v>83</v>
      </c>
      <c r="E1096" s="7" t="s">
        <v>85</v>
      </c>
      <c r="F1096" s="7">
        <v>3.0</v>
      </c>
      <c r="G1096" s="7" t="s">
        <v>27</v>
      </c>
      <c r="H1096" s="7">
        <v>1.0</v>
      </c>
      <c r="I1096" s="7">
        <v>8.0</v>
      </c>
      <c r="J1096" s="7">
        <v>3.5</v>
      </c>
      <c r="K1096" s="7" t="s">
        <v>36</v>
      </c>
      <c r="L1096" s="9" t="str">
        <f>VLOOKUP(K1096, 'Alphabetical by species code'!A:B, 2, FALSE)</f>
        <v>Bromus madritensis</v>
      </c>
    </row>
    <row r="1097">
      <c r="A1097" s="7">
        <v>13.0</v>
      </c>
      <c r="B1097" s="7">
        <v>2025.0</v>
      </c>
      <c r="C1097" s="8">
        <v>45790.0</v>
      </c>
      <c r="D1097" s="7" t="s">
        <v>83</v>
      </c>
      <c r="E1097" s="7" t="s">
        <v>85</v>
      </c>
      <c r="F1097" s="7">
        <v>3.0</v>
      </c>
      <c r="G1097" s="7" t="s">
        <v>27</v>
      </c>
      <c r="H1097" s="7">
        <v>1.0</v>
      </c>
      <c r="I1097" s="7">
        <v>8.0</v>
      </c>
      <c r="J1097" s="7">
        <v>3.5</v>
      </c>
      <c r="K1097" s="7" t="s">
        <v>35</v>
      </c>
      <c r="L1097" s="9" t="str">
        <f>VLOOKUP(K1097, 'Alphabetical by species code'!A:B, 2, FALSE)</f>
        <v>Deinandra fasciculata</v>
      </c>
    </row>
    <row r="1098">
      <c r="A1098" s="7">
        <v>13.0</v>
      </c>
      <c r="B1098" s="7">
        <v>2025.0</v>
      </c>
      <c r="C1098" s="8">
        <v>45790.0</v>
      </c>
      <c r="D1098" s="7" t="s">
        <v>83</v>
      </c>
      <c r="E1098" s="7" t="s">
        <v>85</v>
      </c>
      <c r="F1098" s="7">
        <v>3.0</v>
      </c>
      <c r="G1098" s="7" t="s">
        <v>27</v>
      </c>
      <c r="H1098" s="7">
        <v>1.0</v>
      </c>
      <c r="I1098" s="7">
        <v>8.0</v>
      </c>
      <c r="J1098" s="7">
        <v>3.5</v>
      </c>
      <c r="K1098" s="7" t="s">
        <v>49</v>
      </c>
      <c r="L1098" s="9" t="str">
        <f>VLOOKUP(K1098, 'Alphabetical by species code'!A:B, 2, FALSE)</f>
        <v>Anagallis arvensis</v>
      </c>
    </row>
    <row r="1099">
      <c r="A1099" s="7">
        <v>13.0</v>
      </c>
      <c r="B1099" s="7">
        <v>2025.0</v>
      </c>
      <c r="C1099" s="8">
        <v>45790.0</v>
      </c>
      <c r="D1099" s="7" t="s">
        <v>83</v>
      </c>
      <c r="E1099" s="7" t="s">
        <v>85</v>
      </c>
      <c r="F1099" s="7">
        <v>3.0</v>
      </c>
      <c r="G1099" s="7" t="s">
        <v>27</v>
      </c>
      <c r="H1099" s="7">
        <v>1.0</v>
      </c>
      <c r="I1099" s="7">
        <v>9.0</v>
      </c>
      <c r="J1099" s="7">
        <v>4.0</v>
      </c>
      <c r="K1099" s="7" t="s">
        <v>28</v>
      </c>
      <c r="L1099" s="9" t="str">
        <f>VLOOKUP(K1099, 'Alphabetical by species code'!A:B, 2, FALSE)</f>
        <v>Litter</v>
      </c>
    </row>
    <row r="1100">
      <c r="A1100" s="7">
        <v>13.0</v>
      </c>
      <c r="B1100" s="7">
        <v>2025.0</v>
      </c>
      <c r="C1100" s="8">
        <v>45790.0</v>
      </c>
      <c r="D1100" s="7" t="s">
        <v>83</v>
      </c>
      <c r="E1100" s="7" t="s">
        <v>85</v>
      </c>
      <c r="F1100" s="7">
        <v>3.0</v>
      </c>
      <c r="G1100" s="7" t="s">
        <v>27</v>
      </c>
      <c r="H1100" s="7">
        <v>1.0</v>
      </c>
      <c r="I1100" s="7">
        <v>9.0</v>
      </c>
      <c r="J1100" s="7">
        <v>4.0</v>
      </c>
      <c r="K1100" s="7" t="s">
        <v>35</v>
      </c>
      <c r="L1100" s="9" t="str">
        <f>VLOOKUP(K1100, 'Alphabetical by species code'!A:B, 2, FALSE)</f>
        <v>Deinandra fasciculata</v>
      </c>
    </row>
    <row r="1101">
      <c r="A1101" s="7">
        <v>13.0</v>
      </c>
      <c r="B1101" s="7">
        <v>2025.0</v>
      </c>
      <c r="C1101" s="8">
        <v>45790.0</v>
      </c>
      <c r="D1101" s="7" t="s">
        <v>83</v>
      </c>
      <c r="E1101" s="7" t="s">
        <v>85</v>
      </c>
      <c r="F1101" s="7">
        <v>3.0</v>
      </c>
      <c r="G1101" s="7" t="s">
        <v>27</v>
      </c>
      <c r="H1101" s="7">
        <v>1.0</v>
      </c>
      <c r="I1101" s="7">
        <v>9.0</v>
      </c>
      <c r="J1101" s="7">
        <v>4.0</v>
      </c>
      <c r="K1101" s="7" t="s">
        <v>31</v>
      </c>
      <c r="L1101" s="9" t="str">
        <f>VLOOKUP(K1101, 'Alphabetical by species code'!A:B, 2, FALSE)</f>
        <v>Festuca myuros</v>
      </c>
    </row>
    <row r="1102">
      <c r="A1102" s="7">
        <v>13.0</v>
      </c>
      <c r="B1102" s="7">
        <v>2025.0</v>
      </c>
      <c r="C1102" s="8">
        <v>45790.0</v>
      </c>
      <c r="D1102" s="7" t="s">
        <v>83</v>
      </c>
      <c r="E1102" s="7" t="s">
        <v>85</v>
      </c>
      <c r="F1102" s="7">
        <v>3.0</v>
      </c>
      <c r="G1102" s="7" t="s">
        <v>27</v>
      </c>
      <c r="H1102" s="7">
        <v>1.0</v>
      </c>
      <c r="I1102" s="7">
        <v>10.0</v>
      </c>
      <c r="J1102" s="7">
        <v>4.5</v>
      </c>
      <c r="K1102" s="7" t="s">
        <v>28</v>
      </c>
      <c r="L1102" s="9" t="str">
        <f>VLOOKUP(K1102, 'Alphabetical by species code'!A:B, 2, FALSE)</f>
        <v>Litter</v>
      </c>
    </row>
    <row r="1103">
      <c r="A1103" s="7">
        <v>13.0</v>
      </c>
      <c r="B1103" s="7">
        <v>2025.0</v>
      </c>
      <c r="C1103" s="8">
        <v>45790.0</v>
      </c>
      <c r="D1103" s="7" t="s">
        <v>83</v>
      </c>
      <c r="E1103" s="7" t="s">
        <v>85</v>
      </c>
      <c r="F1103" s="7">
        <v>3.0</v>
      </c>
      <c r="G1103" s="7" t="s">
        <v>27</v>
      </c>
      <c r="H1103" s="7">
        <v>1.0</v>
      </c>
      <c r="I1103" s="7">
        <v>10.0</v>
      </c>
      <c r="J1103" s="7">
        <v>4.5</v>
      </c>
      <c r="K1103" s="7" t="s">
        <v>31</v>
      </c>
      <c r="L1103" s="9" t="str">
        <f>VLOOKUP(K1103, 'Alphabetical by species code'!A:B, 2, FALSE)</f>
        <v>Festuca myuros</v>
      </c>
    </row>
    <row r="1104">
      <c r="A1104" s="7">
        <v>13.0</v>
      </c>
      <c r="B1104" s="7">
        <v>2025.0</v>
      </c>
      <c r="C1104" s="8">
        <v>45790.0</v>
      </c>
      <c r="D1104" s="7" t="s">
        <v>83</v>
      </c>
      <c r="E1104" s="7" t="s">
        <v>85</v>
      </c>
      <c r="F1104" s="7">
        <v>3.0</v>
      </c>
      <c r="G1104" s="7" t="s">
        <v>27</v>
      </c>
      <c r="H1104" s="7">
        <v>1.0</v>
      </c>
      <c r="I1104" s="7">
        <v>10.0</v>
      </c>
      <c r="J1104" s="7">
        <v>4.5</v>
      </c>
      <c r="K1104" s="7" t="s">
        <v>36</v>
      </c>
      <c r="L1104" s="9" t="str">
        <f>VLOOKUP(K1104, 'Alphabetical by species code'!A:B, 2, FALSE)</f>
        <v>Bromus madritensis</v>
      </c>
    </row>
    <row r="1105">
      <c r="A1105" s="7">
        <v>13.0</v>
      </c>
      <c r="B1105" s="7">
        <v>2025.0</v>
      </c>
      <c r="C1105" s="8">
        <v>45790.0</v>
      </c>
      <c r="D1105" s="7" t="s">
        <v>83</v>
      </c>
      <c r="E1105" s="7" t="s">
        <v>85</v>
      </c>
      <c r="F1105" s="7">
        <v>3.0</v>
      </c>
      <c r="G1105" s="7" t="s">
        <v>27</v>
      </c>
      <c r="H1105" s="7">
        <v>1.0</v>
      </c>
      <c r="I1105" s="7">
        <v>11.0</v>
      </c>
      <c r="J1105" s="7">
        <v>5.0</v>
      </c>
      <c r="K1105" s="7" t="s">
        <v>51</v>
      </c>
      <c r="L1105" s="9" t="str">
        <f>VLOOKUP(K1105, 'Alphabetical by species code'!A:B, 2, FALSE)</f>
        <v>Bareground</v>
      </c>
    </row>
    <row r="1106">
      <c r="A1106" s="7">
        <v>13.0</v>
      </c>
      <c r="B1106" s="7">
        <v>2025.0</v>
      </c>
      <c r="C1106" s="8">
        <v>45790.0</v>
      </c>
      <c r="D1106" s="7" t="s">
        <v>83</v>
      </c>
      <c r="E1106" s="7" t="s">
        <v>85</v>
      </c>
      <c r="F1106" s="7">
        <v>3.0</v>
      </c>
      <c r="G1106" s="7" t="s">
        <v>27</v>
      </c>
      <c r="H1106" s="7">
        <v>1.0</v>
      </c>
      <c r="I1106" s="7">
        <v>11.0</v>
      </c>
      <c r="J1106" s="7">
        <v>5.0</v>
      </c>
      <c r="K1106" s="7" t="s">
        <v>35</v>
      </c>
      <c r="L1106" s="9" t="str">
        <f>VLOOKUP(K1106, 'Alphabetical by species code'!A:B, 2, FALSE)</f>
        <v>Deinandra fasciculata</v>
      </c>
    </row>
    <row r="1107">
      <c r="A1107" s="7">
        <v>13.0</v>
      </c>
      <c r="B1107" s="7">
        <v>2025.0</v>
      </c>
      <c r="C1107" s="8">
        <v>45790.0</v>
      </c>
      <c r="D1107" s="7" t="s">
        <v>83</v>
      </c>
      <c r="E1107" s="7" t="s">
        <v>85</v>
      </c>
      <c r="F1107" s="7">
        <v>3.0</v>
      </c>
      <c r="G1107" s="7" t="s">
        <v>27</v>
      </c>
      <c r="H1107" s="7">
        <v>1.0</v>
      </c>
      <c r="I1107" s="7">
        <v>11.0</v>
      </c>
      <c r="J1107" s="7">
        <v>5.0</v>
      </c>
      <c r="K1107" s="7" t="s">
        <v>31</v>
      </c>
      <c r="L1107" s="9" t="str">
        <f>VLOOKUP(K1107, 'Alphabetical by species code'!A:B, 2, FALSE)</f>
        <v>Festuca myuros</v>
      </c>
    </row>
    <row r="1108">
      <c r="A1108" s="7">
        <v>13.0</v>
      </c>
      <c r="B1108" s="7">
        <v>2025.0</v>
      </c>
      <c r="C1108" s="8">
        <v>45790.0</v>
      </c>
      <c r="D1108" s="7" t="s">
        <v>83</v>
      </c>
      <c r="E1108" s="7" t="s">
        <v>85</v>
      </c>
      <c r="F1108" s="7">
        <v>3.0</v>
      </c>
      <c r="G1108" s="7" t="s">
        <v>27</v>
      </c>
      <c r="H1108" s="7">
        <v>1.0</v>
      </c>
      <c r="I1108" s="7">
        <v>12.0</v>
      </c>
      <c r="J1108" s="7">
        <v>5.5</v>
      </c>
      <c r="K1108" s="7" t="s">
        <v>51</v>
      </c>
      <c r="L1108" s="9" t="str">
        <f>VLOOKUP(K1108, 'Alphabetical by species code'!A:B, 2, FALSE)</f>
        <v>Bareground</v>
      </c>
    </row>
    <row r="1109">
      <c r="A1109" s="7">
        <v>13.0</v>
      </c>
      <c r="B1109" s="7">
        <v>2025.0</v>
      </c>
      <c r="C1109" s="8">
        <v>45790.0</v>
      </c>
      <c r="D1109" s="7" t="s">
        <v>83</v>
      </c>
      <c r="E1109" s="7" t="s">
        <v>85</v>
      </c>
      <c r="F1109" s="7">
        <v>3.0</v>
      </c>
      <c r="G1109" s="7" t="s">
        <v>27</v>
      </c>
      <c r="H1109" s="7">
        <v>1.0</v>
      </c>
      <c r="I1109" s="7">
        <v>12.0</v>
      </c>
      <c r="J1109" s="7">
        <v>5.5</v>
      </c>
      <c r="K1109" s="7" t="s">
        <v>31</v>
      </c>
      <c r="L1109" s="9" t="str">
        <f>VLOOKUP(K1109, 'Alphabetical by species code'!A:B, 2, FALSE)</f>
        <v>Festuca myuros</v>
      </c>
    </row>
    <row r="1110">
      <c r="A1110" s="7">
        <v>13.0</v>
      </c>
      <c r="B1110" s="7">
        <v>2025.0</v>
      </c>
      <c r="C1110" s="8">
        <v>45790.0</v>
      </c>
      <c r="D1110" s="7" t="s">
        <v>83</v>
      </c>
      <c r="E1110" s="7" t="s">
        <v>85</v>
      </c>
      <c r="F1110" s="7">
        <v>3.0</v>
      </c>
      <c r="G1110" s="7" t="s">
        <v>27</v>
      </c>
      <c r="H1110" s="7">
        <v>1.0</v>
      </c>
      <c r="I1110" s="7">
        <v>13.0</v>
      </c>
      <c r="J1110" s="7">
        <v>6.5</v>
      </c>
      <c r="K1110" s="7" t="s">
        <v>28</v>
      </c>
      <c r="L1110" s="9" t="str">
        <f>VLOOKUP(K1110, 'Alphabetical by species code'!A:B, 2, FALSE)</f>
        <v>Litter</v>
      </c>
    </row>
    <row r="1111">
      <c r="A1111" s="7">
        <v>13.0</v>
      </c>
      <c r="B1111" s="7">
        <v>2025.0</v>
      </c>
      <c r="C1111" s="8">
        <v>45790.0</v>
      </c>
      <c r="D1111" s="7" t="s">
        <v>83</v>
      </c>
      <c r="E1111" s="7" t="s">
        <v>85</v>
      </c>
      <c r="F1111" s="7">
        <v>3.0</v>
      </c>
      <c r="G1111" s="7" t="s">
        <v>27</v>
      </c>
      <c r="H1111" s="7">
        <v>1.0</v>
      </c>
      <c r="I1111" s="7">
        <v>13.0</v>
      </c>
      <c r="J1111" s="7">
        <v>6.5</v>
      </c>
      <c r="K1111" s="7" t="s">
        <v>31</v>
      </c>
      <c r="L1111" s="9" t="str">
        <f>VLOOKUP(K1111, 'Alphabetical by species code'!A:B, 2, FALSE)</f>
        <v>Festuca myuros</v>
      </c>
    </row>
    <row r="1112">
      <c r="A1112" s="7">
        <v>13.0</v>
      </c>
      <c r="B1112" s="7">
        <v>2025.0</v>
      </c>
      <c r="C1112" s="8">
        <v>45790.0</v>
      </c>
      <c r="D1112" s="7" t="s">
        <v>83</v>
      </c>
      <c r="E1112" s="7" t="s">
        <v>85</v>
      </c>
      <c r="F1112" s="7">
        <v>3.0</v>
      </c>
      <c r="G1112" s="7" t="s">
        <v>27</v>
      </c>
      <c r="H1112" s="7">
        <v>1.0</v>
      </c>
      <c r="I1112" s="7">
        <v>14.0</v>
      </c>
      <c r="J1112" s="7">
        <v>7.0</v>
      </c>
      <c r="K1112" s="7" t="s">
        <v>28</v>
      </c>
      <c r="L1112" s="9" t="str">
        <f>VLOOKUP(K1112, 'Alphabetical by species code'!A:B, 2, FALSE)</f>
        <v>Litter</v>
      </c>
    </row>
    <row r="1113">
      <c r="A1113" s="7">
        <v>13.0</v>
      </c>
      <c r="B1113" s="7">
        <v>2025.0</v>
      </c>
      <c r="C1113" s="8">
        <v>45790.0</v>
      </c>
      <c r="D1113" s="7" t="s">
        <v>83</v>
      </c>
      <c r="E1113" s="7" t="s">
        <v>85</v>
      </c>
      <c r="F1113" s="7">
        <v>3.0</v>
      </c>
      <c r="G1113" s="7" t="s">
        <v>27</v>
      </c>
      <c r="H1113" s="7">
        <v>1.0</v>
      </c>
      <c r="I1113" s="7">
        <v>14.0</v>
      </c>
      <c r="J1113" s="7">
        <v>7.0</v>
      </c>
      <c r="K1113" s="7" t="s">
        <v>35</v>
      </c>
      <c r="L1113" s="9" t="str">
        <f>VLOOKUP(K1113, 'Alphabetical by species code'!A:B, 2, FALSE)</f>
        <v>Deinandra fasciculata</v>
      </c>
    </row>
    <row r="1114">
      <c r="A1114" s="7">
        <v>13.0</v>
      </c>
      <c r="B1114" s="7">
        <v>2025.0</v>
      </c>
      <c r="C1114" s="8">
        <v>45790.0</v>
      </c>
      <c r="D1114" s="7" t="s">
        <v>83</v>
      </c>
      <c r="E1114" s="7" t="s">
        <v>85</v>
      </c>
      <c r="F1114" s="7">
        <v>3.0</v>
      </c>
      <c r="G1114" s="7" t="s">
        <v>27</v>
      </c>
      <c r="H1114" s="7">
        <v>1.0</v>
      </c>
      <c r="I1114" s="7">
        <v>14.0</v>
      </c>
      <c r="J1114" s="7">
        <v>7.0</v>
      </c>
      <c r="K1114" s="7" t="s">
        <v>31</v>
      </c>
      <c r="L1114" s="9" t="str">
        <f>VLOOKUP(K1114, 'Alphabetical by species code'!A:B, 2, FALSE)</f>
        <v>Festuca myuros</v>
      </c>
    </row>
    <row r="1115">
      <c r="A1115" s="7">
        <v>13.0</v>
      </c>
      <c r="B1115" s="7">
        <v>2025.0</v>
      </c>
      <c r="C1115" s="8">
        <v>45790.0</v>
      </c>
      <c r="D1115" s="7" t="s">
        <v>83</v>
      </c>
      <c r="E1115" s="7" t="s">
        <v>85</v>
      </c>
      <c r="F1115" s="7">
        <v>3.0</v>
      </c>
      <c r="G1115" s="7" t="s">
        <v>27</v>
      </c>
      <c r="H1115" s="7">
        <v>1.0</v>
      </c>
      <c r="I1115" s="7">
        <v>15.0</v>
      </c>
      <c r="J1115" s="7">
        <v>7.5</v>
      </c>
      <c r="K1115" s="7" t="s">
        <v>28</v>
      </c>
      <c r="L1115" s="9" t="str">
        <f>VLOOKUP(K1115, 'Alphabetical by species code'!A:B, 2, FALSE)</f>
        <v>Litter</v>
      </c>
    </row>
    <row r="1116">
      <c r="A1116" s="7">
        <v>13.0</v>
      </c>
      <c r="B1116" s="7">
        <v>2025.0</v>
      </c>
      <c r="C1116" s="8">
        <v>45790.0</v>
      </c>
      <c r="D1116" s="7" t="s">
        <v>83</v>
      </c>
      <c r="E1116" s="7" t="s">
        <v>85</v>
      </c>
      <c r="F1116" s="7">
        <v>3.0</v>
      </c>
      <c r="G1116" s="7" t="s">
        <v>27</v>
      </c>
      <c r="H1116" s="7">
        <v>1.0</v>
      </c>
      <c r="I1116" s="7">
        <v>15.0</v>
      </c>
      <c r="J1116" s="7">
        <v>7.5</v>
      </c>
      <c r="K1116" s="7" t="s">
        <v>36</v>
      </c>
      <c r="L1116" s="9" t="str">
        <f>VLOOKUP(K1116, 'Alphabetical by species code'!A:B, 2, FALSE)</f>
        <v>Bromus madritensis</v>
      </c>
    </row>
    <row r="1117">
      <c r="A1117" s="7">
        <v>13.0</v>
      </c>
      <c r="B1117" s="7">
        <v>2025.0</v>
      </c>
      <c r="C1117" s="8">
        <v>45790.0</v>
      </c>
      <c r="D1117" s="7" t="s">
        <v>83</v>
      </c>
      <c r="E1117" s="7" t="s">
        <v>85</v>
      </c>
      <c r="F1117" s="7">
        <v>3.0</v>
      </c>
      <c r="G1117" s="7" t="s">
        <v>27</v>
      </c>
      <c r="H1117" s="7">
        <v>2.0</v>
      </c>
      <c r="I1117" s="7">
        <v>1.0</v>
      </c>
      <c r="J1117" s="7">
        <v>0.0</v>
      </c>
      <c r="K1117" s="7" t="s">
        <v>38</v>
      </c>
      <c r="L1117" s="9" t="str">
        <f>VLOOKUP(K1117, 'Alphabetical by species code'!A:B, 2, FALSE)</f>
        <v>Thatch</v>
      </c>
    </row>
    <row r="1118">
      <c r="A1118" s="7">
        <v>13.0</v>
      </c>
      <c r="B1118" s="7">
        <v>2025.0</v>
      </c>
      <c r="C1118" s="8">
        <v>45790.0</v>
      </c>
      <c r="D1118" s="7" t="s">
        <v>83</v>
      </c>
      <c r="E1118" s="7" t="s">
        <v>85</v>
      </c>
      <c r="F1118" s="7">
        <v>3.0</v>
      </c>
      <c r="G1118" s="7" t="s">
        <v>27</v>
      </c>
      <c r="H1118" s="7">
        <v>2.0</v>
      </c>
      <c r="I1118" s="7">
        <v>1.0</v>
      </c>
      <c r="J1118" s="7">
        <v>0.0</v>
      </c>
      <c r="K1118" s="7" t="s">
        <v>36</v>
      </c>
      <c r="L1118" s="9" t="str">
        <f>VLOOKUP(K1118, 'Alphabetical by species code'!A:B, 2, FALSE)</f>
        <v>Bromus madritensis</v>
      </c>
    </row>
    <row r="1119">
      <c r="A1119" s="7">
        <v>13.0</v>
      </c>
      <c r="B1119" s="7">
        <v>2025.0</v>
      </c>
      <c r="C1119" s="8">
        <v>45790.0</v>
      </c>
      <c r="D1119" s="7" t="s">
        <v>83</v>
      </c>
      <c r="E1119" s="7" t="s">
        <v>85</v>
      </c>
      <c r="F1119" s="7">
        <v>3.0</v>
      </c>
      <c r="G1119" s="7" t="s">
        <v>27</v>
      </c>
      <c r="H1119" s="7">
        <v>2.0</v>
      </c>
      <c r="I1119" s="7">
        <v>2.0</v>
      </c>
      <c r="J1119" s="7">
        <v>0.5</v>
      </c>
      <c r="K1119" s="7" t="s">
        <v>28</v>
      </c>
      <c r="L1119" s="9" t="str">
        <f>VLOOKUP(K1119, 'Alphabetical by species code'!A:B, 2, FALSE)</f>
        <v>Litter</v>
      </c>
    </row>
    <row r="1120">
      <c r="A1120" s="7">
        <v>13.0</v>
      </c>
      <c r="B1120" s="7">
        <v>2025.0</v>
      </c>
      <c r="C1120" s="8">
        <v>45790.0</v>
      </c>
      <c r="D1120" s="7" t="s">
        <v>83</v>
      </c>
      <c r="E1120" s="7" t="s">
        <v>85</v>
      </c>
      <c r="F1120" s="7">
        <v>3.0</v>
      </c>
      <c r="G1120" s="7" t="s">
        <v>27</v>
      </c>
      <c r="H1120" s="7">
        <v>2.0</v>
      </c>
      <c r="I1120" s="7">
        <v>2.0</v>
      </c>
      <c r="J1120" s="7">
        <v>0.5</v>
      </c>
      <c r="K1120" s="7" t="s">
        <v>31</v>
      </c>
      <c r="L1120" s="9" t="str">
        <f>VLOOKUP(K1120, 'Alphabetical by species code'!A:B, 2, FALSE)</f>
        <v>Festuca myuros</v>
      </c>
    </row>
    <row r="1121">
      <c r="A1121" s="7">
        <v>13.0</v>
      </c>
      <c r="B1121" s="7">
        <v>2025.0</v>
      </c>
      <c r="C1121" s="8">
        <v>45790.0</v>
      </c>
      <c r="D1121" s="7" t="s">
        <v>83</v>
      </c>
      <c r="E1121" s="7" t="s">
        <v>85</v>
      </c>
      <c r="F1121" s="7">
        <v>3.0</v>
      </c>
      <c r="G1121" s="7" t="s">
        <v>27</v>
      </c>
      <c r="H1121" s="7">
        <v>2.0</v>
      </c>
      <c r="I1121" s="7">
        <v>2.0</v>
      </c>
      <c r="J1121" s="7">
        <v>0.5</v>
      </c>
      <c r="K1121" s="7" t="s">
        <v>36</v>
      </c>
      <c r="L1121" s="9" t="str">
        <f>VLOOKUP(K1121, 'Alphabetical by species code'!A:B, 2, FALSE)</f>
        <v>Bromus madritensis</v>
      </c>
    </row>
    <row r="1122">
      <c r="A1122" s="7">
        <v>13.0</v>
      </c>
      <c r="B1122" s="7">
        <v>2025.0</v>
      </c>
      <c r="C1122" s="8">
        <v>45790.0</v>
      </c>
      <c r="D1122" s="7" t="s">
        <v>83</v>
      </c>
      <c r="E1122" s="7" t="s">
        <v>85</v>
      </c>
      <c r="F1122" s="7">
        <v>3.0</v>
      </c>
      <c r="G1122" s="7" t="s">
        <v>27</v>
      </c>
      <c r="H1122" s="7">
        <v>2.0</v>
      </c>
      <c r="I1122" s="7">
        <v>3.0</v>
      </c>
      <c r="J1122" s="7">
        <v>1.0</v>
      </c>
      <c r="K1122" s="7" t="s">
        <v>38</v>
      </c>
      <c r="L1122" s="9" t="str">
        <f>VLOOKUP(K1122, 'Alphabetical by species code'!A:B, 2, FALSE)</f>
        <v>Thatch</v>
      </c>
    </row>
    <row r="1123">
      <c r="A1123" s="7">
        <v>13.0</v>
      </c>
      <c r="B1123" s="7">
        <v>2025.0</v>
      </c>
      <c r="C1123" s="8">
        <v>45790.0</v>
      </c>
      <c r="D1123" s="7" t="s">
        <v>83</v>
      </c>
      <c r="E1123" s="7" t="s">
        <v>85</v>
      </c>
      <c r="F1123" s="7">
        <v>3.0</v>
      </c>
      <c r="G1123" s="7" t="s">
        <v>27</v>
      </c>
      <c r="H1123" s="7">
        <v>2.0</v>
      </c>
      <c r="I1123" s="7">
        <v>3.0</v>
      </c>
      <c r="J1123" s="7">
        <v>1.0</v>
      </c>
      <c r="K1123" s="7" t="s">
        <v>36</v>
      </c>
      <c r="L1123" s="9" t="str">
        <f>VLOOKUP(K1123, 'Alphabetical by species code'!A:B, 2, FALSE)</f>
        <v>Bromus madritensis</v>
      </c>
    </row>
    <row r="1124">
      <c r="A1124" s="7">
        <v>13.0</v>
      </c>
      <c r="B1124" s="7">
        <v>2025.0</v>
      </c>
      <c r="C1124" s="8">
        <v>45790.0</v>
      </c>
      <c r="D1124" s="7" t="s">
        <v>83</v>
      </c>
      <c r="E1124" s="7" t="s">
        <v>85</v>
      </c>
      <c r="F1124" s="7">
        <v>3.0</v>
      </c>
      <c r="G1124" s="7" t="s">
        <v>27</v>
      </c>
      <c r="H1124" s="7">
        <v>2.0</v>
      </c>
      <c r="I1124" s="7">
        <v>3.0</v>
      </c>
      <c r="J1124" s="7">
        <v>1.0</v>
      </c>
      <c r="K1124" s="7" t="s">
        <v>31</v>
      </c>
      <c r="L1124" s="9" t="str">
        <f>VLOOKUP(K1124, 'Alphabetical by species code'!A:B, 2, FALSE)</f>
        <v>Festuca myuros</v>
      </c>
    </row>
    <row r="1125">
      <c r="A1125" s="7">
        <v>13.0</v>
      </c>
      <c r="B1125" s="7">
        <v>2025.0</v>
      </c>
      <c r="C1125" s="8">
        <v>45790.0</v>
      </c>
      <c r="D1125" s="7" t="s">
        <v>83</v>
      </c>
      <c r="E1125" s="7" t="s">
        <v>85</v>
      </c>
      <c r="F1125" s="7">
        <v>3.0</v>
      </c>
      <c r="G1125" s="7" t="s">
        <v>27</v>
      </c>
      <c r="H1125" s="7">
        <v>2.0</v>
      </c>
      <c r="I1125" s="7">
        <v>4.0</v>
      </c>
      <c r="J1125" s="7">
        <v>1.5</v>
      </c>
      <c r="K1125" s="7" t="s">
        <v>28</v>
      </c>
      <c r="L1125" s="9" t="str">
        <f>VLOOKUP(K1125, 'Alphabetical by species code'!A:B, 2, FALSE)</f>
        <v>Litter</v>
      </c>
    </row>
    <row r="1126">
      <c r="A1126" s="7">
        <v>13.0</v>
      </c>
      <c r="B1126" s="7">
        <v>2025.0</v>
      </c>
      <c r="C1126" s="8">
        <v>45790.0</v>
      </c>
      <c r="D1126" s="7" t="s">
        <v>83</v>
      </c>
      <c r="E1126" s="7" t="s">
        <v>85</v>
      </c>
      <c r="F1126" s="7">
        <v>3.0</v>
      </c>
      <c r="G1126" s="7" t="s">
        <v>27</v>
      </c>
      <c r="H1126" s="7">
        <v>2.0</v>
      </c>
      <c r="I1126" s="7">
        <v>4.0</v>
      </c>
      <c r="J1126" s="7">
        <v>1.5</v>
      </c>
      <c r="K1126" s="7" t="s">
        <v>36</v>
      </c>
      <c r="L1126" s="9" t="str">
        <f>VLOOKUP(K1126, 'Alphabetical by species code'!A:B, 2, FALSE)</f>
        <v>Bromus madritensis</v>
      </c>
    </row>
    <row r="1127">
      <c r="A1127" s="7">
        <v>13.0</v>
      </c>
      <c r="B1127" s="7">
        <v>2025.0</v>
      </c>
      <c r="C1127" s="8">
        <v>45790.0</v>
      </c>
      <c r="D1127" s="7" t="s">
        <v>83</v>
      </c>
      <c r="E1127" s="7" t="s">
        <v>85</v>
      </c>
      <c r="F1127" s="7">
        <v>3.0</v>
      </c>
      <c r="G1127" s="7" t="s">
        <v>27</v>
      </c>
      <c r="H1127" s="7">
        <v>2.0</v>
      </c>
      <c r="I1127" s="7">
        <v>4.0</v>
      </c>
      <c r="J1127" s="7">
        <v>1.5</v>
      </c>
      <c r="K1127" s="7" t="s">
        <v>43</v>
      </c>
      <c r="L1127" s="9" t="str">
        <f>VLOOKUP(K1127, 'Alphabetical by species code'!A:B, 2, FALSE)</f>
        <v>Uropappus lindleyi</v>
      </c>
    </row>
    <row r="1128">
      <c r="A1128" s="7">
        <v>13.0</v>
      </c>
      <c r="B1128" s="7">
        <v>2025.0</v>
      </c>
      <c r="C1128" s="8">
        <v>45790.0</v>
      </c>
      <c r="D1128" s="7" t="s">
        <v>83</v>
      </c>
      <c r="E1128" s="7" t="s">
        <v>85</v>
      </c>
      <c r="F1128" s="7">
        <v>3.0</v>
      </c>
      <c r="G1128" s="7" t="s">
        <v>27</v>
      </c>
      <c r="H1128" s="7">
        <v>2.0</v>
      </c>
      <c r="I1128" s="7">
        <v>5.0</v>
      </c>
      <c r="J1128" s="7">
        <v>2.5</v>
      </c>
      <c r="K1128" s="7" t="s">
        <v>28</v>
      </c>
      <c r="L1128" s="9" t="str">
        <f>VLOOKUP(K1128, 'Alphabetical by species code'!A:B, 2, FALSE)</f>
        <v>Litter</v>
      </c>
    </row>
    <row r="1129">
      <c r="A1129" s="7">
        <v>13.0</v>
      </c>
      <c r="B1129" s="7">
        <v>2025.0</v>
      </c>
      <c r="C1129" s="8">
        <v>45790.0</v>
      </c>
      <c r="D1129" s="7" t="s">
        <v>83</v>
      </c>
      <c r="E1129" s="7" t="s">
        <v>85</v>
      </c>
      <c r="F1129" s="7">
        <v>3.0</v>
      </c>
      <c r="G1129" s="7" t="s">
        <v>27</v>
      </c>
      <c r="H1129" s="7">
        <v>2.0</v>
      </c>
      <c r="I1129" s="7">
        <v>5.0</v>
      </c>
      <c r="J1129" s="7">
        <v>2.5</v>
      </c>
      <c r="K1129" s="7" t="s">
        <v>31</v>
      </c>
      <c r="L1129" s="9" t="str">
        <f>VLOOKUP(K1129, 'Alphabetical by species code'!A:B, 2, FALSE)</f>
        <v>Festuca myuros</v>
      </c>
    </row>
    <row r="1130">
      <c r="A1130" s="7">
        <v>13.0</v>
      </c>
      <c r="B1130" s="7">
        <v>2025.0</v>
      </c>
      <c r="C1130" s="8">
        <v>45790.0</v>
      </c>
      <c r="D1130" s="7" t="s">
        <v>83</v>
      </c>
      <c r="E1130" s="7" t="s">
        <v>85</v>
      </c>
      <c r="F1130" s="7">
        <v>3.0</v>
      </c>
      <c r="G1130" s="7" t="s">
        <v>27</v>
      </c>
      <c r="H1130" s="7">
        <v>2.0</v>
      </c>
      <c r="I1130" s="7">
        <v>6.0</v>
      </c>
      <c r="J1130" s="7">
        <v>3.0</v>
      </c>
      <c r="K1130" s="7" t="s">
        <v>28</v>
      </c>
      <c r="L1130" s="9" t="str">
        <f>VLOOKUP(K1130, 'Alphabetical by species code'!A:B, 2, FALSE)</f>
        <v>Litter</v>
      </c>
    </row>
    <row r="1131">
      <c r="A1131" s="7">
        <v>13.0</v>
      </c>
      <c r="B1131" s="7">
        <v>2025.0</v>
      </c>
      <c r="C1131" s="8">
        <v>45790.0</v>
      </c>
      <c r="D1131" s="7" t="s">
        <v>83</v>
      </c>
      <c r="E1131" s="7" t="s">
        <v>85</v>
      </c>
      <c r="F1131" s="7">
        <v>3.0</v>
      </c>
      <c r="G1131" s="7" t="s">
        <v>27</v>
      </c>
      <c r="H1131" s="7">
        <v>2.0</v>
      </c>
      <c r="I1131" s="7">
        <v>6.0</v>
      </c>
      <c r="J1131" s="7">
        <v>3.0</v>
      </c>
      <c r="K1131" s="7" t="s">
        <v>36</v>
      </c>
      <c r="L1131" s="9" t="str">
        <f>VLOOKUP(K1131, 'Alphabetical by species code'!A:B, 2, FALSE)</f>
        <v>Bromus madritensis</v>
      </c>
    </row>
    <row r="1132">
      <c r="A1132" s="7">
        <v>13.0</v>
      </c>
      <c r="B1132" s="7">
        <v>2025.0</v>
      </c>
      <c r="C1132" s="8">
        <v>45790.0</v>
      </c>
      <c r="D1132" s="7" t="s">
        <v>83</v>
      </c>
      <c r="E1132" s="7" t="s">
        <v>85</v>
      </c>
      <c r="F1132" s="7">
        <v>3.0</v>
      </c>
      <c r="G1132" s="7" t="s">
        <v>27</v>
      </c>
      <c r="H1132" s="7">
        <v>2.0</v>
      </c>
      <c r="I1132" s="7">
        <v>7.0</v>
      </c>
      <c r="J1132" s="7">
        <v>3.5</v>
      </c>
      <c r="K1132" s="7" t="s">
        <v>28</v>
      </c>
      <c r="L1132" s="9" t="str">
        <f>VLOOKUP(K1132, 'Alphabetical by species code'!A:B, 2, FALSE)</f>
        <v>Litter</v>
      </c>
    </row>
    <row r="1133">
      <c r="A1133" s="7">
        <v>13.0</v>
      </c>
      <c r="B1133" s="7">
        <v>2025.0</v>
      </c>
      <c r="C1133" s="8">
        <v>45790.0</v>
      </c>
      <c r="D1133" s="7" t="s">
        <v>83</v>
      </c>
      <c r="E1133" s="7" t="s">
        <v>85</v>
      </c>
      <c r="F1133" s="7">
        <v>3.0</v>
      </c>
      <c r="G1133" s="7" t="s">
        <v>27</v>
      </c>
      <c r="H1133" s="7">
        <v>2.0</v>
      </c>
      <c r="I1133" s="7">
        <v>7.0</v>
      </c>
      <c r="J1133" s="7">
        <v>3.5</v>
      </c>
      <c r="K1133" s="7" t="s">
        <v>35</v>
      </c>
      <c r="L1133" s="9" t="str">
        <f>VLOOKUP(K1133, 'Alphabetical by species code'!A:B, 2, FALSE)</f>
        <v>Deinandra fasciculata</v>
      </c>
    </row>
    <row r="1134">
      <c r="A1134" s="7">
        <v>13.0</v>
      </c>
      <c r="B1134" s="7">
        <v>2025.0</v>
      </c>
      <c r="C1134" s="8">
        <v>45790.0</v>
      </c>
      <c r="D1134" s="7" t="s">
        <v>83</v>
      </c>
      <c r="E1134" s="7" t="s">
        <v>85</v>
      </c>
      <c r="F1134" s="7">
        <v>3.0</v>
      </c>
      <c r="G1134" s="7" t="s">
        <v>27</v>
      </c>
      <c r="H1134" s="7">
        <v>2.0</v>
      </c>
      <c r="I1134" s="7">
        <v>7.0</v>
      </c>
      <c r="J1134" s="7">
        <v>3.5</v>
      </c>
      <c r="K1134" s="7" t="s">
        <v>36</v>
      </c>
      <c r="L1134" s="9" t="str">
        <f>VLOOKUP(K1134, 'Alphabetical by species code'!A:B, 2, FALSE)</f>
        <v>Bromus madritensis</v>
      </c>
    </row>
    <row r="1135">
      <c r="A1135" s="7">
        <v>13.0</v>
      </c>
      <c r="B1135" s="7">
        <v>2025.0</v>
      </c>
      <c r="C1135" s="8">
        <v>45790.0</v>
      </c>
      <c r="D1135" s="7" t="s">
        <v>83</v>
      </c>
      <c r="E1135" s="7" t="s">
        <v>85</v>
      </c>
      <c r="F1135" s="7">
        <v>3.0</v>
      </c>
      <c r="G1135" s="7" t="s">
        <v>27</v>
      </c>
      <c r="H1135" s="7">
        <v>2.0</v>
      </c>
      <c r="I1135" s="7">
        <v>7.0</v>
      </c>
      <c r="J1135" s="7">
        <v>3.5</v>
      </c>
      <c r="K1135" s="7" t="s">
        <v>31</v>
      </c>
      <c r="L1135" s="9" t="str">
        <f>VLOOKUP(K1135, 'Alphabetical by species code'!A:B, 2, FALSE)</f>
        <v>Festuca myuros</v>
      </c>
    </row>
    <row r="1136">
      <c r="A1136" s="7">
        <v>13.0</v>
      </c>
      <c r="B1136" s="7">
        <v>2025.0</v>
      </c>
      <c r="C1136" s="8">
        <v>45790.0</v>
      </c>
      <c r="D1136" s="7" t="s">
        <v>83</v>
      </c>
      <c r="E1136" s="7" t="s">
        <v>85</v>
      </c>
      <c r="F1136" s="7">
        <v>3.0</v>
      </c>
      <c r="G1136" s="7" t="s">
        <v>27</v>
      </c>
      <c r="H1136" s="7">
        <v>2.0</v>
      </c>
      <c r="I1136" s="7">
        <v>8.0</v>
      </c>
      <c r="J1136" s="7">
        <v>4.0</v>
      </c>
      <c r="K1136" s="7" t="s">
        <v>28</v>
      </c>
      <c r="L1136" s="9" t="str">
        <f>VLOOKUP(K1136, 'Alphabetical by species code'!A:B, 2, FALSE)</f>
        <v>Litter</v>
      </c>
    </row>
    <row r="1137">
      <c r="A1137" s="7">
        <v>13.0</v>
      </c>
      <c r="B1137" s="7">
        <v>2025.0</v>
      </c>
      <c r="C1137" s="8">
        <v>45790.0</v>
      </c>
      <c r="D1137" s="7" t="s">
        <v>83</v>
      </c>
      <c r="E1137" s="7" t="s">
        <v>85</v>
      </c>
      <c r="F1137" s="7">
        <v>3.0</v>
      </c>
      <c r="G1137" s="7" t="s">
        <v>27</v>
      </c>
      <c r="H1137" s="7">
        <v>2.0</v>
      </c>
      <c r="I1137" s="7">
        <v>8.0</v>
      </c>
      <c r="J1137" s="7">
        <v>4.0</v>
      </c>
      <c r="K1137" s="7" t="s">
        <v>31</v>
      </c>
      <c r="L1137" s="9" t="str">
        <f>VLOOKUP(K1137, 'Alphabetical by species code'!A:B, 2, FALSE)</f>
        <v>Festuca myuros</v>
      </c>
    </row>
    <row r="1138">
      <c r="A1138" s="7">
        <v>13.0</v>
      </c>
      <c r="B1138" s="7">
        <v>2025.0</v>
      </c>
      <c r="C1138" s="8">
        <v>45790.0</v>
      </c>
      <c r="D1138" s="7" t="s">
        <v>83</v>
      </c>
      <c r="E1138" s="7" t="s">
        <v>85</v>
      </c>
      <c r="F1138" s="7">
        <v>3.0</v>
      </c>
      <c r="G1138" s="7" t="s">
        <v>27</v>
      </c>
      <c r="H1138" s="7">
        <v>2.0</v>
      </c>
      <c r="I1138" s="7">
        <v>9.0</v>
      </c>
      <c r="J1138" s="7">
        <v>4.5</v>
      </c>
      <c r="K1138" s="7" t="s">
        <v>28</v>
      </c>
      <c r="L1138" s="9" t="str">
        <f>VLOOKUP(K1138, 'Alphabetical by species code'!A:B, 2, FALSE)</f>
        <v>Litter</v>
      </c>
    </row>
    <row r="1139">
      <c r="A1139" s="7">
        <v>13.0</v>
      </c>
      <c r="B1139" s="7">
        <v>2025.0</v>
      </c>
      <c r="C1139" s="8">
        <v>45790.0</v>
      </c>
      <c r="D1139" s="7" t="s">
        <v>83</v>
      </c>
      <c r="E1139" s="7" t="s">
        <v>85</v>
      </c>
      <c r="F1139" s="7">
        <v>3.0</v>
      </c>
      <c r="G1139" s="7" t="s">
        <v>27</v>
      </c>
      <c r="H1139" s="7">
        <v>2.0</v>
      </c>
      <c r="I1139" s="7">
        <v>9.0</v>
      </c>
      <c r="J1139" s="7">
        <v>4.5</v>
      </c>
      <c r="K1139" s="7" t="s">
        <v>31</v>
      </c>
      <c r="L1139" s="9" t="str">
        <f>VLOOKUP(K1139, 'Alphabetical by species code'!A:B, 2, FALSE)</f>
        <v>Festuca myuros</v>
      </c>
    </row>
    <row r="1140">
      <c r="A1140" s="7">
        <v>13.0</v>
      </c>
      <c r="B1140" s="7">
        <v>2025.0</v>
      </c>
      <c r="C1140" s="8">
        <v>45790.0</v>
      </c>
      <c r="D1140" s="7" t="s">
        <v>83</v>
      </c>
      <c r="E1140" s="7" t="s">
        <v>85</v>
      </c>
      <c r="F1140" s="7">
        <v>3.0</v>
      </c>
      <c r="G1140" s="7" t="s">
        <v>27</v>
      </c>
      <c r="H1140" s="7">
        <v>2.0</v>
      </c>
      <c r="I1140" s="7">
        <v>10.0</v>
      </c>
      <c r="J1140" s="7">
        <v>5.0</v>
      </c>
      <c r="K1140" s="7" t="s">
        <v>28</v>
      </c>
      <c r="L1140" s="9" t="str">
        <f>VLOOKUP(K1140, 'Alphabetical by species code'!A:B, 2, FALSE)</f>
        <v>Litter</v>
      </c>
    </row>
    <row r="1141">
      <c r="A1141" s="7">
        <v>13.0</v>
      </c>
      <c r="B1141" s="7">
        <v>2025.0</v>
      </c>
      <c r="C1141" s="8">
        <v>45790.0</v>
      </c>
      <c r="D1141" s="7" t="s">
        <v>83</v>
      </c>
      <c r="E1141" s="7" t="s">
        <v>85</v>
      </c>
      <c r="F1141" s="7">
        <v>3.0</v>
      </c>
      <c r="G1141" s="7" t="s">
        <v>27</v>
      </c>
      <c r="H1141" s="7">
        <v>2.0</v>
      </c>
      <c r="I1141" s="7">
        <v>10.0</v>
      </c>
      <c r="J1141" s="7">
        <v>5.0</v>
      </c>
      <c r="K1141" s="7" t="s">
        <v>36</v>
      </c>
      <c r="L1141" s="9" t="str">
        <f>VLOOKUP(K1141, 'Alphabetical by species code'!A:B, 2, FALSE)</f>
        <v>Bromus madritensis</v>
      </c>
    </row>
    <row r="1142">
      <c r="A1142" s="7">
        <v>13.0</v>
      </c>
      <c r="B1142" s="7">
        <v>2025.0</v>
      </c>
      <c r="C1142" s="8">
        <v>45790.0</v>
      </c>
      <c r="D1142" s="7" t="s">
        <v>83</v>
      </c>
      <c r="E1142" s="7" t="s">
        <v>85</v>
      </c>
      <c r="F1142" s="7">
        <v>3.0</v>
      </c>
      <c r="G1142" s="7" t="s">
        <v>27</v>
      </c>
      <c r="H1142" s="7">
        <v>2.0</v>
      </c>
      <c r="I1142" s="7">
        <v>11.0</v>
      </c>
      <c r="J1142" s="7">
        <v>5.5</v>
      </c>
      <c r="K1142" s="7" t="s">
        <v>28</v>
      </c>
      <c r="L1142" s="9" t="str">
        <f>VLOOKUP(K1142, 'Alphabetical by species code'!A:B, 2, FALSE)</f>
        <v>Litter</v>
      </c>
    </row>
    <row r="1143">
      <c r="A1143" s="7">
        <v>13.0</v>
      </c>
      <c r="B1143" s="7">
        <v>2025.0</v>
      </c>
      <c r="C1143" s="8">
        <v>45790.0</v>
      </c>
      <c r="D1143" s="7" t="s">
        <v>83</v>
      </c>
      <c r="E1143" s="7" t="s">
        <v>85</v>
      </c>
      <c r="F1143" s="7">
        <v>3.0</v>
      </c>
      <c r="G1143" s="7" t="s">
        <v>27</v>
      </c>
      <c r="H1143" s="7">
        <v>2.0</v>
      </c>
      <c r="I1143" s="7">
        <v>11.0</v>
      </c>
      <c r="J1143" s="7">
        <v>5.5</v>
      </c>
      <c r="K1143" s="7" t="s">
        <v>31</v>
      </c>
      <c r="L1143" s="9" t="str">
        <f>VLOOKUP(K1143, 'Alphabetical by species code'!A:B, 2, FALSE)</f>
        <v>Festuca myuros</v>
      </c>
    </row>
    <row r="1144">
      <c r="A1144" s="7">
        <v>13.0</v>
      </c>
      <c r="B1144" s="7">
        <v>2025.0</v>
      </c>
      <c r="C1144" s="8">
        <v>45790.0</v>
      </c>
      <c r="D1144" s="7" t="s">
        <v>83</v>
      </c>
      <c r="E1144" s="7" t="s">
        <v>85</v>
      </c>
      <c r="F1144" s="7">
        <v>3.0</v>
      </c>
      <c r="G1144" s="7" t="s">
        <v>27</v>
      </c>
      <c r="H1144" s="7">
        <v>2.0</v>
      </c>
      <c r="I1144" s="7">
        <v>11.0</v>
      </c>
      <c r="J1144" s="7">
        <v>5.5</v>
      </c>
      <c r="K1144" s="7" t="s">
        <v>57</v>
      </c>
      <c r="L1144" s="9" t="str">
        <f>VLOOKUP(K1144, 'Alphabetical by species code'!A:B, 2, FALSE)</f>
        <v>Stipa pulchra</v>
      </c>
    </row>
    <row r="1145">
      <c r="A1145" s="7">
        <v>13.0</v>
      </c>
      <c r="B1145" s="7">
        <v>2025.0</v>
      </c>
      <c r="C1145" s="8">
        <v>45790.0</v>
      </c>
      <c r="D1145" s="7" t="s">
        <v>83</v>
      </c>
      <c r="E1145" s="7" t="s">
        <v>85</v>
      </c>
      <c r="F1145" s="7">
        <v>3.0</v>
      </c>
      <c r="G1145" s="7" t="s">
        <v>27</v>
      </c>
      <c r="H1145" s="7">
        <v>2.0</v>
      </c>
      <c r="I1145" s="7">
        <v>12.0</v>
      </c>
      <c r="J1145" s="7">
        <v>6.0</v>
      </c>
      <c r="K1145" s="7" t="s">
        <v>38</v>
      </c>
      <c r="L1145" s="9" t="str">
        <f>VLOOKUP(K1145, 'Alphabetical by species code'!A:B, 2, FALSE)</f>
        <v>Thatch</v>
      </c>
    </row>
    <row r="1146">
      <c r="A1146" s="7">
        <v>13.0</v>
      </c>
      <c r="B1146" s="7">
        <v>2025.0</v>
      </c>
      <c r="C1146" s="8">
        <v>45790.0</v>
      </c>
      <c r="D1146" s="7" t="s">
        <v>83</v>
      </c>
      <c r="E1146" s="7" t="s">
        <v>85</v>
      </c>
      <c r="F1146" s="7">
        <v>3.0</v>
      </c>
      <c r="G1146" s="7" t="s">
        <v>27</v>
      </c>
      <c r="H1146" s="7">
        <v>2.0</v>
      </c>
      <c r="I1146" s="7">
        <v>12.0</v>
      </c>
      <c r="J1146" s="7">
        <v>6.0</v>
      </c>
      <c r="K1146" s="7" t="s">
        <v>31</v>
      </c>
      <c r="L1146" s="9" t="str">
        <f>VLOOKUP(K1146, 'Alphabetical by species code'!A:B, 2, FALSE)</f>
        <v>Festuca myuros</v>
      </c>
    </row>
    <row r="1147">
      <c r="A1147" s="7">
        <v>13.0</v>
      </c>
      <c r="B1147" s="7">
        <v>2025.0</v>
      </c>
      <c r="C1147" s="8">
        <v>45790.0</v>
      </c>
      <c r="D1147" s="7" t="s">
        <v>83</v>
      </c>
      <c r="E1147" s="7" t="s">
        <v>85</v>
      </c>
      <c r="F1147" s="7">
        <v>3.0</v>
      </c>
      <c r="G1147" s="7" t="s">
        <v>27</v>
      </c>
      <c r="H1147" s="7">
        <v>2.0</v>
      </c>
      <c r="I1147" s="7">
        <v>13.0</v>
      </c>
      <c r="J1147" s="7">
        <v>6.5</v>
      </c>
      <c r="K1147" s="7" t="s">
        <v>28</v>
      </c>
      <c r="L1147" s="9" t="str">
        <f>VLOOKUP(K1147, 'Alphabetical by species code'!A:B, 2, FALSE)</f>
        <v>Litter</v>
      </c>
    </row>
    <row r="1148">
      <c r="A1148" s="7">
        <v>13.0</v>
      </c>
      <c r="B1148" s="7">
        <v>2025.0</v>
      </c>
      <c r="C1148" s="8">
        <v>45790.0</v>
      </c>
      <c r="D1148" s="7" t="s">
        <v>83</v>
      </c>
      <c r="E1148" s="7" t="s">
        <v>85</v>
      </c>
      <c r="F1148" s="7">
        <v>3.0</v>
      </c>
      <c r="G1148" s="7" t="s">
        <v>27</v>
      </c>
      <c r="H1148" s="7">
        <v>2.0</v>
      </c>
      <c r="I1148" s="7">
        <v>13.0</v>
      </c>
      <c r="J1148" s="7">
        <v>6.5</v>
      </c>
      <c r="K1148" s="7" t="s">
        <v>36</v>
      </c>
      <c r="L1148" s="9" t="str">
        <f>VLOOKUP(K1148, 'Alphabetical by species code'!A:B, 2, FALSE)</f>
        <v>Bromus madritensis</v>
      </c>
    </row>
    <row r="1149">
      <c r="A1149" s="7">
        <v>13.0</v>
      </c>
      <c r="B1149" s="7">
        <v>2025.0</v>
      </c>
      <c r="C1149" s="8">
        <v>45790.0</v>
      </c>
      <c r="D1149" s="7" t="s">
        <v>83</v>
      </c>
      <c r="E1149" s="7" t="s">
        <v>85</v>
      </c>
      <c r="F1149" s="7">
        <v>3.0</v>
      </c>
      <c r="G1149" s="7" t="s">
        <v>27</v>
      </c>
      <c r="H1149" s="7">
        <v>2.0</v>
      </c>
      <c r="I1149" s="7">
        <v>13.0</v>
      </c>
      <c r="J1149" s="7">
        <v>6.5</v>
      </c>
      <c r="K1149" s="7" t="s">
        <v>31</v>
      </c>
      <c r="L1149" s="9" t="str">
        <f>VLOOKUP(K1149, 'Alphabetical by species code'!A:B, 2, FALSE)</f>
        <v>Festuca myuros</v>
      </c>
    </row>
    <row r="1150">
      <c r="A1150" s="7">
        <v>13.0</v>
      </c>
      <c r="B1150" s="7">
        <v>2025.0</v>
      </c>
      <c r="C1150" s="8">
        <v>45790.0</v>
      </c>
      <c r="D1150" s="7" t="s">
        <v>83</v>
      </c>
      <c r="E1150" s="7" t="s">
        <v>85</v>
      </c>
      <c r="F1150" s="7">
        <v>3.0</v>
      </c>
      <c r="G1150" s="7" t="s">
        <v>27</v>
      </c>
      <c r="H1150" s="7">
        <v>2.0</v>
      </c>
      <c r="I1150" s="7">
        <v>14.0</v>
      </c>
      <c r="J1150" s="7">
        <v>7.0</v>
      </c>
      <c r="K1150" s="7" t="s">
        <v>38</v>
      </c>
      <c r="L1150" s="9" t="str">
        <f>VLOOKUP(K1150, 'Alphabetical by species code'!A:B, 2, FALSE)</f>
        <v>Thatch</v>
      </c>
    </row>
    <row r="1151">
      <c r="A1151" s="7">
        <v>13.0</v>
      </c>
      <c r="B1151" s="7">
        <v>2025.0</v>
      </c>
      <c r="C1151" s="8">
        <v>45790.0</v>
      </c>
      <c r="D1151" s="7" t="s">
        <v>83</v>
      </c>
      <c r="E1151" s="7" t="s">
        <v>85</v>
      </c>
      <c r="F1151" s="7">
        <v>3.0</v>
      </c>
      <c r="G1151" s="7" t="s">
        <v>27</v>
      </c>
      <c r="H1151" s="7">
        <v>2.0</v>
      </c>
      <c r="I1151" s="7">
        <v>14.0</v>
      </c>
      <c r="J1151" s="7">
        <v>7.0</v>
      </c>
      <c r="K1151" s="7" t="s">
        <v>31</v>
      </c>
      <c r="L1151" s="9" t="str">
        <f>VLOOKUP(K1151, 'Alphabetical by species code'!A:B, 2, FALSE)</f>
        <v>Festuca myuros</v>
      </c>
    </row>
    <row r="1152">
      <c r="A1152" s="7">
        <v>13.0</v>
      </c>
      <c r="B1152" s="7">
        <v>2025.0</v>
      </c>
      <c r="C1152" s="8">
        <v>45790.0</v>
      </c>
      <c r="D1152" s="7" t="s">
        <v>83</v>
      </c>
      <c r="E1152" s="7" t="s">
        <v>85</v>
      </c>
      <c r="F1152" s="7">
        <v>3.0</v>
      </c>
      <c r="G1152" s="7" t="s">
        <v>27</v>
      </c>
      <c r="H1152" s="7">
        <v>2.0</v>
      </c>
      <c r="I1152" s="7">
        <v>15.0</v>
      </c>
      <c r="J1152" s="7">
        <v>7.5</v>
      </c>
      <c r="K1152" s="7" t="s">
        <v>28</v>
      </c>
      <c r="L1152" s="9" t="str">
        <f>VLOOKUP(K1152, 'Alphabetical by species code'!A:B, 2, FALSE)</f>
        <v>Litter</v>
      </c>
    </row>
    <row r="1153">
      <c r="A1153" s="7">
        <v>13.0</v>
      </c>
      <c r="B1153" s="7">
        <v>2025.0</v>
      </c>
      <c r="C1153" s="8">
        <v>45790.0</v>
      </c>
      <c r="D1153" s="7" t="s">
        <v>83</v>
      </c>
      <c r="E1153" s="7" t="s">
        <v>85</v>
      </c>
      <c r="F1153" s="7">
        <v>3.0</v>
      </c>
      <c r="G1153" s="7" t="s">
        <v>27</v>
      </c>
      <c r="H1153" s="7">
        <v>2.0</v>
      </c>
      <c r="I1153" s="7">
        <v>15.0</v>
      </c>
      <c r="J1153" s="7">
        <v>7.5</v>
      </c>
      <c r="K1153" s="7" t="s">
        <v>31</v>
      </c>
      <c r="L1153" s="9" t="str">
        <f>VLOOKUP(K1153, 'Alphabetical by species code'!A:B, 2, FALSE)</f>
        <v>Festuca myuros</v>
      </c>
    </row>
    <row r="1154">
      <c r="A1154" s="7">
        <v>14.0</v>
      </c>
      <c r="B1154" s="7">
        <v>2025.0</v>
      </c>
      <c r="C1154" s="8">
        <v>45790.0</v>
      </c>
      <c r="D1154" s="7" t="s">
        <v>83</v>
      </c>
      <c r="E1154" s="7" t="s">
        <v>85</v>
      </c>
      <c r="F1154" s="7">
        <v>3.0</v>
      </c>
      <c r="G1154" s="7" t="s">
        <v>46</v>
      </c>
      <c r="H1154" s="7">
        <v>1.0</v>
      </c>
      <c r="I1154" s="7">
        <v>1.0</v>
      </c>
      <c r="J1154" s="7">
        <v>0.0</v>
      </c>
      <c r="K1154" s="7" t="s">
        <v>28</v>
      </c>
      <c r="L1154" s="9" t="str">
        <f>VLOOKUP(K1154, 'Alphabetical by species code'!A:B, 2, FALSE)</f>
        <v>Litter</v>
      </c>
    </row>
    <row r="1155">
      <c r="A1155" s="7">
        <v>14.0</v>
      </c>
      <c r="B1155" s="7">
        <v>2025.0</v>
      </c>
      <c r="C1155" s="8">
        <v>45790.0</v>
      </c>
      <c r="D1155" s="7" t="s">
        <v>83</v>
      </c>
      <c r="E1155" s="7" t="s">
        <v>85</v>
      </c>
      <c r="F1155" s="7">
        <v>3.0</v>
      </c>
      <c r="G1155" s="7" t="s">
        <v>46</v>
      </c>
      <c r="H1155" s="7">
        <v>1.0</v>
      </c>
      <c r="I1155" s="7">
        <v>1.0</v>
      </c>
      <c r="J1155" s="7">
        <v>0.0</v>
      </c>
      <c r="K1155" s="7" t="s">
        <v>64</v>
      </c>
      <c r="L1155" s="9" t="str">
        <f>VLOOKUP(K1155, 'Alphabetical by species code'!A:B, 2, FALSE)</f>
        <v>Brassica nigra</v>
      </c>
    </row>
    <row r="1156">
      <c r="A1156" s="7">
        <v>14.0</v>
      </c>
      <c r="B1156" s="7">
        <v>2025.0</v>
      </c>
      <c r="C1156" s="8">
        <v>45790.0</v>
      </c>
      <c r="D1156" s="7" t="s">
        <v>83</v>
      </c>
      <c r="E1156" s="7" t="s">
        <v>85</v>
      </c>
      <c r="F1156" s="7">
        <v>3.0</v>
      </c>
      <c r="G1156" s="7" t="s">
        <v>46</v>
      </c>
      <c r="H1156" s="7">
        <v>1.0</v>
      </c>
      <c r="I1156" s="7">
        <v>1.0</v>
      </c>
      <c r="J1156" s="7">
        <v>0.0</v>
      </c>
      <c r="K1156" s="7" t="s">
        <v>36</v>
      </c>
      <c r="L1156" s="9" t="str">
        <f>VLOOKUP(K1156, 'Alphabetical by species code'!A:B, 2, FALSE)</f>
        <v>Bromus madritensis</v>
      </c>
    </row>
    <row r="1157">
      <c r="A1157" s="7">
        <v>14.0</v>
      </c>
      <c r="B1157" s="7">
        <v>2025.0</v>
      </c>
      <c r="C1157" s="8">
        <v>45790.0</v>
      </c>
      <c r="D1157" s="7" t="s">
        <v>83</v>
      </c>
      <c r="E1157" s="7" t="s">
        <v>85</v>
      </c>
      <c r="F1157" s="7">
        <v>3.0</v>
      </c>
      <c r="G1157" s="7" t="s">
        <v>46</v>
      </c>
      <c r="H1157" s="7">
        <v>1.0</v>
      </c>
      <c r="I1157" s="7">
        <v>2.0</v>
      </c>
      <c r="J1157" s="7">
        <v>0.5</v>
      </c>
      <c r="K1157" s="7" t="s">
        <v>28</v>
      </c>
      <c r="L1157" s="9" t="str">
        <f>VLOOKUP(K1157, 'Alphabetical by species code'!A:B, 2, FALSE)</f>
        <v>Litter</v>
      </c>
    </row>
    <row r="1158">
      <c r="A1158" s="7">
        <v>14.0</v>
      </c>
      <c r="B1158" s="7">
        <v>2025.0</v>
      </c>
      <c r="C1158" s="8">
        <v>45790.0</v>
      </c>
      <c r="D1158" s="7" t="s">
        <v>83</v>
      </c>
      <c r="E1158" s="7" t="s">
        <v>85</v>
      </c>
      <c r="F1158" s="7">
        <v>3.0</v>
      </c>
      <c r="G1158" s="7" t="s">
        <v>46</v>
      </c>
      <c r="H1158" s="7">
        <v>1.0</v>
      </c>
      <c r="I1158" s="7">
        <v>2.0</v>
      </c>
      <c r="J1158" s="7">
        <v>0.5</v>
      </c>
      <c r="K1158" s="7" t="s">
        <v>55</v>
      </c>
      <c r="L1158" s="9" t="str">
        <f>VLOOKUP(K1158, 'Alphabetical by species code'!A:B, 2, FALSE)</f>
        <v>Daucus pusillus</v>
      </c>
    </row>
    <row r="1159">
      <c r="A1159" s="7">
        <v>14.0</v>
      </c>
      <c r="B1159" s="7">
        <v>2025.0</v>
      </c>
      <c r="C1159" s="8">
        <v>45790.0</v>
      </c>
      <c r="D1159" s="7" t="s">
        <v>83</v>
      </c>
      <c r="E1159" s="7" t="s">
        <v>85</v>
      </c>
      <c r="F1159" s="7">
        <v>3.0</v>
      </c>
      <c r="G1159" s="7" t="s">
        <v>46</v>
      </c>
      <c r="H1159" s="7">
        <v>1.0</v>
      </c>
      <c r="I1159" s="7">
        <v>2.0</v>
      </c>
      <c r="J1159" s="7">
        <v>0.5</v>
      </c>
      <c r="K1159" s="7" t="s">
        <v>31</v>
      </c>
      <c r="L1159" s="9" t="str">
        <f>VLOOKUP(K1159, 'Alphabetical by species code'!A:B, 2, FALSE)</f>
        <v>Festuca myuros</v>
      </c>
    </row>
    <row r="1160">
      <c r="A1160" s="7">
        <v>14.0</v>
      </c>
      <c r="B1160" s="7">
        <v>2025.0</v>
      </c>
      <c r="C1160" s="8">
        <v>45790.0</v>
      </c>
      <c r="D1160" s="7" t="s">
        <v>83</v>
      </c>
      <c r="E1160" s="7" t="s">
        <v>85</v>
      </c>
      <c r="F1160" s="7">
        <v>3.0</v>
      </c>
      <c r="G1160" s="7" t="s">
        <v>46</v>
      </c>
      <c r="H1160" s="7">
        <v>1.0</v>
      </c>
      <c r="I1160" s="7">
        <v>3.0</v>
      </c>
      <c r="J1160" s="7">
        <v>1.0</v>
      </c>
      <c r="K1160" s="7" t="s">
        <v>28</v>
      </c>
      <c r="L1160" s="9" t="str">
        <f>VLOOKUP(K1160, 'Alphabetical by species code'!A:B, 2, FALSE)</f>
        <v>Litter</v>
      </c>
    </row>
    <row r="1161">
      <c r="A1161" s="7">
        <v>14.0</v>
      </c>
      <c r="B1161" s="7">
        <v>2025.0</v>
      </c>
      <c r="C1161" s="8">
        <v>45790.0</v>
      </c>
      <c r="D1161" s="7" t="s">
        <v>83</v>
      </c>
      <c r="E1161" s="7" t="s">
        <v>85</v>
      </c>
      <c r="F1161" s="7">
        <v>3.0</v>
      </c>
      <c r="G1161" s="7" t="s">
        <v>46</v>
      </c>
      <c r="H1161" s="7">
        <v>1.0</v>
      </c>
      <c r="I1161" s="7">
        <v>3.0</v>
      </c>
      <c r="J1161" s="7">
        <v>1.0</v>
      </c>
      <c r="K1161" s="7" t="s">
        <v>36</v>
      </c>
      <c r="L1161" s="9" t="str">
        <f>VLOOKUP(K1161, 'Alphabetical by species code'!A:B, 2, FALSE)</f>
        <v>Bromus madritensis</v>
      </c>
    </row>
    <row r="1162">
      <c r="A1162" s="7">
        <v>14.0</v>
      </c>
      <c r="B1162" s="7">
        <v>2025.0</v>
      </c>
      <c r="C1162" s="8">
        <v>45790.0</v>
      </c>
      <c r="D1162" s="7" t="s">
        <v>83</v>
      </c>
      <c r="E1162" s="7" t="s">
        <v>85</v>
      </c>
      <c r="F1162" s="7">
        <v>3.0</v>
      </c>
      <c r="G1162" s="7" t="s">
        <v>46</v>
      </c>
      <c r="H1162" s="7">
        <v>1.0</v>
      </c>
      <c r="I1162" s="7">
        <v>3.0</v>
      </c>
      <c r="J1162" s="7">
        <v>1.0</v>
      </c>
      <c r="K1162" s="7" t="s">
        <v>47</v>
      </c>
      <c r="L1162" s="9" t="str">
        <f>VLOOKUP(K1162, 'Alphabetical by species code'!A:B, 2, FALSE)</f>
        <v>Sonchus species</v>
      </c>
    </row>
    <row r="1163">
      <c r="A1163" s="7">
        <v>14.0</v>
      </c>
      <c r="B1163" s="7">
        <v>2025.0</v>
      </c>
      <c r="C1163" s="8">
        <v>45790.0</v>
      </c>
      <c r="D1163" s="7" t="s">
        <v>83</v>
      </c>
      <c r="E1163" s="7" t="s">
        <v>85</v>
      </c>
      <c r="F1163" s="7">
        <v>3.0</v>
      </c>
      <c r="G1163" s="7" t="s">
        <v>46</v>
      </c>
      <c r="H1163" s="7">
        <v>1.0</v>
      </c>
      <c r="I1163" s="7">
        <v>4.0</v>
      </c>
      <c r="J1163" s="7">
        <v>1.5</v>
      </c>
      <c r="K1163" s="7" t="s">
        <v>28</v>
      </c>
      <c r="L1163" s="9" t="str">
        <f>VLOOKUP(K1163, 'Alphabetical by species code'!A:B, 2, FALSE)</f>
        <v>Litter</v>
      </c>
    </row>
    <row r="1164">
      <c r="A1164" s="7">
        <v>14.0</v>
      </c>
      <c r="B1164" s="7">
        <v>2025.0</v>
      </c>
      <c r="C1164" s="8">
        <v>45790.0</v>
      </c>
      <c r="D1164" s="7" t="s">
        <v>83</v>
      </c>
      <c r="E1164" s="7" t="s">
        <v>85</v>
      </c>
      <c r="F1164" s="7">
        <v>3.0</v>
      </c>
      <c r="G1164" s="7" t="s">
        <v>46</v>
      </c>
      <c r="H1164" s="7">
        <v>1.0</v>
      </c>
      <c r="I1164" s="7">
        <v>4.0</v>
      </c>
      <c r="J1164" s="7">
        <v>1.5</v>
      </c>
      <c r="K1164" s="7" t="s">
        <v>84</v>
      </c>
      <c r="L1164" s="9" t="str">
        <f>VLOOKUP(K1164, 'Alphabetical by species code'!A:B, 2, FALSE)</f>
        <v>Bromus diandrus</v>
      </c>
    </row>
    <row r="1165">
      <c r="A1165" s="7">
        <v>14.0</v>
      </c>
      <c r="B1165" s="7">
        <v>2025.0</v>
      </c>
      <c r="C1165" s="8">
        <v>45790.0</v>
      </c>
      <c r="D1165" s="7" t="s">
        <v>83</v>
      </c>
      <c r="E1165" s="7" t="s">
        <v>85</v>
      </c>
      <c r="F1165" s="7">
        <v>3.0</v>
      </c>
      <c r="G1165" s="7" t="s">
        <v>46</v>
      </c>
      <c r="H1165" s="7">
        <v>1.0</v>
      </c>
      <c r="I1165" s="7">
        <v>4.0</v>
      </c>
      <c r="J1165" s="7">
        <v>1.5</v>
      </c>
      <c r="K1165" s="7" t="s">
        <v>29</v>
      </c>
      <c r="L1165" s="9" t="str">
        <f>VLOOKUP(K1165, 'Alphabetical by species code'!A:B, 2, FALSE)</f>
        <v>Opuntia littoralis</v>
      </c>
    </row>
    <row r="1166">
      <c r="A1166" s="7">
        <v>14.0</v>
      </c>
      <c r="B1166" s="7">
        <v>2025.0</v>
      </c>
      <c r="C1166" s="8">
        <v>45790.0</v>
      </c>
      <c r="D1166" s="7" t="s">
        <v>83</v>
      </c>
      <c r="E1166" s="7" t="s">
        <v>85</v>
      </c>
      <c r="F1166" s="7">
        <v>3.0</v>
      </c>
      <c r="G1166" s="7" t="s">
        <v>46</v>
      </c>
      <c r="H1166" s="7">
        <v>1.0</v>
      </c>
      <c r="I1166" s="7">
        <v>4.0</v>
      </c>
      <c r="J1166" s="7">
        <v>1.5</v>
      </c>
      <c r="K1166" s="7" t="s">
        <v>36</v>
      </c>
      <c r="L1166" s="9" t="str">
        <f>VLOOKUP(K1166, 'Alphabetical by species code'!A:B, 2, FALSE)</f>
        <v>Bromus madritensis</v>
      </c>
    </row>
    <row r="1167">
      <c r="A1167" s="7">
        <v>14.0</v>
      </c>
      <c r="B1167" s="7">
        <v>2025.0</v>
      </c>
      <c r="C1167" s="8">
        <v>45790.0</v>
      </c>
      <c r="D1167" s="7" t="s">
        <v>83</v>
      </c>
      <c r="E1167" s="7" t="s">
        <v>85</v>
      </c>
      <c r="F1167" s="7">
        <v>3.0</v>
      </c>
      <c r="G1167" s="7" t="s">
        <v>46</v>
      </c>
      <c r="H1167" s="7">
        <v>1.0</v>
      </c>
      <c r="I1167" s="7">
        <v>5.0</v>
      </c>
      <c r="J1167" s="7">
        <v>2.0</v>
      </c>
      <c r="K1167" s="7" t="s">
        <v>28</v>
      </c>
      <c r="L1167" s="9" t="str">
        <f>VLOOKUP(K1167, 'Alphabetical by species code'!A:B, 2, FALSE)</f>
        <v>Litter</v>
      </c>
    </row>
    <row r="1168">
      <c r="A1168" s="7">
        <v>14.0</v>
      </c>
      <c r="B1168" s="7">
        <v>2025.0</v>
      </c>
      <c r="C1168" s="8">
        <v>45790.0</v>
      </c>
      <c r="D1168" s="7" t="s">
        <v>83</v>
      </c>
      <c r="E1168" s="7" t="s">
        <v>85</v>
      </c>
      <c r="F1168" s="7">
        <v>3.0</v>
      </c>
      <c r="G1168" s="7" t="s">
        <v>46</v>
      </c>
      <c r="H1168" s="7">
        <v>1.0</v>
      </c>
      <c r="I1168" s="7">
        <v>5.0</v>
      </c>
      <c r="J1168" s="7">
        <v>2.0</v>
      </c>
      <c r="K1168" s="7" t="s">
        <v>29</v>
      </c>
      <c r="L1168" s="9" t="str">
        <f>VLOOKUP(K1168, 'Alphabetical by species code'!A:B, 2, FALSE)</f>
        <v>Opuntia littoralis</v>
      </c>
    </row>
    <row r="1169">
      <c r="A1169" s="7">
        <v>14.0</v>
      </c>
      <c r="B1169" s="7">
        <v>2025.0</v>
      </c>
      <c r="C1169" s="8">
        <v>45790.0</v>
      </c>
      <c r="D1169" s="7" t="s">
        <v>83</v>
      </c>
      <c r="E1169" s="7" t="s">
        <v>85</v>
      </c>
      <c r="F1169" s="7">
        <v>3.0</v>
      </c>
      <c r="G1169" s="7" t="s">
        <v>46</v>
      </c>
      <c r="H1169" s="7">
        <v>1.0</v>
      </c>
      <c r="I1169" s="7">
        <v>5.0</v>
      </c>
      <c r="J1169" s="7">
        <v>2.0</v>
      </c>
      <c r="K1169" s="7" t="s">
        <v>31</v>
      </c>
      <c r="L1169" s="9" t="str">
        <f>VLOOKUP(K1169, 'Alphabetical by species code'!A:B, 2, FALSE)</f>
        <v>Festuca myuros</v>
      </c>
    </row>
    <row r="1170">
      <c r="A1170" s="7">
        <v>14.0</v>
      </c>
      <c r="B1170" s="7">
        <v>2025.0</v>
      </c>
      <c r="C1170" s="8">
        <v>45790.0</v>
      </c>
      <c r="D1170" s="7" t="s">
        <v>83</v>
      </c>
      <c r="E1170" s="7" t="s">
        <v>85</v>
      </c>
      <c r="F1170" s="7">
        <v>3.0</v>
      </c>
      <c r="G1170" s="7" t="s">
        <v>46</v>
      </c>
      <c r="H1170" s="7">
        <v>1.0</v>
      </c>
      <c r="I1170" s="7">
        <v>6.0</v>
      </c>
      <c r="J1170" s="7">
        <v>2.5</v>
      </c>
      <c r="K1170" s="7" t="s">
        <v>38</v>
      </c>
      <c r="L1170" s="9" t="str">
        <f>VLOOKUP(K1170, 'Alphabetical by species code'!A:B, 2, FALSE)</f>
        <v>Thatch</v>
      </c>
    </row>
    <row r="1171">
      <c r="A1171" s="7">
        <v>14.0</v>
      </c>
      <c r="B1171" s="7">
        <v>2025.0</v>
      </c>
      <c r="C1171" s="8">
        <v>45790.0</v>
      </c>
      <c r="D1171" s="7" t="s">
        <v>83</v>
      </c>
      <c r="E1171" s="7" t="s">
        <v>85</v>
      </c>
      <c r="F1171" s="7">
        <v>3.0</v>
      </c>
      <c r="G1171" s="7" t="s">
        <v>46</v>
      </c>
      <c r="H1171" s="7">
        <v>1.0</v>
      </c>
      <c r="I1171" s="7">
        <v>6.0</v>
      </c>
      <c r="J1171" s="7">
        <v>2.5</v>
      </c>
      <c r="K1171" s="7" t="s">
        <v>36</v>
      </c>
      <c r="L1171" s="9" t="str">
        <f>VLOOKUP(K1171, 'Alphabetical by species code'!A:B, 2, FALSE)</f>
        <v>Bromus madritensis</v>
      </c>
    </row>
    <row r="1172">
      <c r="A1172" s="7">
        <v>14.0</v>
      </c>
      <c r="B1172" s="7">
        <v>2025.0</v>
      </c>
      <c r="C1172" s="8">
        <v>45790.0</v>
      </c>
      <c r="D1172" s="7" t="s">
        <v>83</v>
      </c>
      <c r="E1172" s="7" t="s">
        <v>85</v>
      </c>
      <c r="F1172" s="7">
        <v>3.0</v>
      </c>
      <c r="G1172" s="7" t="s">
        <v>46</v>
      </c>
      <c r="H1172" s="7">
        <v>1.0</v>
      </c>
      <c r="I1172" s="7">
        <v>6.0</v>
      </c>
      <c r="J1172" s="7">
        <v>2.5</v>
      </c>
      <c r="K1172" s="7" t="s">
        <v>31</v>
      </c>
      <c r="L1172" s="9" t="str">
        <f>VLOOKUP(K1172, 'Alphabetical by species code'!A:B, 2, FALSE)</f>
        <v>Festuca myuros</v>
      </c>
    </row>
    <row r="1173">
      <c r="A1173" s="7">
        <v>14.0</v>
      </c>
      <c r="B1173" s="7">
        <v>2025.0</v>
      </c>
      <c r="C1173" s="8">
        <v>45790.0</v>
      </c>
      <c r="D1173" s="7" t="s">
        <v>83</v>
      </c>
      <c r="E1173" s="7" t="s">
        <v>85</v>
      </c>
      <c r="F1173" s="7">
        <v>3.0</v>
      </c>
      <c r="G1173" s="7" t="s">
        <v>46</v>
      </c>
      <c r="H1173" s="7">
        <v>1.0</v>
      </c>
      <c r="I1173" s="7">
        <v>7.0</v>
      </c>
      <c r="J1173" s="7">
        <v>3.0</v>
      </c>
      <c r="K1173" s="7" t="s">
        <v>38</v>
      </c>
      <c r="L1173" s="9" t="str">
        <f>VLOOKUP(K1173, 'Alphabetical by species code'!A:B, 2, FALSE)</f>
        <v>Thatch</v>
      </c>
    </row>
    <row r="1174">
      <c r="A1174" s="7">
        <v>14.0</v>
      </c>
      <c r="B1174" s="7">
        <v>2025.0</v>
      </c>
      <c r="C1174" s="8">
        <v>45790.0</v>
      </c>
      <c r="D1174" s="7" t="s">
        <v>83</v>
      </c>
      <c r="E1174" s="7" t="s">
        <v>85</v>
      </c>
      <c r="F1174" s="7">
        <v>3.0</v>
      </c>
      <c r="G1174" s="7" t="s">
        <v>46</v>
      </c>
      <c r="H1174" s="7">
        <v>1.0</v>
      </c>
      <c r="I1174" s="7">
        <v>7.0</v>
      </c>
      <c r="J1174" s="7">
        <v>3.0</v>
      </c>
      <c r="K1174" s="7" t="s">
        <v>31</v>
      </c>
      <c r="L1174" s="9" t="str">
        <f>VLOOKUP(K1174, 'Alphabetical by species code'!A:B, 2, FALSE)</f>
        <v>Festuca myuros</v>
      </c>
    </row>
    <row r="1175">
      <c r="A1175" s="7">
        <v>14.0</v>
      </c>
      <c r="B1175" s="7">
        <v>2025.0</v>
      </c>
      <c r="C1175" s="8">
        <v>45790.0</v>
      </c>
      <c r="D1175" s="7" t="s">
        <v>83</v>
      </c>
      <c r="E1175" s="7" t="s">
        <v>85</v>
      </c>
      <c r="F1175" s="7">
        <v>3.0</v>
      </c>
      <c r="G1175" s="7" t="s">
        <v>46</v>
      </c>
      <c r="H1175" s="7">
        <v>1.0</v>
      </c>
      <c r="I1175" s="7">
        <v>7.0</v>
      </c>
      <c r="J1175" s="7">
        <v>3.0</v>
      </c>
      <c r="K1175" s="7" t="s">
        <v>36</v>
      </c>
      <c r="L1175" s="9" t="str">
        <f>VLOOKUP(K1175, 'Alphabetical by species code'!A:B, 2, FALSE)</f>
        <v>Bromus madritensis</v>
      </c>
    </row>
    <row r="1176">
      <c r="A1176" s="7">
        <v>14.0</v>
      </c>
      <c r="B1176" s="7">
        <v>2025.0</v>
      </c>
      <c r="C1176" s="8">
        <v>45790.0</v>
      </c>
      <c r="D1176" s="7" t="s">
        <v>83</v>
      </c>
      <c r="E1176" s="7" t="s">
        <v>85</v>
      </c>
      <c r="F1176" s="7">
        <v>3.0</v>
      </c>
      <c r="G1176" s="7" t="s">
        <v>46</v>
      </c>
      <c r="H1176" s="7">
        <v>1.0</v>
      </c>
      <c r="I1176" s="7">
        <v>8.0</v>
      </c>
      <c r="J1176" s="7">
        <v>3.5</v>
      </c>
      <c r="K1176" s="7" t="s">
        <v>28</v>
      </c>
      <c r="L1176" s="9" t="str">
        <f>VLOOKUP(K1176, 'Alphabetical by species code'!A:B, 2, FALSE)</f>
        <v>Litter</v>
      </c>
    </row>
    <row r="1177">
      <c r="A1177" s="7">
        <v>14.0</v>
      </c>
      <c r="B1177" s="7">
        <v>2025.0</v>
      </c>
      <c r="C1177" s="8">
        <v>45790.0</v>
      </c>
      <c r="D1177" s="7" t="s">
        <v>83</v>
      </c>
      <c r="E1177" s="7" t="s">
        <v>85</v>
      </c>
      <c r="F1177" s="7">
        <v>3.0</v>
      </c>
      <c r="G1177" s="7" t="s">
        <v>46</v>
      </c>
      <c r="H1177" s="7">
        <v>1.0</v>
      </c>
      <c r="I1177" s="7">
        <v>8.0</v>
      </c>
      <c r="J1177" s="7">
        <v>3.5</v>
      </c>
      <c r="K1177" s="7" t="s">
        <v>31</v>
      </c>
      <c r="L1177" s="9" t="str">
        <f>VLOOKUP(K1177, 'Alphabetical by species code'!A:B, 2, FALSE)</f>
        <v>Festuca myuros</v>
      </c>
    </row>
    <row r="1178">
      <c r="A1178" s="7">
        <v>14.0</v>
      </c>
      <c r="B1178" s="7">
        <v>2025.0</v>
      </c>
      <c r="C1178" s="8">
        <v>45790.0</v>
      </c>
      <c r="D1178" s="7" t="s">
        <v>83</v>
      </c>
      <c r="E1178" s="7" t="s">
        <v>85</v>
      </c>
      <c r="F1178" s="7">
        <v>3.0</v>
      </c>
      <c r="G1178" s="7" t="s">
        <v>46</v>
      </c>
      <c r="H1178" s="7">
        <v>1.0</v>
      </c>
      <c r="I1178" s="7">
        <v>8.0</v>
      </c>
      <c r="J1178" s="7">
        <v>3.5</v>
      </c>
      <c r="K1178" s="7" t="s">
        <v>36</v>
      </c>
      <c r="L1178" s="9" t="str">
        <f>VLOOKUP(K1178, 'Alphabetical by species code'!A:B, 2, FALSE)</f>
        <v>Bromus madritensis</v>
      </c>
    </row>
    <row r="1179">
      <c r="A1179" s="7">
        <v>14.0</v>
      </c>
      <c r="B1179" s="7">
        <v>2025.0</v>
      </c>
      <c r="C1179" s="8">
        <v>45790.0</v>
      </c>
      <c r="D1179" s="7" t="s">
        <v>83</v>
      </c>
      <c r="E1179" s="7" t="s">
        <v>85</v>
      </c>
      <c r="F1179" s="7">
        <v>3.0</v>
      </c>
      <c r="G1179" s="7" t="s">
        <v>46</v>
      </c>
      <c r="H1179" s="7">
        <v>1.0</v>
      </c>
      <c r="I1179" s="7">
        <v>9.0</v>
      </c>
      <c r="J1179" s="7">
        <v>4.0</v>
      </c>
      <c r="K1179" s="7" t="s">
        <v>28</v>
      </c>
      <c r="L1179" s="9" t="str">
        <f>VLOOKUP(K1179, 'Alphabetical by species code'!A:B, 2, FALSE)</f>
        <v>Litter</v>
      </c>
    </row>
    <row r="1180">
      <c r="A1180" s="7">
        <v>14.0</v>
      </c>
      <c r="B1180" s="7">
        <v>2025.0</v>
      </c>
      <c r="C1180" s="8">
        <v>45790.0</v>
      </c>
      <c r="D1180" s="7" t="s">
        <v>83</v>
      </c>
      <c r="E1180" s="7" t="s">
        <v>85</v>
      </c>
      <c r="F1180" s="7">
        <v>3.0</v>
      </c>
      <c r="G1180" s="7" t="s">
        <v>46</v>
      </c>
      <c r="H1180" s="7">
        <v>1.0</v>
      </c>
      <c r="I1180" s="7">
        <v>9.0</v>
      </c>
      <c r="J1180" s="7">
        <v>4.0</v>
      </c>
      <c r="K1180" s="7" t="s">
        <v>44</v>
      </c>
      <c r="L1180" s="9" t="str">
        <f>VLOOKUP(K1180, 'Alphabetical by species code'!A:B, 2, FALSE)</f>
        <v>Amsinckia menziesii</v>
      </c>
    </row>
    <row r="1181">
      <c r="A1181" s="7">
        <v>14.0</v>
      </c>
      <c r="B1181" s="7">
        <v>2025.0</v>
      </c>
      <c r="C1181" s="8">
        <v>45790.0</v>
      </c>
      <c r="D1181" s="7" t="s">
        <v>83</v>
      </c>
      <c r="E1181" s="7" t="s">
        <v>85</v>
      </c>
      <c r="F1181" s="7">
        <v>3.0</v>
      </c>
      <c r="G1181" s="7" t="s">
        <v>46</v>
      </c>
      <c r="H1181" s="7">
        <v>1.0</v>
      </c>
      <c r="I1181" s="7">
        <v>9.0</v>
      </c>
      <c r="J1181" s="7">
        <v>4.0</v>
      </c>
      <c r="K1181" s="7" t="s">
        <v>31</v>
      </c>
      <c r="L1181" s="9" t="str">
        <f>VLOOKUP(K1181, 'Alphabetical by species code'!A:B, 2, FALSE)</f>
        <v>Festuca myuros</v>
      </c>
    </row>
    <row r="1182">
      <c r="A1182" s="7">
        <v>14.0</v>
      </c>
      <c r="B1182" s="7">
        <v>2025.0</v>
      </c>
      <c r="C1182" s="8">
        <v>45790.0</v>
      </c>
      <c r="D1182" s="7" t="s">
        <v>83</v>
      </c>
      <c r="E1182" s="7" t="s">
        <v>85</v>
      </c>
      <c r="F1182" s="7">
        <v>3.0</v>
      </c>
      <c r="G1182" s="7" t="s">
        <v>46</v>
      </c>
      <c r="H1182" s="7">
        <v>1.0</v>
      </c>
      <c r="I1182" s="7">
        <v>10.0</v>
      </c>
      <c r="J1182" s="7">
        <v>4.5</v>
      </c>
      <c r="K1182" s="7" t="s">
        <v>28</v>
      </c>
      <c r="L1182" s="9" t="str">
        <f>VLOOKUP(K1182, 'Alphabetical by species code'!A:B, 2, FALSE)</f>
        <v>Litter</v>
      </c>
    </row>
    <row r="1183">
      <c r="A1183" s="7">
        <v>14.0</v>
      </c>
      <c r="B1183" s="7">
        <v>2025.0</v>
      </c>
      <c r="C1183" s="8">
        <v>45790.0</v>
      </c>
      <c r="D1183" s="7" t="s">
        <v>83</v>
      </c>
      <c r="E1183" s="7" t="s">
        <v>85</v>
      </c>
      <c r="F1183" s="7">
        <v>3.0</v>
      </c>
      <c r="G1183" s="7" t="s">
        <v>46</v>
      </c>
      <c r="H1183" s="7">
        <v>1.0</v>
      </c>
      <c r="I1183" s="7">
        <v>10.0</v>
      </c>
      <c r="J1183" s="7">
        <v>4.5</v>
      </c>
      <c r="K1183" s="7" t="s">
        <v>39</v>
      </c>
      <c r="L1183" s="9" t="str">
        <f>VLOOKUP(K1183, 'Alphabetical by species code'!A:B, 2, FALSE)</f>
        <v>Stephanomeria diegensis</v>
      </c>
    </row>
    <row r="1184">
      <c r="A1184" s="7">
        <v>14.0</v>
      </c>
      <c r="B1184" s="7">
        <v>2025.0</v>
      </c>
      <c r="C1184" s="8">
        <v>45790.0</v>
      </c>
      <c r="D1184" s="7" t="s">
        <v>83</v>
      </c>
      <c r="E1184" s="7" t="s">
        <v>85</v>
      </c>
      <c r="F1184" s="7">
        <v>3.0</v>
      </c>
      <c r="G1184" s="7" t="s">
        <v>46</v>
      </c>
      <c r="H1184" s="7">
        <v>1.0</v>
      </c>
      <c r="I1184" s="7">
        <v>10.0</v>
      </c>
      <c r="J1184" s="7">
        <v>4.5</v>
      </c>
      <c r="K1184" s="7" t="s">
        <v>31</v>
      </c>
      <c r="L1184" s="9" t="str">
        <f>VLOOKUP(K1184, 'Alphabetical by species code'!A:B, 2, FALSE)</f>
        <v>Festuca myuros</v>
      </c>
    </row>
    <row r="1185">
      <c r="A1185" s="7">
        <v>14.0</v>
      </c>
      <c r="B1185" s="7">
        <v>2025.0</v>
      </c>
      <c r="C1185" s="8">
        <v>45790.0</v>
      </c>
      <c r="D1185" s="7" t="s">
        <v>83</v>
      </c>
      <c r="E1185" s="7" t="s">
        <v>85</v>
      </c>
      <c r="F1185" s="7">
        <v>3.0</v>
      </c>
      <c r="G1185" s="7" t="s">
        <v>46</v>
      </c>
      <c r="H1185" s="7">
        <v>1.0</v>
      </c>
      <c r="I1185" s="7">
        <v>10.0</v>
      </c>
      <c r="J1185" s="7">
        <v>4.5</v>
      </c>
      <c r="K1185" s="7" t="s">
        <v>44</v>
      </c>
      <c r="L1185" s="9" t="str">
        <f>VLOOKUP(K1185, 'Alphabetical by species code'!A:B, 2, FALSE)</f>
        <v>Amsinckia menziesii</v>
      </c>
    </row>
    <row r="1186">
      <c r="A1186" s="7">
        <v>14.0</v>
      </c>
      <c r="B1186" s="7">
        <v>2025.0</v>
      </c>
      <c r="C1186" s="8">
        <v>45790.0</v>
      </c>
      <c r="D1186" s="7" t="s">
        <v>83</v>
      </c>
      <c r="E1186" s="7" t="s">
        <v>85</v>
      </c>
      <c r="F1186" s="7">
        <v>3.0</v>
      </c>
      <c r="G1186" s="7" t="s">
        <v>46</v>
      </c>
      <c r="H1186" s="7">
        <v>1.0</v>
      </c>
      <c r="I1186" s="7">
        <v>11.0</v>
      </c>
      <c r="J1186" s="7">
        <v>5.0</v>
      </c>
      <c r="K1186" s="7" t="s">
        <v>28</v>
      </c>
      <c r="L1186" s="9" t="str">
        <f>VLOOKUP(K1186, 'Alphabetical by species code'!A:B, 2, FALSE)</f>
        <v>Litter</v>
      </c>
    </row>
    <row r="1187">
      <c r="A1187" s="7">
        <v>14.0</v>
      </c>
      <c r="B1187" s="7">
        <v>2025.0</v>
      </c>
      <c r="C1187" s="8">
        <v>45790.0</v>
      </c>
      <c r="D1187" s="7" t="s">
        <v>83</v>
      </c>
      <c r="E1187" s="7" t="s">
        <v>85</v>
      </c>
      <c r="F1187" s="7">
        <v>3.0</v>
      </c>
      <c r="G1187" s="7" t="s">
        <v>46</v>
      </c>
      <c r="H1187" s="7">
        <v>1.0</v>
      </c>
      <c r="I1187" s="7">
        <v>11.0</v>
      </c>
      <c r="J1187" s="7">
        <v>5.0</v>
      </c>
      <c r="K1187" s="7" t="s">
        <v>44</v>
      </c>
      <c r="L1187" s="9" t="str">
        <f>VLOOKUP(K1187, 'Alphabetical by species code'!A:B, 2, FALSE)</f>
        <v>Amsinckia menziesii</v>
      </c>
    </row>
    <row r="1188">
      <c r="A1188" s="7">
        <v>14.0</v>
      </c>
      <c r="B1188" s="7">
        <v>2025.0</v>
      </c>
      <c r="C1188" s="8">
        <v>45790.0</v>
      </c>
      <c r="D1188" s="7" t="s">
        <v>83</v>
      </c>
      <c r="E1188" s="7" t="s">
        <v>85</v>
      </c>
      <c r="F1188" s="7">
        <v>3.0</v>
      </c>
      <c r="G1188" s="7" t="s">
        <v>46</v>
      </c>
      <c r="H1188" s="7">
        <v>1.0</v>
      </c>
      <c r="I1188" s="7">
        <v>11.0</v>
      </c>
      <c r="J1188" s="7">
        <v>5.0</v>
      </c>
      <c r="K1188" s="7" t="s">
        <v>31</v>
      </c>
      <c r="L1188" s="9" t="str">
        <f>VLOOKUP(K1188, 'Alphabetical by species code'!A:B, 2, FALSE)</f>
        <v>Festuca myuros</v>
      </c>
    </row>
    <row r="1189">
      <c r="A1189" s="7">
        <v>14.0</v>
      </c>
      <c r="B1189" s="7">
        <v>2025.0</v>
      </c>
      <c r="C1189" s="8">
        <v>45790.0</v>
      </c>
      <c r="D1189" s="7" t="s">
        <v>83</v>
      </c>
      <c r="E1189" s="7" t="s">
        <v>85</v>
      </c>
      <c r="F1189" s="7">
        <v>3.0</v>
      </c>
      <c r="G1189" s="7" t="s">
        <v>46</v>
      </c>
      <c r="H1189" s="7">
        <v>1.0</v>
      </c>
      <c r="I1189" s="7">
        <v>12.0</v>
      </c>
      <c r="J1189" s="7">
        <v>5.5</v>
      </c>
      <c r="K1189" s="7" t="s">
        <v>28</v>
      </c>
      <c r="L1189" s="9" t="str">
        <f>VLOOKUP(K1189, 'Alphabetical by species code'!A:B, 2, FALSE)</f>
        <v>Litter</v>
      </c>
    </row>
    <row r="1190">
      <c r="A1190" s="7">
        <v>14.0</v>
      </c>
      <c r="B1190" s="7">
        <v>2025.0</v>
      </c>
      <c r="C1190" s="8">
        <v>45790.0</v>
      </c>
      <c r="D1190" s="7" t="s">
        <v>83</v>
      </c>
      <c r="E1190" s="7" t="s">
        <v>85</v>
      </c>
      <c r="F1190" s="7">
        <v>3.0</v>
      </c>
      <c r="G1190" s="7" t="s">
        <v>46</v>
      </c>
      <c r="H1190" s="7">
        <v>1.0</v>
      </c>
      <c r="I1190" s="7">
        <v>12.0</v>
      </c>
      <c r="J1190" s="7">
        <v>5.5</v>
      </c>
      <c r="K1190" s="7" t="s">
        <v>31</v>
      </c>
      <c r="L1190" s="9" t="str">
        <f>VLOOKUP(K1190, 'Alphabetical by species code'!A:B, 2, FALSE)</f>
        <v>Festuca myuros</v>
      </c>
    </row>
    <row r="1191">
      <c r="A1191" s="7">
        <v>14.0</v>
      </c>
      <c r="B1191" s="7">
        <v>2025.0</v>
      </c>
      <c r="C1191" s="8">
        <v>45790.0</v>
      </c>
      <c r="D1191" s="7" t="s">
        <v>83</v>
      </c>
      <c r="E1191" s="7" t="s">
        <v>85</v>
      </c>
      <c r="F1191" s="7">
        <v>3.0</v>
      </c>
      <c r="G1191" s="7" t="s">
        <v>46</v>
      </c>
      <c r="H1191" s="7">
        <v>1.0</v>
      </c>
      <c r="I1191" s="7">
        <v>13.0</v>
      </c>
      <c r="J1191" s="7">
        <v>6.5</v>
      </c>
      <c r="K1191" s="7" t="s">
        <v>28</v>
      </c>
      <c r="L1191" s="9" t="str">
        <f>VLOOKUP(K1191, 'Alphabetical by species code'!A:B, 2, FALSE)</f>
        <v>Litter</v>
      </c>
    </row>
    <row r="1192">
      <c r="A1192" s="7">
        <v>14.0</v>
      </c>
      <c r="B1192" s="7">
        <v>2025.0</v>
      </c>
      <c r="C1192" s="8">
        <v>45790.0</v>
      </c>
      <c r="D1192" s="7" t="s">
        <v>83</v>
      </c>
      <c r="E1192" s="7" t="s">
        <v>85</v>
      </c>
      <c r="F1192" s="7">
        <v>3.0</v>
      </c>
      <c r="G1192" s="7" t="s">
        <v>46</v>
      </c>
      <c r="H1192" s="7">
        <v>1.0</v>
      </c>
      <c r="I1192" s="7">
        <v>13.0</v>
      </c>
      <c r="J1192" s="7">
        <v>6.5</v>
      </c>
      <c r="K1192" s="7" t="s">
        <v>36</v>
      </c>
      <c r="L1192" s="9" t="str">
        <f>VLOOKUP(K1192, 'Alphabetical by species code'!A:B, 2, FALSE)</f>
        <v>Bromus madritensis</v>
      </c>
    </row>
    <row r="1193">
      <c r="A1193" s="7">
        <v>14.0</v>
      </c>
      <c r="B1193" s="7">
        <v>2025.0</v>
      </c>
      <c r="C1193" s="8">
        <v>45790.0</v>
      </c>
      <c r="D1193" s="7" t="s">
        <v>83</v>
      </c>
      <c r="E1193" s="7" t="s">
        <v>85</v>
      </c>
      <c r="F1193" s="7">
        <v>3.0</v>
      </c>
      <c r="G1193" s="7" t="s">
        <v>46</v>
      </c>
      <c r="H1193" s="7">
        <v>1.0</v>
      </c>
      <c r="I1193" s="7">
        <v>14.0</v>
      </c>
      <c r="J1193" s="7">
        <v>7.0</v>
      </c>
      <c r="K1193" s="7" t="s">
        <v>38</v>
      </c>
      <c r="L1193" s="9" t="str">
        <f>VLOOKUP(K1193, 'Alphabetical by species code'!A:B, 2, FALSE)</f>
        <v>Thatch</v>
      </c>
    </row>
    <row r="1194">
      <c r="A1194" s="7">
        <v>14.0</v>
      </c>
      <c r="B1194" s="7">
        <v>2025.0</v>
      </c>
      <c r="C1194" s="8">
        <v>45790.0</v>
      </c>
      <c r="D1194" s="7" t="s">
        <v>83</v>
      </c>
      <c r="E1194" s="7" t="s">
        <v>85</v>
      </c>
      <c r="F1194" s="7">
        <v>3.0</v>
      </c>
      <c r="G1194" s="7" t="s">
        <v>46</v>
      </c>
      <c r="H1194" s="7">
        <v>1.0</v>
      </c>
      <c r="I1194" s="7">
        <v>14.0</v>
      </c>
      <c r="J1194" s="7">
        <v>7.0</v>
      </c>
      <c r="K1194" s="7" t="s">
        <v>64</v>
      </c>
      <c r="L1194" s="9" t="str">
        <f>VLOOKUP(K1194, 'Alphabetical by species code'!A:B, 2, FALSE)</f>
        <v>Brassica nigra</v>
      </c>
    </row>
    <row r="1195">
      <c r="A1195" s="7">
        <v>14.0</v>
      </c>
      <c r="B1195" s="7">
        <v>2025.0</v>
      </c>
      <c r="C1195" s="8">
        <v>45790.0</v>
      </c>
      <c r="D1195" s="7" t="s">
        <v>83</v>
      </c>
      <c r="E1195" s="7" t="s">
        <v>85</v>
      </c>
      <c r="F1195" s="7">
        <v>3.0</v>
      </c>
      <c r="G1195" s="7" t="s">
        <v>46</v>
      </c>
      <c r="H1195" s="7">
        <v>1.0</v>
      </c>
      <c r="I1195" s="7">
        <v>14.0</v>
      </c>
      <c r="J1195" s="7">
        <v>7.0</v>
      </c>
      <c r="K1195" s="7" t="s">
        <v>36</v>
      </c>
      <c r="L1195" s="9" t="str">
        <f>VLOOKUP(K1195, 'Alphabetical by species code'!A:B, 2, FALSE)</f>
        <v>Bromus madritensis</v>
      </c>
    </row>
    <row r="1196">
      <c r="A1196" s="7">
        <v>14.0</v>
      </c>
      <c r="B1196" s="7">
        <v>2025.0</v>
      </c>
      <c r="C1196" s="8">
        <v>45790.0</v>
      </c>
      <c r="D1196" s="7" t="s">
        <v>83</v>
      </c>
      <c r="E1196" s="7" t="s">
        <v>85</v>
      </c>
      <c r="F1196" s="7">
        <v>3.0</v>
      </c>
      <c r="G1196" s="7" t="s">
        <v>46</v>
      </c>
      <c r="H1196" s="7">
        <v>1.0</v>
      </c>
      <c r="I1196" s="7">
        <v>14.0</v>
      </c>
      <c r="J1196" s="7">
        <v>7.0</v>
      </c>
      <c r="K1196" s="7" t="s">
        <v>31</v>
      </c>
      <c r="L1196" s="9" t="str">
        <f>VLOOKUP(K1196, 'Alphabetical by species code'!A:B, 2, FALSE)</f>
        <v>Festuca myuros</v>
      </c>
    </row>
    <row r="1197">
      <c r="A1197" s="7">
        <v>14.0</v>
      </c>
      <c r="B1197" s="7">
        <v>2025.0</v>
      </c>
      <c r="C1197" s="8">
        <v>45790.0</v>
      </c>
      <c r="D1197" s="7" t="s">
        <v>83</v>
      </c>
      <c r="E1197" s="7" t="s">
        <v>85</v>
      </c>
      <c r="F1197" s="7">
        <v>3.0</v>
      </c>
      <c r="G1197" s="7" t="s">
        <v>46</v>
      </c>
      <c r="H1197" s="7">
        <v>1.0</v>
      </c>
      <c r="I1197" s="7">
        <v>15.0</v>
      </c>
      <c r="J1197" s="7">
        <v>7.5</v>
      </c>
      <c r="K1197" s="7" t="s">
        <v>38</v>
      </c>
      <c r="L1197" s="9" t="str">
        <f>VLOOKUP(K1197, 'Alphabetical by species code'!A:B, 2, FALSE)</f>
        <v>Thatch</v>
      </c>
    </row>
    <row r="1198">
      <c r="A1198" s="7">
        <v>14.0</v>
      </c>
      <c r="B1198" s="7">
        <v>2025.0</v>
      </c>
      <c r="C1198" s="8">
        <v>45790.0</v>
      </c>
      <c r="D1198" s="7" t="s">
        <v>83</v>
      </c>
      <c r="E1198" s="7" t="s">
        <v>85</v>
      </c>
      <c r="F1198" s="7">
        <v>3.0</v>
      </c>
      <c r="G1198" s="7" t="s">
        <v>46</v>
      </c>
      <c r="H1198" s="7">
        <v>1.0</v>
      </c>
      <c r="I1198" s="7">
        <v>15.0</v>
      </c>
      <c r="J1198" s="7">
        <v>7.5</v>
      </c>
      <c r="K1198" s="7" t="s">
        <v>40</v>
      </c>
      <c r="L1198" s="9" t="str">
        <f>VLOOKUP(K1198, 'Alphabetical by species code'!A:B, 2, FALSE)</f>
        <v>Cylindropuntia prolifera</v>
      </c>
    </row>
    <row r="1199">
      <c r="A1199" s="7">
        <v>14.0</v>
      </c>
      <c r="B1199" s="7">
        <v>2025.0</v>
      </c>
      <c r="C1199" s="8">
        <v>45790.0</v>
      </c>
      <c r="D1199" s="7" t="s">
        <v>83</v>
      </c>
      <c r="E1199" s="7" t="s">
        <v>85</v>
      </c>
      <c r="F1199" s="7">
        <v>3.0</v>
      </c>
      <c r="G1199" s="7" t="s">
        <v>46</v>
      </c>
      <c r="H1199" s="7">
        <v>1.0</v>
      </c>
      <c r="I1199" s="7">
        <v>15.0</v>
      </c>
      <c r="J1199" s="7">
        <v>7.5</v>
      </c>
      <c r="K1199" s="7" t="s">
        <v>36</v>
      </c>
      <c r="L1199" s="9" t="str">
        <f>VLOOKUP(K1199, 'Alphabetical by species code'!A:B, 2, FALSE)</f>
        <v>Bromus madritensis</v>
      </c>
    </row>
    <row r="1200">
      <c r="A1200" s="7">
        <v>14.0</v>
      </c>
      <c r="B1200" s="7">
        <v>2025.0</v>
      </c>
      <c r="C1200" s="8">
        <v>45790.0</v>
      </c>
      <c r="D1200" s="7" t="s">
        <v>83</v>
      </c>
      <c r="E1200" s="7" t="s">
        <v>85</v>
      </c>
      <c r="F1200" s="7">
        <v>3.0</v>
      </c>
      <c r="G1200" s="7" t="s">
        <v>46</v>
      </c>
      <c r="H1200" s="7">
        <v>1.0</v>
      </c>
      <c r="I1200" s="7">
        <v>15.0</v>
      </c>
      <c r="J1200" s="7">
        <v>7.5</v>
      </c>
      <c r="K1200" s="7" t="s">
        <v>31</v>
      </c>
      <c r="L1200" s="9" t="str">
        <f>VLOOKUP(K1200, 'Alphabetical by species code'!A:B, 2, FALSE)</f>
        <v>Festuca myuros</v>
      </c>
    </row>
    <row r="1201">
      <c r="A1201" s="7">
        <v>14.0</v>
      </c>
      <c r="B1201" s="7">
        <v>2025.0</v>
      </c>
      <c r="C1201" s="8">
        <v>45790.0</v>
      </c>
      <c r="D1201" s="7" t="s">
        <v>83</v>
      </c>
      <c r="E1201" s="7" t="s">
        <v>85</v>
      </c>
      <c r="F1201" s="7">
        <v>3.0</v>
      </c>
      <c r="G1201" s="7" t="s">
        <v>46</v>
      </c>
      <c r="H1201" s="7">
        <v>1.0</v>
      </c>
      <c r="I1201" s="7">
        <v>15.0</v>
      </c>
      <c r="J1201" s="7">
        <v>7.5</v>
      </c>
      <c r="K1201" s="7" t="s">
        <v>64</v>
      </c>
      <c r="L1201" s="9" t="str">
        <f>VLOOKUP(K1201, 'Alphabetical by species code'!A:B, 2, FALSE)</f>
        <v>Brassica nigra</v>
      </c>
    </row>
    <row r="1202">
      <c r="A1202" s="7">
        <v>14.0</v>
      </c>
      <c r="B1202" s="7">
        <v>2025.0</v>
      </c>
      <c r="C1202" s="8">
        <v>45790.0</v>
      </c>
      <c r="D1202" s="7" t="s">
        <v>83</v>
      </c>
      <c r="E1202" s="7" t="s">
        <v>85</v>
      </c>
      <c r="F1202" s="7">
        <v>3.0</v>
      </c>
      <c r="G1202" s="7" t="s">
        <v>46</v>
      </c>
      <c r="H1202" s="7">
        <v>2.0</v>
      </c>
      <c r="I1202" s="7">
        <v>1.0</v>
      </c>
      <c r="J1202" s="7">
        <v>0.0</v>
      </c>
      <c r="K1202" s="7" t="s">
        <v>28</v>
      </c>
      <c r="L1202" s="9" t="str">
        <f>VLOOKUP(K1202, 'Alphabetical by species code'!A:B, 2, FALSE)</f>
        <v>Litter</v>
      </c>
    </row>
    <row r="1203">
      <c r="A1203" s="7">
        <v>14.0</v>
      </c>
      <c r="B1203" s="7">
        <v>2025.0</v>
      </c>
      <c r="C1203" s="8">
        <v>45790.0</v>
      </c>
      <c r="D1203" s="7" t="s">
        <v>83</v>
      </c>
      <c r="E1203" s="7" t="s">
        <v>85</v>
      </c>
      <c r="F1203" s="7">
        <v>3.0</v>
      </c>
      <c r="G1203" s="7" t="s">
        <v>46</v>
      </c>
      <c r="H1203" s="7">
        <v>2.0</v>
      </c>
      <c r="I1203" s="7">
        <v>1.0</v>
      </c>
      <c r="J1203" s="7">
        <v>0.0</v>
      </c>
      <c r="K1203" s="7" t="s">
        <v>42</v>
      </c>
      <c r="L1203" s="9" t="str">
        <f>VLOOKUP(K1203, 'Alphabetical by species code'!A:B, 2, FALSE)</f>
        <v>Centaurea melitensis</v>
      </c>
    </row>
    <row r="1204">
      <c r="A1204" s="7">
        <v>14.0</v>
      </c>
      <c r="B1204" s="7">
        <v>2025.0</v>
      </c>
      <c r="C1204" s="8">
        <v>45790.0</v>
      </c>
      <c r="D1204" s="7" t="s">
        <v>83</v>
      </c>
      <c r="E1204" s="7" t="s">
        <v>85</v>
      </c>
      <c r="F1204" s="7">
        <v>3.0</v>
      </c>
      <c r="G1204" s="7" t="s">
        <v>46</v>
      </c>
      <c r="H1204" s="7">
        <v>2.0</v>
      </c>
      <c r="I1204" s="7">
        <v>2.0</v>
      </c>
      <c r="J1204" s="7">
        <v>0.5</v>
      </c>
      <c r="K1204" s="7" t="s">
        <v>51</v>
      </c>
      <c r="L1204" s="9" t="str">
        <f>VLOOKUP(K1204, 'Alphabetical by species code'!A:B, 2, FALSE)</f>
        <v>Bareground</v>
      </c>
    </row>
    <row r="1205">
      <c r="A1205" s="7">
        <v>14.0</v>
      </c>
      <c r="B1205" s="7">
        <v>2025.0</v>
      </c>
      <c r="C1205" s="8">
        <v>45790.0</v>
      </c>
      <c r="D1205" s="7" t="s">
        <v>83</v>
      </c>
      <c r="E1205" s="7" t="s">
        <v>85</v>
      </c>
      <c r="F1205" s="7">
        <v>3.0</v>
      </c>
      <c r="G1205" s="7" t="s">
        <v>46</v>
      </c>
      <c r="H1205" s="7">
        <v>2.0</v>
      </c>
      <c r="I1205" s="7">
        <v>2.0</v>
      </c>
      <c r="J1205" s="7">
        <v>0.5</v>
      </c>
      <c r="K1205" s="7" t="s">
        <v>64</v>
      </c>
      <c r="L1205" s="9" t="str">
        <f>VLOOKUP(K1205, 'Alphabetical by species code'!A:B, 2, FALSE)</f>
        <v>Brassica nigra</v>
      </c>
    </row>
    <row r="1206">
      <c r="A1206" s="7">
        <v>14.0</v>
      </c>
      <c r="B1206" s="7">
        <v>2025.0</v>
      </c>
      <c r="C1206" s="8">
        <v>45790.0</v>
      </c>
      <c r="D1206" s="7" t="s">
        <v>83</v>
      </c>
      <c r="E1206" s="7" t="s">
        <v>85</v>
      </c>
      <c r="F1206" s="7">
        <v>3.0</v>
      </c>
      <c r="G1206" s="7" t="s">
        <v>46</v>
      </c>
      <c r="H1206" s="7">
        <v>2.0</v>
      </c>
      <c r="I1206" s="7">
        <v>2.0</v>
      </c>
      <c r="J1206" s="7">
        <v>0.5</v>
      </c>
      <c r="K1206" s="7" t="s">
        <v>29</v>
      </c>
      <c r="L1206" s="9" t="str">
        <f>VLOOKUP(K1206, 'Alphabetical by species code'!A:B, 2, FALSE)</f>
        <v>Opuntia littoralis</v>
      </c>
    </row>
    <row r="1207">
      <c r="A1207" s="7">
        <v>14.0</v>
      </c>
      <c r="B1207" s="7">
        <v>2025.0</v>
      </c>
      <c r="C1207" s="8">
        <v>45790.0</v>
      </c>
      <c r="D1207" s="7" t="s">
        <v>83</v>
      </c>
      <c r="E1207" s="7" t="s">
        <v>85</v>
      </c>
      <c r="F1207" s="7">
        <v>3.0</v>
      </c>
      <c r="G1207" s="7" t="s">
        <v>46</v>
      </c>
      <c r="H1207" s="7">
        <v>2.0</v>
      </c>
      <c r="I1207" s="7">
        <v>3.0</v>
      </c>
      <c r="J1207" s="7">
        <v>1.0</v>
      </c>
      <c r="K1207" s="7" t="s">
        <v>28</v>
      </c>
      <c r="L1207" s="9" t="str">
        <f>VLOOKUP(K1207, 'Alphabetical by species code'!A:B, 2, FALSE)</f>
        <v>Litter</v>
      </c>
    </row>
    <row r="1208">
      <c r="A1208" s="7">
        <v>14.0</v>
      </c>
      <c r="B1208" s="7">
        <v>2025.0</v>
      </c>
      <c r="C1208" s="8">
        <v>45790.0</v>
      </c>
      <c r="D1208" s="7" t="s">
        <v>83</v>
      </c>
      <c r="E1208" s="7" t="s">
        <v>85</v>
      </c>
      <c r="F1208" s="7">
        <v>3.0</v>
      </c>
      <c r="G1208" s="7" t="s">
        <v>46</v>
      </c>
      <c r="H1208" s="7">
        <v>2.0</v>
      </c>
      <c r="I1208" s="7">
        <v>3.0</v>
      </c>
      <c r="J1208" s="7">
        <v>1.0</v>
      </c>
      <c r="K1208" s="7" t="s">
        <v>36</v>
      </c>
      <c r="L1208" s="9" t="str">
        <f>VLOOKUP(K1208, 'Alphabetical by species code'!A:B, 2, FALSE)</f>
        <v>Bromus madritensis</v>
      </c>
    </row>
    <row r="1209">
      <c r="A1209" s="7">
        <v>14.0</v>
      </c>
      <c r="B1209" s="7">
        <v>2025.0</v>
      </c>
      <c r="C1209" s="8">
        <v>45790.0</v>
      </c>
      <c r="D1209" s="7" t="s">
        <v>83</v>
      </c>
      <c r="E1209" s="7" t="s">
        <v>85</v>
      </c>
      <c r="F1209" s="7">
        <v>3.0</v>
      </c>
      <c r="G1209" s="7" t="s">
        <v>46</v>
      </c>
      <c r="H1209" s="7">
        <v>2.0</v>
      </c>
      <c r="I1209" s="7">
        <v>4.0</v>
      </c>
      <c r="J1209" s="7">
        <v>1.5</v>
      </c>
      <c r="K1209" s="7" t="s">
        <v>28</v>
      </c>
      <c r="L1209" s="9" t="str">
        <f>VLOOKUP(K1209, 'Alphabetical by species code'!A:B, 2, FALSE)</f>
        <v>Litter</v>
      </c>
    </row>
    <row r="1210">
      <c r="A1210" s="7">
        <v>14.0</v>
      </c>
      <c r="B1210" s="7">
        <v>2025.0</v>
      </c>
      <c r="C1210" s="8">
        <v>45790.0</v>
      </c>
      <c r="D1210" s="7" t="s">
        <v>83</v>
      </c>
      <c r="E1210" s="7" t="s">
        <v>85</v>
      </c>
      <c r="F1210" s="7">
        <v>3.0</v>
      </c>
      <c r="G1210" s="7" t="s">
        <v>46</v>
      </c>
      <c r="H1210" s="7">
        <v>2.0</v>
      </c>
      <c r="I1210" s="7">
        <v>4.0</v>
      </c>
      <c r="J1210" s="7">
        <v>1.5</v>
      </c>
      <c r="K1210" s="7" t="s">
        <v>36</v>
      </c>
      <c r="L1210" s="9" t="str">
        <f>VLOOKUP(K1210, 'Alphabetical by species code'!A:B, 2, FALSE)</f>
        <v>Bromus madritensis</v>
      </c>
    </row>
    <row r="1211">
      <c r="A1211" s="7">
        <v>14.0</v>
      </c>
      <c r="B1211" s="7">
        <v>2025.0</v>
      </c>
      <c r="C1211" s="8">
        <v>45790.0</v>
      </c>
      <c r="D1211" s="7" t="s">
        <v>83</v>
      </c>
      <c r="E1211" s="7" t="s">
        <v>85</v>
      </c>
      <c r="F1211" s="7">
        <v>3.0</v>
      </c>
      <c r="G1211" s="7" t="s">
        <v>46</v>
      </c>
      <c r="H1211" s="7">
        <v>2.0</v>
      </c>
      <c r="I1211" s="7">
        <v>4.0</v>
      </c>
      <c r="J1211" s="7">
        <v>1.5</v>
      </c>
      <c r="K1211" s="7" t="s">
        <v>47</v>
      </c>
      <c r="L1211" s="9" t="str">
        <f>VLOOKUP(K1211, 'Alphabetical by species code'!A:B, 2, FALSE)</f>
        <v>Sonchus species</v>
      </c>
    </row>
    <row r="1212">
      <c r="A1212" s="7">
        <v>14.0</v>
      </c>
      <c r="B1212" s="7">
        <v>2025.0</v>
      </c>
      <c r="C1212" s="8">
        <v>45790.0</v>
      </c>
      <c r="D1212" s="7" t="s">
        <v>83</v>
      </c>
      <c r="E1212" s="7" t="s">
        <v>85</v>
      </c>
      <c r="F1212" s="7">
        <v>3.0</v>
      </c>
      <c r="G1212" s="7" t="s">
        <v>46</v>
      </c>
      <c r="H1212" s="7">
        <v>2.0</v>
      </c>
      <c r="I1212" s="7">
        <v>5.0</v>
      </c>
      <c r="J1212" s="7">
        <v>2.5</v>
      </c>
      <c r="K1212" s="7" t="s">
        <v>28</v>
      </c>
      <c r="L1212" s="9" t="str">
        <f>VLOOKUP(K1212, 'Alphabetical by species code'!A:B, 2, FALSE)</f>
        <v>Litter</v>
      </c>
    </row>
    <row r="1213">
      <c r="A1213" s="7">
        <v>14.0</v>
      </c>
      <c r="B1213" s="7">
        <v>2025.0</v>
      </c>
      <c r="C1213" s="8">
        <v>45790.0</v>
      </c>
      <c r="D1213" s="7" t="s">
        <v>83</v>
      </c>
      <c r="E1213" s="7" t="s">
        <v>85</v>
      </c>
      <c r="F1213" s="7">
        <v>3.0</v>
      </c>
      <c r="G1213" s="7" t="s">
        <v>46</v>
      </c>
      <c r="H1213" s="7">
        <v>2.0</v>
      </c>
      <c r="I1213" s="7">
        <v>5.0</v>
      </c>
      <c r="J1213" s="7">
        <v>2.5</v>
      </c>
      <c r="K1213" s="7" t="s">
        <v>36</v>
      </c>
      <c r="L1213" s="9" t="str">
        <f>VLOOKUP(K1213, 'Alphabetical by species code'!A:B, 2, FALSE)</f>
        <v>Bromus madritensis</v>
      </c>
    </row>
    <row r="1214">
      <c r="A1214" s="7">
        <v>14.0</v>
      </c>
      <c r="B1214" s="7">
        <v>2025.0</v>
      </c>
      <c r="C1214" s="8">
        <v>45790.0</v>
      </c>
      <c r="D1214" s="7" t="s">
        <v>83</v>
      </c>
      <c r="E1214" s="7" t="s">
        <v>85</v>
      </c>
      <c r="F1214" s="7">
        <v>3.0</v>
      </c>
      <c r="G1214" s="7" t="s">
        <v>46</v>
      </c>
      <c r="H1214" s="7">
        <v>2.0</v>
      </c>
      <c r="I1214" s="7">
        <v>5.0</v>
      </c>
      <c r="J1214" s="7">
        <v>2.5</v>
      </c>
      <c r="K1214" s="7" t="s">
        <v>42</v>
      </c>
      <c r="L1214" s="9" t="str">
        <f>VLOOKUP(K1214, 'Alphabetical by species code'!A:B, 2, FALSE)</f>
        <v>Centaurea melitensis</v>
      </c>
    </row>
    <row r="1215">
      <c r="A1215" s="7">
        <v>14.0</v>
      </c>
      <c r="B1215" s="7">
        <v>2025.0</v>
      </c>
      <c r="C1215" s="8">
        <v>45790.0</v>
      </c>
      <c r="D1215" s="7" t="s">
        <v>83</v>
      </c>
      <c r="E1215" s="7" t="s">
        <v>85</v>
      </c>
      <c r="F1215" s="7">
        <v>3.0</v>
      </c>
      <c r="G1215" s="7" t="s">
        <v>46</v>
      </c>
      <c r="H1215" s="7">
        <v>2.0</v>
      </c>
      <c r="I1215" s="7">
        <v>6.0</v>
      </c>
      <c r="J1215" s="7">
        <v>3.0</v>
      </c>
      <c r="K1215" s="7" t="s">
        <v>28</v>
      </c>
      <c r="L1215" s="9" t="str">
        <f>VLOOKUP(K1215, 'Alphabetical by species code'!A:B, 2, FALSE)</f>
        <v>Litter</v>
      </c>
    </row>
    <row r="1216">
      <c r="A1216" s="7">
        <v>14.0</v>
      </c>
      <c r="B1216" s="7">
        <v>2025.0</v>
      </c>
      <c r="C1216" s="8">
        <v>45790.0</v>
      </c>
      <c r="D1216" s="7" t="s">
        <v>83</v>
      </c>
      <c r="E1216" s="7" t="s">
        <v>85</v>
      </c>
      <c r="F1216" s="7">
        <v>3.0</v>
      </c>
      <c r="G1216" s="7" t="s">
        <v>46</v>
      </c>
      <c r="H1216" s="7">
        <v>2.0</v>
      </c>
      <c r="I1216" s="7">
        <v>6.0</v>
      </c>
      <c r="J1216" s="7">
        <v>3.0</v>
      </c>
      <c r="K1216" s="7" t="s">
        <v>64</v>
      </c>
      <c r="L1216" s="9" t="str">
        <f>VLOOKUP(K1216, 'Alphabetical by species code'!A:B, 2, FALSE)</f>
        <v>Brassica nigra</v>
      </c>
    </row>
    <row r="1217">
      <c r="A1217" s="7">
        <v>14.0</v>
      </c>
      <c r="B1217" s="7">
        <v>2025.0</v>
      </c>
      <c r="C1217" s="8">
        <v>45790.0</v>
      </c>
      <c r="D1217" s="7" t="s">
        <v>83</v>
      </c>
      <c r="E1217" s="7" t="s">
        <v>85</v>
      </c>
      <c r="F1217" s="7">
        <v>3.0</v>
      </c>
      <c r="G1217" s="7" t="s">
        <v>46</v>
      </c>
      <c r="H1217" s="7">
        <v>2.0</v>
      </c>
      <c r="I1217" s="7">
        <v>6.0</v>
      </c>
      <c r="J1217" s="7">
        <v>3.0</v>
      </c>
      <c r="K1217" s="7" t="s">
        <v>36</v>
      </c>
      <c r="L1217" s="9" t="str">
        <f>VLOOKUP(K1217, 'Alphabetical by species code'!A:B, 2, FALSE)</f>
        <v>Bromus madritensis</v>
      </c>
    </row>
    <row r="1218">
      <c r="A1218" s="7">
        <v>14.0</v>
      </c>
      <c r="B1218" s="7">
        <v>2025.0</v>
      </c>
      <c r="C1218" s="8">
        <v>45790.0</v>
      </c>
      <c r="D1218" s="7" t="s">
        <v>83</v>
      </c>
      <c r="E1218" s="7" t="s">
        <v>85</v>
      </c>
      <c r="F1218" s="7">
        <v>3.0</v>
      </c>
      <c r="G1218" s="7" t="s">
        <v>46</v>
      </c>
      <c r="H1218" s="7">
        <v>2.0</v>
      </c>
      <c r="I1218" s="7">
        <v>6.0</v>
      </c>
      <c r="J1218" s="7">
        <v>3.0</v>
      </c>
      <c r="K1218" s="7" t="s">
        <v>31</v>
      </c>
      <c r="L1218" s="9" t="str">
        <f>VLOOKUP(K1218, 'Alphabetical by species code'!A:B, 2, FALSE)</f>
        <v>Festuca myuros</v>
      </c>
    </row>
    <row r="1219">
      <c r="A1219" s="7">
        <v>14.0</v>
      </c>
      <c r="B1219" s="7">
        <v>2025.0</v>
      </c>
      <c r="C1219" s="8">
        <v>45790.0</v>
      </c>
      <c r="D1219" s="7" t="s">
        <v>83</v>
      </c>
      <c r="E1219" s="7" t="s">
        <v>85</v>
      </c>
      <c r="F1219" s="7">
        <v>3.0</v>
      </c>
      <c r="G1219" s="7" t="s">
        <v>46</v>
      </c>
      <c r="H1219" s="7">
        <v>2.0</v>
      </c>
      <c r="I1219" s="7">
        <v>7.0</v>
      </c>
      <c r="J1219" s="7">
        <v>3.5</v>
      </c>
      <c r="K1219" s="7" t="s">
        <v>28</v>
      </c>
      <c r="L1219" s="9" t="str">
        <f>VLOOKUP(K1219, 'Alphabetical by species code'!A:B, 2, FALSE)</f>
        <v>Litter</v>
      </c>
    </row>
    <row r="1220">
      <c r="A1220" s="7">
        <v>14.0</v>
      </c>
      <c r="B1220" s="7">
        <v>2025.0</v>
      </c>
      <c r="C1220" s="8">
        <v>45790.0</v>
      </c>
      <c r="D1220" s="7" t="s">
        <v>83</v>
      </c>
      <c r="E1220" s="7" t="s">
        <v>85</v>
      </c>
      <c r="F1220" s="7">
        <v>3.0</v>
      </c>
      <c r="G1220" s="7" t="s">
        <v>46</v>
      </c>
      <c r="H1220" s="7">
        <v>2.0</v>
      </c>
      <c r="I1220" s="7">
        <v>7.0</v>
      </c>
      <c r="J1220" s="7">
        <v>3.5</v>
      </c>
      <c r="K1220" s="7" t="s">
        <v>64</v>
      </c>
      <c r="L1220" s="9" t="str">
        <f>VLOOKUP(K1220, 'Alphabetical by species code'!A:B, 2, FALSE)</f>
        <v>Brassica nigra</v>
      </c>
    </row>
    <row r="1221">
      <c r="A1221" s="7">
        <v>14.0</v>
      </c>
      <c r="B1221" s="7">
        <v>2025.0</v>
      </c>
      <c r="C1221" s="8">
        <v>45790.0</v>
      </c>
      <c r="D1221" s="7" t="s">
        <v>83</v>
      </c>
      <c r="E1221" s="7" t="s">
        <v>85</v>
      </c>
      <c r="F1221" s="7">
        <v>3.0</v>
      </c>
      <c r="G1221" s="7" t="s">
        <v>46</v>
      </c>
      <c r="H1221" s="7">
        <v>2.0</v>
      </c>
      <c r="I1221" s="7">
        <v>8.0</v>
      </c>
      <c r="J1221" s="7">
        <v>4.0</v>
      </c>
      <c r="K1221" s="7" t="s">
        <v>38</v>
      </c>
      <c r="L1221" s="9" t="str">
        <f>VLOOKUP(K1221, 'Alphabetical by species code'!A:B, 2, FALSE)</f>
        <v>Thatch</v>
      </c>
    </row>
    <row r="1222">
      <c r="A1222" s="7">
        <v>14.0</v>
      </c>
      <c r="B1222" s="7">
        <v>2025.0</v>
      </c>
      <c r="C1222" s="8">
        <v>45790.0</v>
      </c>
      <c r="D1222" s="7" t="s">
        <v>83</v>
      </c>
      <c r="E1222" s="7" t="s">
        <v>85</v>
      </c>
      <c r="F1222" s="7">
        <v>3.0</v>
      </c>
      <c r="G1222" s="7" t="s">
        <v>46</v>
      </c>
      <c r="H1222" s="7">
        <v>2.0</v>
      </c>
      <c r="I1222" s="7">
        <v>8.0</v>
      </c>
      <c r="J1222" s="7">
        <v>4.0</v>
      </c>
      <c r="K1222" s="7" t="s">
        <v>36</v>
      </c>
      <c r="L1222" s="9" t="str">
        <f>VLOOKUP(K1222, 'Alphabetical by species code'!A:B, 2, FALSE)</f>
        <v>Bromus madritensis</v>
      </c>
    </row>
    <row r="1223">
      <c r="A1223" s="7">
        <v>14.0</v>
      </c>
      <c r="B1223" s="7">
        <v>2025.0</v>
      </c>
      <c r="C1223" s="8">
        <v>45790.0</v>
      </c>
      <c r="D1223" s="7" t="s">
        <v>83</v>
      </c>
      <c r="E1223" s="7" t="s">
        <v>85</v>
      </c>
      <c r="F1223" s="7">
        <v>3.0</v>
      </c>
      <c r="G1223" s="7" t="s">
        <v>46</v>
      </c>
      <c r="H1223" s="7">
        <v>2.0</v>
      </c>
      <c r="I1223" s="7">
        <v>9.0</v>
      </c>
      <c r="J1223" s="7">
        <v>4.5</v>
      </c>
      <c r="K1223" s="7" t="s">
        <v>28</v>
      </c>
      <c r="L1223" s="9" t="str">
        <f>VLOOKUP(K1223, 'Alphabetical by species code'!A:B, 2, FALSE)</f>
        <v>Litter</v>
      </c>
    </row>
    <row r="1224">
      <c r="A1224" s="7">
        <v>14.0</v>
      </c>
      <c r="B1224" s="7">
        <v>2025.0</v>
      </c>
      <c r="C1224" s="8">
        <v>45790.0</v>
      </c>
      <c r="D1224" s="7" t="s">
        <v>83</v>
      </c>
      <c r="E1224" s="7" t="s">
        <v>85</v>
      </c>
      <c r="F1224" s="7">
        <v>3.0</v>
      </c>
      <c r="G1224" s="7" t="s">
        <v>46</v>
      </c>
      <c r="H1224" s="7">
        <v>2.0</v>
      </c>
      <c r="I1224" s="7">
        <v>9.0</v>
      </c>
      <c r="J1224" s="7">
        <v>4.5</v>
      </c>
      <c r="K1224" s="7" t="s">
        <v>44</v>
      </c>
      <c r="L1224" s="9" t="str">
        <f>VLOOKUP(K1224, 'Alphabetical by species code'!A:B, 2, FALSE)</f>
        <v>Amsinckia menziesii</v>
      </c>
    </row>
    <row r="1225">
      <c r="A1225" s="7">
        <v>14.0</v>
      </c>
      <c r="B1225" s="7">
        <v>2025.0</v>
      </c>
      <c r="C1225" s="8">
        <v>45790.0</v>
      </c>
      <c r="D1225" s="7" t="s">
        <v>83</v>
      </c>
      <c r="E1225" s="7" t="s">
        <v>85</v>
      </c>
      <c r="F1225" s="7">
        <v>3.0</v>
      </c>
      <c r="G1225" s="7" t="s">
        <v>46</v>
      </c>
      <c r="H1225" s="7">
        <v>2.0</v>
      </c>
      <c r="I1225" s="7">
        <v>10.0</v>
      </c>
      <c r="J1225" s="7">
        <v>5.0</v>
      </c>
      <c r="K1225" s="7" t="s">
        <v>28</v>
      </c>
      <c r="L1225" s="9" t="str">
        <f>VLOOKUP(K1225, 'Alphabetical by species code'!A:B, 2, FALSE)</f>
        <v>Litter</v>
      </c>
    </row>
    <row r="1226">
      <c r="A1226" s="7">
        <v>14.0</v>
      </c>
      <c r="B1226" s="7">
        <v>2025.0</v>
      </c>
      <c r="C1226" s="8">
        <v>45790.0</v>
      </c>
      <c r="D1226" s="7" t="s">
        <v>83</v>
      </c>
      <c r="E1226" s="7" t="s">
        <v>85</v>
      </c>
      <c r="F1226" s="7">
        <v>3.0</v>
      </c>
      <c r="G1226" s="7" t="s">
        <v>46</v>
      </c>
      <c r="H1226" s="7">
        <v>2.0</v>
      </c>
      <c r="I1226" s="7">
        <v>10.0</v>
      </c>
      <c r="J1226" s="7">
        <v>5.0</v>
      </c>
      <c r="K1226" s="7" t="s">
        <v>36</v>
      </c>
      <c r="L1226" s="9" t="str">
        <f>VLOOKUP(K1226, 'Alphabetical by species code'!A:B, 2, FALSE)</f>
        <v>Bromus madritensis</v>
      </c>
    </row>
    <row r="1227">
      <c r="A1227" s="7">
        <v>14.0</v>
      </c>
      <c r="B1227" s="7">
        <v>2025.0</v>
      </c>
      <c r="C1227" s="8">
        <v>45790.0</v>
      </c>
      <c r="D1227" s="7" t="s">
        <v>83</v>
      </c>
      <c r="E1227" s="7" t="s">
        <v>85</v>
      </c>
      <c r="F1227" s="7">
        <v>3.0</v>
      </c>
      <c r="G1227" s="7" t="s">
        <v>46</v>
      </c>
      <c r="H1227" s="7">
        <v>2.0</v>
      </c>
      <c r="I1227" s="7">
        <v>10.0</v>
      </c>
      <c r="J1227" s="7">
        <v>5.0</v>
      </c>
      <c r="K1227" s="7" t="s">
        <v>47</v>
      </c>
      <c r="L1227" s="9" t="str">
        <f>VLOOKUP(K1227, 'Alphabetical by species code'!A:B, 2, FALSE)</f>
        <v>Sonchus species</v>
      </c>
    </row>
    <row r="1228">
      <c r="A1228" s="7">
        <v>14.0</v>
      </c>
      <c r="B1228" s="7">
        <v>2025.0</v>
      </c>
      <c r="C1228" s="8">
        <v>45790.0</v>
      </c>
      <c r="D1228" s="7" t="s">
        <v>83</v>
      </c>
      <c r="E1228" s="7" t="s">
        <v>85</v>
      </c>
      <c r="F1228" s="7">
        <v>3.0</v>
      </c>
      <c r="G1228" s="7" t="s">
        <v>46</v>
      </c>
      <c r="H1228" s="7">
        <v>2.0</v>
      </c>
      <c r="I1228" s="7">
        <v>10.0</v>
      </c>
      <c r="J1228" s="7">
        <v>5.0</v>
      </c>
      <c r="K1228" s="7" t="s">
        <v>31</v>
      </c>
      <c r="L1228" s="9" t="str">
        <f>VLOOKUP(K1228, 'Alphabetical by species code'!A:B, 2, FALSE)</f>
        <v>Festuca myuros</v>
      </c>
    </row>
    <row r="1229">
      <c r="A1229" s="7">
        <v>14.0</v>
      </c>
      <c r="B1229" s="7">
        <v>2025.0</v>
      </c>
      <c r="C1229" s="8">
        <v>45790.0</v>
      </c>
      <c r="D1229" s="7" t="s">
        <v>83</v>
      </c>
      <c r="E1229" s="7" t="s">
        <v>85</v>
      </c>
      <c r="F1229" s="7">
        <v>3.0</v>
      </c>
      <c r="G1229" s="7" t="s">
        <v>46</v>
      </c>
      <c r="H1229" s="7">
        <v>2.0</v>
      </c>
      <c r="I1229" s="7">
        <v>11.0</v>
      </c>
      <c r="J1229" s="7">
        <v>5.5</v>
      </c>
      <c r="K1229" s="7" t="s">
        <v>38</v>
      </c>
      <c r="L1229" s="9" t="str">
        <f>VLOOKUP(K1229, 'Alphabetical by species code'!A:B, 2, FALSE)</f>
        <v>Thatch</v>
      </c>
    </row>
    <row r="1230">
      <c r="A1230" s="7">
        <v>14.0</v>
      </c>
      <c r="B1230" s="7">
        <v>2025.0</v>
      </c>
      <c r="C1230" s="8">
        <v>45790.0</v>
      </c>
      <c r="D1230" s="7" t="s">
        <v>83</v>
      </c>
      <c r="E1230" s="7" t="s">
        <v>85</v>
      </c>
      <c r="F1230" s="7">
        <v>3.0</v>
      </c>
      <c r="G1230" s="7" t="s">
        <v>46</v>
      </c>
      <c r="H1230" s="7">
        <v>2.0</v>
      </c>
      <c r="I1230" s="7">
        <v>12.0</v>
      </c>
      <c r="J1230" s="7">
        <v>6.0</v>
      </c>
      <c r="K1230" s="7" t="s">
        <v>38</v>
      </c>
      <c r="L1230" s="9" t="str">
        <f>VLOOKUP(K1230, 'Alphabetical by species code'!A:B, 2, FALSE)</f>
        <v>Thatch</v>
      </c>
    </row>
    <row r="1231">
      <c r="A1231" s="7">
        <v>14.0</v>
      </c>
      <c r="B1231" s="7">
        <v>2025.0</v>
      </c>
      <c r="C1231" s="8">
        <v>45790.0</v>
      </c>
      <c r="D1231" s="7" t="s">
        <v>83</v>
      </c>
      <c r="E1231" s="7" t="s">
        <v>85</v>
      </c>
      <c r="F1231" s="7">
        <v>3.0</v>
      </c>
      <c r="G1231" s="7" t="s">
        <v>46</v>
      </c>
      <c r="H1231" s="7">
        <v>2.0</v>
      </c>
      <c r="I1231" s="7">
        <v>12.0</v>
      </c>
      <c r="J1231" s="7">
        <v>6.0</v>
      </c>
      <c r="K1231" s="7" t="s">
        <v>44</v>
      </c>
      <c r="L1231" s="9" t="str">
        <f>VLOOKUP(K1231, 'Alphabetical by species code'!A:B, 2, FALSE)</f>
        <v>Amsinckia menziesii</v>
      </c>
    </row>
    <row r="1232">
      <c r="A1232" s="7">
        <v>14.0</v>
      </c>
      <c r="B1232" s="7">
        <v>2025.0</v>
      </c>
      <c r="C1232" s="8">
        <v>45790.0</v>
      </c>
      <c r="D1232" s="7" t="s">
        <v>83</v>
      </c>
      <c r="E1232" s="7" t="s">
        <v>85</v>
      </c>
      <c r="F1232" s="7">
        <v>3.0</v>
      </c>
      <c r="G1232" s="7" t="s">
        <v>46</v>
      </c>
      <c r="H1232" s="7">
        <v>2.0</v>
      </c>
      <c r="I1232" s="7">
        <v>12.0</v>
      </c>
      <c r="J1232" s="7">
        <v>6.0</v>
      </c>
      <c r="K1232" s="7" t="s">
        <v>31</v>
      </c>
      <c r="L1232" s="9" t="str">
        <f>VLOOKUP(K1232, 'Alphabetical by species code'!A:B, 2, FALSE)</f>
        <v>Festuca myuros</v>
      </c>
    </row>
    <row r="1233">
      <c r="A1233" s="7">
        <v>14.0</v>
      </c>
      <c r="B1233" s="7">
        <v>2025.0</v>
      </c>
      <c r="C1233" s="8">
        <v>45790.0</v>
      </c>
      <c r="D1233" s="7" t="s">
        <v>83</v>
      </c>
      <c r="E1233" s="7" t="s">
        <v>85</v>
      </c>
      <c r="F1233" s="7">
        <v>3.0</v>
      </c>
      <c r="G1233" s="7" t="s">
        <v>46</v>
      </c>
      <c r="H1233" s="7">
        <v>2.0</v>
      </c>
      <c r="I1233" s="7">
        <v>12.0</v>
      </c>
      <c r="J1233" s="7">
        <v>6.0</v>
      </c>
      <c r="K1233" s="7" t="s">
        <v>29</v>
      </c>
      <c r="L1233" s="9" t="str">
        <f>VLOOKUP(K1233, 'Alphabetical by species code'!A:B, 2, FALSE)</f>
        <v>Opuntia littoralis</v>
      </c>
    </row>
    <row r="1234">
      <c r="A1234" s="7">
        <v>14.0</v>
      </c>
      <c r="B1234" s="7">
        <v>2025.0</v>
      </c>
      <c r="C1234" s="8">
        <v>45790.0</v>
      </c>
      <c r="D1234" s="7" t="s">
        <v>83</v>
      </c>
      <c r="E1234" s="7" t="s">
        <v>85</v>
      </c>
      <c r="F1234" s="7">
        <v>3.0</v>
      </c>
      <c r="G1234" s="7" t="s">
        <v>46</v>
      </c>
      <c r="H1234" s="7">
        <v>2.0</v>
      </c>
      <c r="I1234" s="7">
        <v>13.0</v>
      </c>
      <c r="J1234" s="7">
        <v>6.5</v>
      </c>
      <c r="K1234" s="7" t="s">
        <v>28</v>
      </c>
      <c r="L1234" s="9" t="str">
        <f>VLOOKUP(K1234, 'Alphabetical by species code'!A:B, 2, FALSE)</f>
        <v>Litter</v>
      </c>
    </row>
    <row r="1235">
      <c r="A1235" s="7">
        <v>14.0</v>
      </c>
      <c r="B1235" s="7">
        <v>2025.0</v>
      </c>
      <c r="C1235" s="8">
        <v>45790.0</v>
      </c>
      <c r="D1235" s="7" t="s">
        <v>83</v>
      </c>
      <c r="E1235" s="7" t="s">
        <v>85</v>
      </c>
      <c r="F1235" s="7">
        <v>3.0</v>
      </c>
      <c r="G1235" s="7" t="s">
        <v>46</v>
      </c>
      <c r="H1235" s="7">
        <v>2.0</v>
      </c>
      <c r="I1235" s="7">
        <v>13.0</v>
      </c>
      <c r="J1235" s="7">
        <v>6.5</v>
      </c>
      <c r="K1235" s="7" t="s">
        <v>36</v>
      </c>
      <c r="L1235" s="9" t="str">
        <f>VLOOKUP(K1235, 'Alphabetical by species code'!A:B, 2, FALSE)</f>
        <v>Bromus madritensis</v>
      </c>
    </row>
    <row r="1236">
      <c r="A1236" s="7">
        <v>14.0</v>
      </c>
      <c r="B1236" s="7">
        <v>2025.0</v>
      </c>
      <c r="C1236" s="8">
        <v>45790.0</v>
      </c>
      <c r="D1236" s="7" t="s">
        <v>83</v>
      </c>
      <c r="E1236" s="7" t="s">
        <v>85</v>
      </c>
      <c r="F1236" s="7">
        <v>3.0</v>
      </c>
      <c r="G1236" s="7" t="s">
        <v>46</v>
      </c>
      <c r="H1236" s="7">
        <v>2.0</v>
      </c>
      <c r="I1236" s="7">
        <v>13.0</v>
      </c>
      <c r="J1236" s="7">
        <v>6.5</v>
      </c>
      <c r="K1236" s="7" t="s">
        <v>31</v>
      </c>
      <c r="L1236" s="9" t="str">
        <f>VLOOKUP(K1236, 'Alphabetical by species code'!A:B, 2, FALSE)</f>
        <v>Festuca myuros</v>
      </c>
    </row>
    <row r="1237">
      <c r="A1237" s="7">
        <v>14.0</v>
      </c>
      <c r="B1237" s="7">
        <v>2025.0</v>
      </c>
      <c r="C1237" s="8">
        <v>45790.0</v>
      </c>
      <c r="D1237" s="7" t="s">
        <v>83</v>
      </c>
      <c r="E1237" s="7" t="s">
        <v>85</v>
      </c>
      <c r="F1237" s="7">
        <v>3.0</v>
      </c>
      <c r="G1237" s="7" t="s">
        <v>46</v>
      </c>
      <c r="H1237" s="7">
        <v>2.0</v>
      </c>
      <c r="I1237" s="7">
        <v>14.0</v>
      </c>
      <c r="J1237" s="7">
        <v>7.0</v>
      </c>
      <c r="K1237" s="7" t="s">
        <v>28</v>
      </c>
      <c r="L1237" s="9" t="str">
        <f>VLOOKUP(K1237, 'Alphabetical by species code'!A:B, 2, FALSE)</f>
        <v>Litter</v>
      </c>
    </row>
    <row r="1238">
      <c r="A1238" s="7">
        <v>14.0</v>
      </c>
      <c r="B1238" s="7">
        <v>2025.0</v>
      </c>
      <c r="C1238" s="8">
        <v>45790.0</v>
      </c>
      <c r="D1238" s="7" t="s">
        <v>83</v>
      </c>
      <c r="E1238" s="7" t="s">
        <v>85</v>
      </c>
      <c r="F1238" s="7">
        <v>3.0</v>
      </c>
      <c r="G1238" s="7" t="s">
        <v>46</v>
      </c>
      <c r="H1238" s="7">
        <v>2.0</v>
      </c>
      <c r="I1238" s="7">
        <v>14.0</v>
      </c>
      <c r="J1238" s="7">
        <v>7.0</v>
      </c>
      <c r="K1238" s="7" t="s">
        <v>36</v>
      </c>
      <c r="L1238" s="9" t="str">
        <f>VLOOKUP(K1238, 'Alphabetical by species code'!A:B, 2, FALSE)</f>
        <v>Bromus madritensis</v>
      </c>
    </row>
    <row r="1239">
      <c r="A1239" s="7">
        <v>14.0</v>
      </c>
      <c r="B1239" s="7">
        <v>2025.0</v>
      </c>
      <c r="C1239" s="8">
        <v>45790.0</v>
      </c>
      <c r="D1239" s="7" t="s">
        <v>83</v>
      </c>
      <c r="E1239" s="7" t="s">
        <v>85</v>
      </c>
      <c r="F1239" s="7">
        <v>3.0</v>
      </c>
      <c r="G1239" s="7" t="s">
        <v>46</v>
      </c>
      <c r="H1239" s="7">
        <v>2.0</v>
      </c>
      <c r="I1239" s="7">
        <v>14.0</v>
      </c>
      <c r="J1239" s="7">
        <v>7.0</v>
      </c>
      <c r="K1239" s="7" t="s">
        <v>31</v>
      </c>
      <c r="L1239" s="9" t="str">
        <f>VLOOKUP(K1239, 'Alphabetical by species code'!A:B, 2, FALSE)</f>
        <v>Festuca myuros</v>
      </c>
    </row>
    <row r="1240">
      <c r="A1240" s="7">
        <v>14.0</v>
      </c>
      <c r="B1240" s="7">
        <v>2025.0</v>
      </c>
      <c r="C1240" s="8">
        <v>45790.0</v>
      </c>
      <c r="D1240" s="7" t="s">
        <v>83</v>
      </c>
      <c r="E1240" s="7" t="s">
        <v>85</v>
      </c>
      <c r="F1240" s="7">
        <v>3.0</v>
      </c>
      <c r="G1240" s="7" t="s">
        <v>46</v>
      </c>
      <c r="H1240" s="7">
        <v>2.0</v>
      </c>
      <c r="I1240" s="7">
        <v>15.0</v>
      </c>
      <c r="J1240" s="7">
        <v>7.5</v>
      </c>
      <c r="K1240" s="7" t="s">
        <v>28</v>
      </c>
      <c r="L1240" s="9" t="str">
        <f>VLOOKUP(K1240, 'Alphabetical by species code'!A:B, 2, FALSE)</f>
        <v>Litter</v>
      </c>
    </row>
    <row r="1241">
      <c r="A1241" s="7">
        <v>14.0</v>
      </c>
      <c r="B1241" s="7">
        <v>2025.0</v>
      </c>
      <c r="C1241" s="8">
        <v>45790.0</v>
      </c>
      <c r="D1241" s="7" t="s">
        <v>83</v>
      </c>
      <c r="E1241" s="7" t="s">
        <v>85</v>
      </c>
      <c r="F1241" s="7">
        <v>3.0</v>
      </c>
      <c r="G1241" s="7" t="s">
        <v>46</v>
      </c>
      <c r="H1241" s="7">
        <v>2.0</v>
      </c>
      <c r="I1241" s="7">
        <v>15.0</v>
      </c>
      <c r="J1241" s="7">
        <v>7.5</v>
      </c>
      <c r="K1241" s="7" t="s">
        <v>47</v>
      </c>
      <c r="L1241" s="9" t="str">
        <f>VLOOKUP(K1241, 'Alphabetical by species code'!A:B, 2, FALSE)</f>
        <v>Sonchus species</v>
      </c>
    </row>
    <row r="1242">
      <c r="A1242" s="7">
        <v>14.0</v>
      </c>
      <c r="B1242" s="7">
        <v>2025.0</v>
      </c>
      <c r="C1242" s="8">
        <v>45790.0</v>
      </c>
      <c r="D1242" s="7" t="s">
        <v>83</v>
      </c>
      <c r="E1242" s="7" t="s">
        <v>85</v>
      </c>
      <c r="F1242" s="7">
        <v>3.0</v>
      </c>
      <c r="G1242" s="7" t="s">
        <v>46</v>
      </c>
      <c r="H1242" s="7">
        <v>2.0</v>
      </c>
      <c r="I1242" s="7">
        <v>15.0</v>
      </c>
      <c r="J1242" s="7">
        <v>7.5</v>
      </c>
      <c r="K1242" s="7" t="s">
        <v>31</v>
      </c>
      <c r="L1242" s="9" t="str">
        <f>VLOOKUP(K1242, 'Alphabetical by species code'!A:B, 2, FALSE)</f>
        <v>Festuca myuros</v>
      </c>
    </row>
    <row r="1243">
      <c r="A1243" s="7">
        <v>15.0</v>
      </c>
      <c r="B1243" s="7">
        <v>2025.0</v>
      </c>
      <c r="C1243" s="8">
        <v>45790.0</v>
      </c>
      <c r="D1243" s="7" t="s">
        <v>92</v>
      </c>
      <c r="E1243" s="7" t="s">
        <v>85</v>
      </c>
      <c r="F1243" s="7">
        <v>3.0</v>
      </c>
      <c r="G1243" s="7" t="s">
        <v>63</v>
      </c>
      <c r="H1243" s="7">
        <v>1.0</v>
      </c>
      <c r="I1243" s="7">
        <v>1.0</v>
      </c>
      <c r="J1243" s="7">
        <v>0.0</v>
      </c>
      <c r="K1243" s="7" t="s">
        <v>51</v>
      </c>
      <c r="L1243" s="9" t="str">
        <f>VLOOKUP(K1243, 'Alphabetical by species code'!A:B, 2, FALSE)</f>
        <v>Bareground</v>
      </c>
    </row>
    <row r="1244">
      <c r="A1244" s="7">
        <v>15.0</v>
      </c>
      <c r="B1244" s="7">
        <v>2025.0</v>
      </c>
      <c r="C1244" s="8">
        <v>45790.0</v>
      </c>
      <c r="D1244" s="7" t="s">
        <v>92</v>
      </c>
      <c r="E1244" s="7" t="s">
        <v>85</v>
      </c>
      <c r="F1244" s="7">
        <v>3.0</v>
      </c>
      <c r="G1244" s="7" t="s">
        <v>63</v>
      </c>
      <c r="H1244" s="7">
        <v>1.0</v>
      </c>
      <c r="I1244" s="7">
        <v>1.0</v>
      </c>
      <c r="J1244" s="7">
        <v>0.0</v>
      </c>
      <c r="K1244" s="7" t="s">
        <v>73</v>
      </c>
      <c r="L1244" s="9" t="str">
        <f>VLOOKUP(K1244, 'Alphabetical by species code'!A:B, 2, FALSE)</f>
        <v>Eriogonum fasciculatum</v>
      </c>
    </row>
    <row r="1245">
      <c r="A1245" s="7">
        <v>15.0</v>
      </c>
      <c r="B1245" s="7">
        <v>2025.0</v>
      </c>
      <c r="C1245" s="8">
        <v>45790.0</v>
      </c>
      <c r="D1245" s="7" t="s">
        <v>92</v>
      </c>
      <c r="E1245" s="7" t="s">
        <v>85</v>
      </c>
      <c r="F1245" s="7">
        <v>3.0</v>
      </c>
      <c r="G1245" s="7" t="s">
        <v>63</v>
      </c>
      <c r="H1245" s="7">
        <v>1.0</v>
      </c>
      <c r="I1245" s="7">
        <v>2.0</v>
      </c>
      <c r="J1245" s="7">
        <v>1.0</v>
      </c>
      <c r="K1245" s="7" t="s">
        <v>38</v>
      </c>
      <c r="L1245" s="9" t="str">
        <f>VLOOKUP(K1245, 'Alphabetical by species code'!A:B, 2, FALSE)</f>
        <v>Thatch</v>
      </c>
    </row>
    <row r="1246">
      <c r="A1246" s="7">
        <v>15.0</v>
      </c>
      <c r="B1246" s="7">
        <v>2025.0</v>
      </c>
      <c r="C1246" s="8">
        <v>45790.0</v>
      </c>
      <c r="D1246" s="7" t="s">
        <v>92</v>
      </c>
      <c r="E1246" s="7" t="s">
        <v>85</v>
      </c>
      <c r="F1246" s="7">
        <v>3.0</v>
      </c>
      <c r="G1246" s="7" t="s">
        <v>63</v>
      </c>
      <c r="H1246" s="7">
        <v>1.0</v>
      </c>
      <c r="I1246" s="7">
        <v>2.0</v>
      </c>
      <c r="J1246" s="7">
        <v>1.0</v>
      </c>
      <c r="K1246" s="7" t="s">
        <v>31</v>
      </c>
      <c r="L1246" s="9" t="str">
        <f>VLOOKUP(K1246, 'Alphabetical by species code'!A:B, 2, FALSE)</f>
        <v>Festuca myuros</v>
      </c>
    </row>
    <row r="1247">
      <c r="A1247" s="7">
        <v>15.0</v>
      </c>
      <c r="B1247" s="7">
        <v>2025.0</v>
      </c>
      <c r="C1247" s="8">
        <v>45790.0</v>
      </c>
      <c r="D1247" s="7" t="s">
        <v>92</v>
      </c>
      <c r="E1247" s="7" t="s">
        <v>85</v>
      </c>
      <c r="F1247" s="7">
        <v>3.0</v>
      </c>
      <c r="G1247" s="7" t="s">
        <v>63</v>
      </c>
      <c r="H1247" s="7">
        <v>1.0</v>
      </c>
      <c r="I1247" s="7">
        <v>3.0</v>
      </c>
      <c r="J1247" s="7">
        <v>1.5</v>
      </c>
      <c r="K1247" s="7" t="s">
        <v>51</v>
      </c>
      <c r="L1247" s="9" t="str">
        <f>VLOOKUP(K1247, 'Alphabetical by species code'!A:B, 2, FALSE)</f>
        <v>Bareground</v>
      </c>
    </row>
    <row r="1248">
      <c r="A1248" s="7">
        <v>15.0</v>
      </c>
      <c r="B1248" s="7">
        <v>2025.0</v>
      </c>
      <c r="C1248" s="8">
        <v>45790.0</v>
      </c>
      <c r="D1248" s="7" t="s">
        <v>92</v>
      </c>
      <c r="E1248" s="7" t="s">
        <v>85</v>
      </c>
      <c r="F1248" s="7">
        <v>3.0</v>
      </c>
      <c r="G1248" s="7" t="s">
        <v>63</v>
      </c>
      <c r="H1248" s="7">
        <v>1.0</v>
      </c>
      <c r="I1248" s="7">
        <v>3.0</v>
      </c>
      <c r="J1248" s="7">
        <v>1.5</v>
      </c>
      <c r="K1248" s="7" t="s">
        <v>31</v>
      </c>
      <c r="L1248" s="9" t="str">
        <f>VLOOKUP(K1248, 'Alphabetical by species code'!A:B, 2, FALSE)</f>
        <v>Festuca myuros</v>
      </c>
    </row>
    <row r="1249">
      <c r="A1249" s="7">
        <v>15.0</v>
      </c>
      <c r="B1249" s="7">
        <v>2025.0</v>
      </c>
      <c r="C1249" s="8">
        <v>45790.0</v>
      </c>
      <c r="D1249" s="7" t="s">
        <v>92</v>
      </c>
      <c r="E1249" s="7" t="s">
        <v>85</v>
      </c>
      <c r="F1249" s="7">
        <v>3.0</v>
      </c>
      <c r="G1249" s="7" t="s">
        <v>63</v>
      </c>
      <c r="H1249" s="7">
        <v>1.0</v>
      </c>
      <c r="I1249" s="7">
        <v>4.0</v>
      </c>
      <c r="J1249" s="7">
        <v>2.0</v>
      </c>
      <c r="K1249" s="7" t="s">
        <v>28</v>
      </c>
      <c r="L1249" s="9" t="str">
        <f>VLOOKUP(K1249, 'Alphabetical by species code'!A:B, 2, FALSE)</f>
        <v>Litter</v>
      </c>
    </row>
    <row r="1250">
      <c r="A1250" s="7">
        <v>15.0</v>
      </c>
      <c r="B1250" s="7">
        <v>2025.0</v>
      </c>
      <c r="C1250" s="8">
        <v>45790.0</v>
      </c>
      <c r="D1250" s="7" t="s">
        <v>92</v>
      </c>
      <c r="E1250" s="7" t="s">
        <v>85</v>
      </c>
      <c r="F1250" s="7">
        <v>3.0</v>
      </c>
      <c r="G1250" s="7" t="s">
        <v>63</v>
      </c>
      <c r="H1250" s="7">
        <v>1.0</v>
      </c>
      <c r="I1250" s="7">
        <v>4.0</v>
      </c>
      <c r="J1250" s="7">
        <v>2.0</v>
      </c>
      <c r="K1250" s="7" t="s">
        <v>31</v>
      </c>
      <c r="L1250" s="9" t="str">
        <f>VLOOKUP(K1250, 'Alphabetical by species code'!A:B, 2, FALSE)</f>
        <v>Festuca myuros</v>
      </c>
    </row>
    <row r="1251">
      <c r="A1251" s="7">
        <v>15.0</v>
      </c>
      <c r="B1251" s="7">
        <v>2025.0</v>
      </c>
      <c r="C1251" s="8">
        <v>45790.0</v>
      </c>
      <c r="D1251" s="7" t="s">
        <v>92</v>
      </c>
      <c r="E1251" s="7" t="s">
        <v>85</v>
      </c>
      <c r="F1251" s="7">
        <v>3.0</v>
      </c>
      <c r="G1251" s="7" t="s">
        <v>63</v>
      </c>
      <c r="H1251" s="7">
        <v>1.0</v>
      </c>
      <c r="I1251" s="7">
        <v>5.0</v>
      </c>
      <c r="J1251" s="7">
        <v>3.0</v>
      </c>
      <c r="K1251" s="7" t="s">
        <v>28</v>
      </c>
      <c r="L1251" s="9" t="str">
        <f>VLOOKUP(K1251, 'Alphabetical by species code'!A:B, 2, FALSE)</f>
        <v>Litter</v>
      </c>
    </row>
    <row r="1252">
      <c r="A1252" s="7">
        <v>15.0</v>
      </c>
      <c r="B1252" s="7">
        <v>2025.0</v>
      </c>
      <c r="C1252" s="8">
        <v>45790.0</v>
      </c>
      <c r="D1252" s="7" t="s">
        <v>92</v>
      </c>
      <c r="E1252" s="7" t="s">
        <v>85</v>
      </c>
      <c r="F1252" s="7">
        <v>3.0</v>
      </c>
      <c r="G1252" s="7" t="s">
        <v>63</v>
      </c>
      <c r="H1252" s="7">
        <v>1.0</v>
      </c>
      <c r="I1252" s="7">
        <v>5.0</v>
      </c>
      <c r="J1252" s="7">
        <v>3.0</v>
      </c>
      <c r="K1252" s="7" t="s">
        <v>31</v>
      </c>
      <c r="L1252" s="9" t="str">
        <f>VLOOKUP(K1252, 'Alphabetical by species code'!A:B, 2, FALSE)</f>
        <v>Festuca myuros</v>
      </c>
    </row>
    <row r="1253">
      <c r="A1253" s="7">
        <v>15.0</v>
      </c>
      <c r="B1253" s="7">
        <v>2025.0</v>
      </c>
      <c r="C1253" s="8">
        <v>45790.0</v>
      </c>
      <c r="D1253" s="7" t="s">
        <v>92</v>
      </c>
      <c r="E1253" s="7" t="s">
        <v>85</v>
      </c>
      <c r="F1253" s="7">
        <v>3.0</v>
      </c>
      <c r="G1253" s="7" t="s">
        <v>63</v>
      </c>
      <c r="H1253" s="7">
        <v>1.0</v>
      </c>
      <c r="I1253" s="7">
        <v>6.0</v>
      </c>
      <c r="J1253" s="7">
        <v>3.5</v>
      </c>
      <c r="K1253" s="7" t="s">
        <v>51</v>
      </c>
      <c r="L1253" s="9" t="str">
        <f>VLOOKUP(K1253, 'Alphabetical by species code'!A:B, 2, FALSE)</f>
        <v>Bareground</v>
      </c>
    </row>
    <row r="1254">
      <c r="A1254" s="7">
        <v>15.0</v>
      </c>
      <c r="B1254" s="7">
        <v>2025.0</v>
      </c>
      <c r="C1254" s="8">
        <v>45790.0</v>
      </c>
      <c r="D1254" s="7" t="s">
        <v>92</v>
      </c>
      <c r="E1254" s="7" t="s">
        <v>85</v>
      </c>
      <c r="F1254" s="7">
        <v>3.0</v>
      </c>
      <c r="G1254" s="7" t="s">
        <v>63</v>
      </c>
      <c r="H1254" s="7">
        <v>1.0</v>
      </c>
      <c r="I1254" s="7">
        <v>6.0</v>
      </c>
      <c r="J1254" s="7">
        <v>3.5</v>
      </c>
      <c r="K1254" s="7" t="s">
        <v>31</v>
      </c>
      <c r="L1254" s="9" t="str">
        <f>VLOOKUP(K1254, 'Alphabetical by species code'!A:B, 2, FALSE)</f>
        <v>Festuca myuros</v>
      </c>
    </row>
    <row r="1255">
      <c r="A1255" s="7">
        <v>15.0</v>
      </c>
      <c r="B1255" s="7">
        <v>2025.0</v>
      </c>
      <c r="C1255" s="8">
        <v>45790.0</v>
      </c>
      <c r="D1255" s="7" t="s">
        <v>92</v>
      </c>
      <c r="E1255" s="7" t="s">
        <v>85</v>
      </c>
      <c r="F1255" s="7">
        <v>3.0</v>
      </c>
      <c r="G1255" s="7" t="s">
        <v>63</v>
      </c>
      <c r="H1255" s="7">
        <v>1.0</v>
      </c>
      <c r="I1255" s="7">
        <v>6.0</v>
      </c>
      <c r="J1255" s="7">
        <v>3.5</v>
      </c>
      <c r="K1255" s="7" t="s">
        <v>35</v>
      </c>
      <c r="L1255" s="9" t="str">
        <f>VLOOKUP(K1255, 'Alphabetical by species code'!A:B, 2, FALSE)</f>
        <v>Deinandra fasciculata</v>
      </c>
    </row>
    <row r="1256">
      <c r="A1256" s="7">
        <v>15.0</v>
      </c>
      <c r="B1256" s="7">
        <v>2025.0</v>
      </c>
      <c r="C1256" s="8">
        <v>45790.0</v>
      </c>
      <c r="D1256" s="7" t="s">
        <v>92</v>
      </c>
      <c r="E1256" s="7" t="s">
        <v>85</v>
      </c>
      <c r="F1256" s="7">
        <v>3.0</v>
      </c>
      <c r="G1256" s="7" t="s">
        <v>63</v>
      </c>
      <c r="H1256" s="7">
        <v>1.0</v>
      </c>
      <c r="I1256" s="7">
        <v>7.0</v>
      </c>
      <c r="J1256" s="7">
        <v>4.0</v>
      </c>
      <c r="K1256" s="7" t="s">
        <v>28</v>
      </c>
      <c r="L1256" s="9" t="str">
        <f>VLOOKUP(K1256, 'Alphabetical by species code'!A:B, 2, FALSE)</f>
        <v>Litter</v>
      </c>
    </row>
    <row r="1257">
      <c r="A1257" s="7">
        <v>15.0</v>
      </c>
      <c r="B1257" s="7">
        <v>2025.0</v>
      </c>
      <c r="C1257" s="8">
        <v>45790.0</v>
      </c>
      <c r="D1257" s="7" t="s">
        <v>92</v>
      </c>
      <c r="E1257" s="7" t="s">
        <v>85</v>
      </c>
      <c r="F1257" s="7">
        <v>3.0</v>
      </c>
      <c r="G1257" s="7" t="s">
        <v>63</v>
      </c>
      <c r="H1257" s="7">
        <v>1.0</v>
      </c>
      <c r="I1257" s="7">
        <v>7.0</v>
      </c>
      <c r="J1257" s="7">
        <v>4.0</v>
      </c>
      <c r="K1257" s="7" t="s">
        <v>31</v>
      </c>
      <c r="L1257" s="9" t="str">
        <f>VLOOKUP(K1257, 'Alphabetical by species code'!A:B, 2, FALSE)</f>
        <v>Festuca myuros</v>
      </c>
    </row>
    <row r="1258">
      <c r="A1258" s="7">
        <v>15.0</v>
      </c>
      <c r="B1258" s="7">
        <v>2025.0</v>
      </c>
      <c r="C1258" s="8">
        <v>45790.0</v>
      </c>
      <c r="D1258" s="7" t="s">
        <v>92</v>
      </c>
      <c r="E1258" s="7" t="s">
        <v>85</v>
      </c>
      <c r="F1258" s="7">
        <v>3.0</v>
      </c>
      <c r="G1258" s="7" t="s">
        <v>63</v>
      </c>
      <c r="H1258" s="7">
        <v>1.0</v>
      </c>
      <c r="I1258" s="7">
        <v>8.0</v>
      </c>
      <c r="J1258" s="7">
        <v>5.0</v>
      </c>
      <c r="K1258" s="7" t="s">
        <v>28</v>
      </c>
      <c r="L1258" s="9" t="str">
        <f>VLOOKUP(K1258, 'Alphabetical by species code'!A:B, 2, FALSE)</f>
        <v>Litter</v>
      </c>
    </row>
    <row r="1259">
      <c r="A1259" s="7">
        <v>15.0</v>
      </c>
      <c r="B1259" s="7">
        <v>2025.0</v>
      </c>
      <c r="C1259" s="8">
        <v>45790.0</v>
      </c>
      <c r="D1259" s="7" t="s">
        <v>92</v>
      </c>
      <c r="E1259" s="7" t="s">
        <v>85</v>
      </c>
      <c r="F1259" s="7">
        <v>3.0</v>
      </c>
      <c r="G1259" s="7" t="s">
        <v>63</v>
      </c>
      <c r="H1259" s="7">
        <v>1.0</v>
      </c>
      <c r="I1259" s="7">
        <v>8.0</v>
      </c>
      <c r="J1259" s="7">
        <v>5.0</v>
      </c>
      <c r="K1259" s="7" t="s">
        <v>35</v>
      </c>
      <c r="L1259" s="9" t="str">
        <f>VLOOKUP(K1259, 'Alphabetical by species code'!A:B, 2, FALSE)</f>
        <v>Deinandra fasciculata</v>
      </c>
    </row>
    <row r="1260">
      <c r="A1260" s="7">
        <v>15.0</v>
      </c>
      <c r="B1260" s="7">
        <v>2025.0</v>
      </c>
      <c r="C1260" s="8">
        <v>45790.0</v>
      </c>
      <c r="D1260" s="7" t="s">
        <v>92</v>
      </c>
      <c r="E1260" s="7" t="s">
        <v>85</v>
      </c>
      <c r="F1260" s="7">
        <v>3.0</v>
      </c>
      <c r="G1260" s="7" t="s">
        <v>63</v>
      </c>
      <c r="H1260" s="7">
        <v>1.0</v>
      </c>
      <c r="I1260" s="7">
        <v>8.0</v>
      </c>
      <c r="J1260" s="7">
        <v>5.0</v>
      </c>
      <c r="K1260" s="7" t="s">
        <v>36</v>
      </c>
      <c r="L1260" s="9" t="str">
        <f>VLOOKUP(K1260, 'Alphabetical by species code'!A:B, 2, FALSE)</f>
        <v>Bromus madritensis</v>
      </c>
    </row>
    <row r="1261">
      <c r="A1261" s="7">
        <v>15.0</v>
      </c>
      <c r="B1261" s="7">
        <v>2025.0</v>
      </c>
      <c r="C1261" s="8">
        <v>45790.0</v>
      </c>
      <c r="D1261" s="7" t="s">
        <v>92</v>
      </c>
      <c r="E1261" s="7" t="s">
        <v>85</v>
      </c>
      <c r="F1261" s="7">
        <v>3.0</v>
      </c>
      <c r="G1261" s="7" t="s">
        <v>63</v>
      </c>
      <c r="H1261" s="7">
        <v>1.0</v>
      </c>
      <c r="I1261" s="7">
        <v>9.0</v>
      </c>
      <c r="J1261" s="7">
        <v>7.0</v>
      </c>
      <c r="K1261" s="7" t="s">
        <v>28</v>
      </c>
      <c r="L1261" s="9" t="str">
        <f>VLOOKUP(K1261, 'Alphabetical by species code'!A:B, 2, FALSE)</f>
        <v>Litter</v>
      </c>
    </row>
    <row r="1262">
      <c r="A1262" s="7">
        <v>15.0</v>
      </c>
      <c r="B1262" s="7">
        <v>2025.0</v>
      </c>
      <c r="C1262" s="8">
        <v>45790.0</v>
      </c>
      <c r="D1262" s="7" t="s">
        <v>92</v>
      </c>
      <c r="E1262" s="7" t="s">
        <v>85</v>
      </c>
      <c r="F1262" s="7">
        <v>3.0</v>
      </c>
      <c r="G1262" s="7" t="s">
        <v>63</v>
      </c>
      <c r="H1262" s="7">
        <v>1.0</v>
      </c>
      <c r="I1262" s="7">
        <v>9.0</v>
      </c>
      <c r="J1262" s="7">
        <v>7.0</v>
      </c>
      <c r="K1262" s="7" t="s">
        <v>32</v>
      </c>
      <c r="L1262" s="9" t="str">
        <f>VLOOKUP(K1262, 'Alphabetical by species code'!A:B, 2, FALSE)</f>
        <v>Medicago polymorpha</v>
      </c>
    </row>
    <row r="1263">
      <c r="A1263" s="7">
        <v>15.0</v>
      </c>
      <c r="B1263" s="7">
        <v>2025.0</v>
      </c>
      <c r="C1263" s="8">
        <v>45790.0</v>
      </c>
      <c r="D1263" s="7" t="s">
        <v>92</v>
      </c>
      <c r="E1263" s="7" t="s">
        <v>85</v>
      </c>
      <c r="F1263" s="7">
        <v>3.0</v>
      </c>
      <c r="G1263" s="7" t="s">
        <v>63</v>
      </c>
      <c r="H1263" s="7">
        <v>1.0</v>
      </c>
      <c r="I1263" s="7">
        <v>10.0</v>
      </c>
      <c r="J1263" s="7">
        <v>8.0</v>
      </c>
      <c r="K1263" s="7" t="s">
        <v>28</v>
      </c>
      <c r="L1263" s="9" t="str">
        <f>VLOOKUP(K1263, 'Alphabetical by species code'!A:B, 2, FALSE)</f>
        <v>Litter</v>
      </c>
    </row>
    <row r="1264">
      <c r="A1264" s="7">
        <v>15.0</v>
      </c>
      <c r="B1264" s="7">
        <v>2025.0</v>
      </c>
      <c r="C1264" s="8">
        <v>45790.0</v>
      </c>
      <c r="D1264" s="7" t="s">
        <v>92</v>
      </c>
      <c r="E1264" s="7" t="s">
        <v>85</v>
      </c>
      <c r="F1264" s="7">
        <v>3.0</v>
      </c>
      <c r="G1264" s="7" t="s">
        <v>63</v>
      </c>
      <c r="H1264" s="7">
        <v>1.0</v>
      </c>
      <c r="I1264" s="7">
        <v>10.0</v>
      </c>
      <c r="J1264" s="7">
        <v>8.0</v>
      </c>
      <c r="K1264" s="7" t="s">
        <v>31</v>
      </c>
      <c r="L1264" s="9" t="str">
        <f>VLOOKUP(K1264, 'Alphabetical by species code'!A:B, 2, FALSE)</f>
        <v>Festuca myuros</v>
      </c>
    </row>
    <row r="1265">
      <c r="A1265" s="7">
        <v>15.0</v>
      </c>
      <c r="B1265" s="7">
        <v>2025.0</v>
      </c>
      <c r="C1265" s="8">
        <v>45790.0</v>
      </c>
      <c r="D1265" s="7" t="s">
        <v>92</v>
      </c>
      <c r="E1265" s="7" t="s">
        <v>85</v>
      </c>
      <c r="F1265" s="7">
        <v>3.0</v>
      </c>
      <c r="G1265" s="7" t="s">
        <v>63</v>
      </c>
      <c r="H1265" s="7">
        <v>1.0</v>
      </c>
      <c r="I1265" s="7">
        <v>10.0</v>
      </c>
      <c r="J1265" s="7">
        <v>8.0</v>
      </c>
      <c r="K1265" s="7" t="s">
        <v>44</v>
      </c>
      <c r="L1265" s="9" t="str">
        <f>VLOOKUP(K1265, 'Alphabetical by species code'!A:B, 2, FALSE)</f>
        <v>Amsinckia menziesii</v>
      </c>
    </row>
    <row r="1266">
      <c r="A1266" s="7">
        <v>15.0</v>
      </c>
      <c r="B1266" s="7">
        <v>2025.0</v>
      </c>
      <c r="C1266" s="8">
        <v>45790.0</v>
      </c>
      <c r="D1266" s="7" t="s">
        <v>92</v>
      </c>
      <c r="E1266" s="7" t="s">
        <v>85</v>
      </c>
      <c r="F1266" s="7">
        <v>3.0</v>
      </c>
      <c r="G1266" s="7" t="s">
        <v>63</v>
      </c>
      <c r="H1266" s="7">
        <v>1.0</v>
      </c>
      <c r="I1266" s="7">
        <v>11.0</v>
      </c>
      <c r="J1266" s="7">
        <v>8.5</v>
      </c>
      <c r="K1266" s="7" t="s">
        <v>51</v>
      </c>
      <c r="L1266" s="9" t="str">
        <f>VLOOKUP(K1266, 'Alphabetical by species code'!A:B, 2, FALSE)</f>
        <v>Bareground</v>
      </c>
    </row>
    <row r="1267">
      <c r="A1267" s="7">
        <v>15.0</v>
      </c>
      <c r="B1267" s="7">
        <v>2025.0</v>
      </c>
      <c r="C1267" s="8">
        <v>45790.0</v>
      </c>
      <c r="D1267" s="7" t="s">
        <v>92</v>
      </c>
      <c r="E1267" s="7" t="s">
        <v>85</v>
      </c>
      <c r="F1267" s="7">
        <v>3.0</v>
      </c>
      <c r="G1267" s="7" t="s">
        <v>63</v>
      </c>
      <c r="H1267" s="7">
        <v>1.0</v>
      </c>
      <c r="I1267" s="7">
        <v>11.0</v>
      </c>
      <c r="J1267" s="7">
        <v>8.5</v>
      </c>
      <c r="K1267" s="7" t="s">
        <v>31</v>
      </c>
      <c r="L1267" s="9" t="str">
        <f>VLOOKUP(K1267, 'Alphabetical by species code'!A:B, 2, FALSE)</f>
        <v>Festuca myuros</v>
      </c>
    </row>
    <row r="1268">
      <c r="A1268" s="7">
        <v>15.0</v>
      </c>
      <c r="B1268" s="7">
        <v>2025.0</v>
      </c>
      <c r="C1268" s="8">
        <v>45790.0</v>
      </c>
      <c r="D1268" s="7" t="s">
        <v>92</v>
      </c>
      <c r="E1268" s="7" t="s">
        <v>85</v>
      </c>
      <c r="F1268" s="7">
        <v>3.0</v>
      </c>
      <c r="G1268" s="7" t="s">
        <v>63</v>
      </c>
      <c r="H1268" s="7">
        <v>1.0</v>
      </c>
      <c r="I1268" s="7">
        <v>11.0</v>
      </c>
      <c r="J1268" s="7">
        <v>8.5</v>
      </c>
      <c r="K1268" s="7" t="s">
        <v>32</v>
      </c>
      <c r="L1268" s="9" t="str">
        <f>VLOOKUP(K1268, 'Alphabetical by species code'!A:B, 2, FALSE)</f>
        <v>Medicago polymorpha</v>
      </c>
    </row>
    <row r="1269">
      <c r="A1269" s="7">
        <v>15.0</v>
      </c>
      <c r="B1269" s="7">
        <v>2025.0</v>
      </c>
      <c r="C1269" s="8">
        <v>45790.0</v>
      </c>
      <c r="D1269" s="7" t="s">
        <v>92</v>
      </c>
      <c r="E1269" s="7" t="s">
        <v>85</v>
      </c>
      <c r="F1269" s="7">
        <v>3.0</v>
      </c>
      <c r="G1269" s="7" t="s">
        <v>63</v>
      </c>
      <c r="H1269" s="7">
        <v>1.0</v>
      </c>
      <c r="I1269" s="7">
        <v>12.0</v>
      </c>
      <c r="J1269" s="7">
        <v>9.0</v>
      </c>
      <c r="K1269" s="7" t="s">
        <v>28</v>
      </c>
      <c r="L1269" s="9" t="str">
        <f>VLOOKUP(K1269, 'Alphabetical by species code'!A:B, 2, FALSE)</f>
        <v>Litter</v>
      </c>
    </row>
    <row r="1270">
      <c r="A1270" s="7">
        <v>15.0</v>
      </c>
      <c r="B1270" s="7">
        <v>2025.0</v>
      </c>
      <c r="C1270" s="8">
        <v>45790.0</v>
      </c>
      <c r="D1270" s="7" t="s">
        <v>92</v>
      </c>
      <c r="E1270" s="7" t="s">
        <v>85</v>
      </c>
      <c r="F1270" s="7">
        <v>3.0</v>
      </c>
      <c r="G1270" s="7" t="s">
        <v>63</v>
      </c>
      <c r="H1270" s="7">
        <v>1.0</v>
      </c>
      <c r="I1270" s="7">
        <v>12.0</v>
      </c>
      <c r="J1270" s="7">
        <v>9.0</v>
      </c>
      <c r="K1270" s="7" t="s">
        <v>32</v>
      </c>
      <c r="L1270" s="9" t="str">
        <f>VLOOKUP(K1270, 'Alphabetical by species code'!A:B, 2, FALSE)</f>
        <v>Medicago polymorpha</v>
      </c>
    </row>
    <row r="1271">
      <c r="A1271" s="7">
        <v>15.0</v>
      </c>
      <c r="B1271" s="7">
        <v>2025.0</v>
      </c>
      <c r="C1271" s="8">
        <v>45790.0</v>
      </c>
      <c r="D1271" s="7" t="s">
        <v>92</v>
      </c>
      <c r="E1271" s="7" t="s">
        <v>85</v>
      </c>
      <c r="F1271" s="7">
        <v>3.0</v>
      </c>
      <c r="G1271" s="7" t="s">
        <v>63</v>
      </c>
      <c r="H1271" s="7">
        <v>1.0</v>
      </c>
      <c r="I1271" s="7">
        <v>12.0</v>
      </c>
      <c r="J1271" s="7">
        <v>9.0</v>
      </c>
      <c r="K1271" s="7" t="s">
        <v>36</v>
      </c>
      <c r="L1271" s="9" t="str">
        <f>VLOOKUP(K1271, 'Alphabetical by species code'!A:B, 2, FALSE)</f>
        <v>Bromus madritensis</v>
      </c>
    </row>
    <row r="1272">
      <c r="A1272" s="7">
        <v>15.0</v>
      </c>
      <c r="B1272" s="7">
        <v>2025.0</v>
      </c>
      <c r="C1272" s="8">
        <v>45790.0</v>
      </c>
      <c r="D1272" s="7" t="s">
        <v>92</v>
      </c>
      <c r="E1272" s="7" t="s">
        <v>85</v>
      </c>
      <c r="F1272" s="7">
        <v>3.0</v>
      </c>
      <c r="G1272" s="7" t="s">
        <v>63</v>
      </c>
      <c r="H1272" s="7">
        <v>1.0</v>
      </c>
      <c r="I1272" s="7">
        <v>13.0</v>
      </c>
      <c r="J1272" s="7">
        <v>10.0</v>
      </c>
      <c r="K1272" s="7" t="s">
        <v>28</v>
      </c>
      <c r="L1272" s="9" t="str">
        <f>VLOOKUP(K1272, 'Alphabetical by species code'!A:B, 2, FALSE)</f>
        <v>Litter</v>
      </c>
    </row>
    <row r="1273">
      <c r="A1273" s="7">
        <v>15.0</v>
      </c>
      <c r="B1273" s="7">
        <v>2025.0</v>
      </c>
      <c r="C1273" s="8">
        <v>45790.0</v>
      </c>
      <c r="D1273" s="7" t="s">
        <v>92</v>
      </c>
      <c r="E1273" s="7" t="s">
        <v>85</v>
      </c>
      <c r="F1273" s="7">
        <v>3.0</v>
      </c>
      <c r="G1273" s="7" t="s">
        <v>63</v>
      </c>
      <c r="H1273" s="7">
        <v>1.0</v>
      </c>
      <c r="I1273" s="7">
        <v>13.0</v>
      </c>
      <c r="J1273" s="7">
        <v>10.0</v>
      </c>
      <c r="K1273" s="7" t="s">
        <v>36</v>
      </c>
      <c r="L1273" s="9" t="str">
        <f>VLOOKUP(K1273, 'Alphabetical by species code'!A:B, 2, FALSE)</f>
        <v>Bromus madritensis</v>
      </c>
    </row>
    <row r="1274">
      <c r="A1274" s="7">
        <v>15.0</v>
      </c>
      <c r="B1274" s="7">
        <v>2025.0</v>
      </c>
      <c r="C1274" s="8">
        <v>45790.0</v>
      </c>
      <c r="D1274" s="7" t="s">
        <v>92</v>
      </c>
      <c r="E1274" s="7" t="s">
        <v>85</v>
      </c>
      <c r="F1274" s="7">
        <v>3.0</v>
      </c>
      <c r="G1274" s="7" t="s">
        <v>63</v>
      </c>
      <c r="H1274" s="7">
        <v>1.0</v>
      </c>
      <c r="I1274" s="7">
        <v>13.0</v>
      </c>
      <c r="J1274" s="7">
        <v>10.0</v>
      </c>
      <c r="K1274" s="7" t="s">
        <v>32</v>
      </c>
      <c r="L1274" s="9" t="str">
        <f>VLOOKUP(K1274, 'Alphabetical by species code'!A:B, 2, FALSE)</f>
        <v>Medicago polymorpha</v>
      </c>
    </row>
    <row r="1275">
      <c r="A1275" s="7">
        <v>15.0</v>
      </c>
      <c r="B1275" s="7">
        <v>2025.0</v>
      </c>
      <c r="C1275" s="8">
        <v>45790.0</v>
      </c>
      <c r="D1275" s="7" t="s">
        <v>92</v>
      </c>
      <c r="E1275" s="7" t="s">
        <v>85</v>
      </c>
      <c r="F1275" s="7">
        <v>3.0</v>
      </c>
      <c r="G1275" s="7" t="s">
        <v>63</v>
      </c>
      <c r="H1275" s="7">
        <v>1.0</v>
      </c>
      <c r="I1275" s="7">
        <v>14.0</v>
      </c>
      <c r="J1275" s="7">
        <v>11.0</v>
      </c>
      <c r="K1275" s="7" t="s">
        <v>28</v>
      </c>
      <c r="L1275" s="9" t="str">
        <f>VLOOKUP(K1275, 'Alphabetical by species code'!A:B, 2, FALSE)</f>
        <v>Litter</v>
      </c>
    </row>
    <row r="1276">
      <c r="A1276" s="7">
        <v>15.0</v>
      </c>
      <c r="B1276" s="7">
        <v>2025.0</v>
      </c>
      <c r="C1276" s="8">
        <v>45790.0</v>
      </c>
      <c r="D1276" s="7" t="s">
        <v>92</v>
      </c>
      <c r="E1276" s="7" t="s">
        <v>85</v>
      </c>
      <c r="F1276" s="7">
        <v>3.0</v>
      </c>
      <c r="G1276" s="7" t="s">
        <v>63</v>
      </c>
      <c r="H1276" s="7">
        <v>1.0</v>
      </c>
      <c r="I1276" s="7">
        <v>14.0</v>
      </c>
      <c r="J1276" s="7">
        <v>11.0</v>
      </c>
      <c r="K1276" s="7" t="s">
        <v>73</v>
      </c>
      <c r="L1276" s="9" t="str">
        <f>VLOOKUP(K1276, 'Alphabetical by species code'!A:B, 2, FALSE)</f>
        <v>Eriogonum fasciculatum</v>
      </c>
    </row>
    <row r="1277">
      <c r="A1277" s="7">
        <v>15.0</v>
      </c>
      <c r="B1277" s="7">
        <v>2025.0</v>
      </c>
      <c r="C1277" s="8">
        <v>45790.0</v>
      </c>
      <c r="D1277" s="7" t="s">
        <v>92</v>
      </c>
      <c r="E1277" s="7" t="s">
        <v>85</v>
      </c>
      <c r="F1277" s="7">
        <v>3.0</v>
      </c>
      <c r="G1277" s="7" t="s">
        <v>63</v>
      </c>
      <c r="H1277" s="7">
        <v>1.0</v>
      </c>
      <c r="I1277" s="7">
        <v>14.0</v>
      </c>
      <c r="J1277" s="7">
        <v>11.0</v>
      </c>
      <c r="K1277" s="7" t="s">
        <v>31</v>
      </c>
      <c r="L1277" s="9" t="str">
        <f>VLOOKUP(K1277, 'Alphabetical by species code'!A:B, 2, FALSE)</f>
        <v>Festuca myuros</v>
      </c>
    </row>
    <row r="1278">
      <c r="A1278" s="7">
        <v>15.0</v>
      </c>
      <c r="B1278" s="7">
        <v>2025.0</v>
      </c>
      <c r="C1278" s="8">
        <v>45790.0</v>
      </c>
      <c r="D1278" s="7" t="s">
        <v>92</v>
      </c>
      <c r="E1278" s="7" t="s">
        <v>85</v>
      </c>
      <c r="F1278" s="7">
        <v>3.0</v>
      </c>
      <c r="G1278" s="7" t="s">
        <v>63</v>
      </c>
      <c r="H1278" s="7">
        <v>1.0</v>
      </c>
      <c r="I1278" s="7">
        <v>15.0</v>
      </c>
      <c r="J1278" s="7">
        <v>12.0</v>
      </c>
      <c r="K1278" s="7" t="s">
        <v>28</v>
      </c>
      <c r="L1278" s="9" t="str">
        <f>VLOOKUP(K1278, 'Alphabetical by species code'!A:B, 2, FALSE)</f>
        <v>Litter</v>
      </c>
    </row>
    <row r="1279">
      <c r="A1279" s="7">
        <v>15.0</v>
      </c>
      <c r="B1279" s="7">
        <v>2025.0</v>
      </c>
      <c r="C1279" s="8">
        <v>45790.0</v>
      </c>
      <c r="D1279" s="7" t="s">
        <v>92</v>
      </c>
      <c r="E1279" s="7" t="s">
        <v>85</v>
      </c>
      <c r="F1279" s="7">
        <v>3.0</v>
      </c>
      <c r="G1279" s="7" t="s">
        <v>63</v>
      </c>
      <c r="H1279" s="7">
        <v>1.0</v>
      </c>
      <c r="I1279" s="7">
        <v>15.0</v>
      </c>
      <c r="J1279" s="7">
        <v>12.0</v>
      </c>
      <c r="K1279" s="7" t="s">
        <v>73</v>
      </c>
      <c r="L1279" s="9" t="str">
        <f>VLOOKUP(K1279, 'Alphabetical by species code'!A:B, 2, FALSE)</f>
        <v>Eriogonum fasciculatum</v>
      </c>
    </row>
    <row r="1280">
      <c r="A1280" s="7">
        <v>15.0</v>
      </c>
      <c r="B1280" s="7">
        <v>2025.0</v>
      </c>
      <c r="C1280" s="8">
        <v>45790.0</v>
      </c>
      <c r="D1280" s="7" t="s">
        <v>92</v>
      </c>
      <c r="E1280" s="7" t="s">
        <v>85</v>
      </c>
      <c r="F1280" s="7">
        <v>3.0</v>
      </c>
      <c r="G1280" s="7" t="s">
        <v>63</v>
      </c>
      <c r="H1280" s="7">
        <v>2.0</v>
      </c>
      <c r="I1280" s="7">
        <v>1.0</v>
      </c>
      <c r="J1280" s="7">
        <v>0.0</v>
      </c>
      <c r="K1280" s="7" t="s">
        <v>51</v>
      </c>
      <c r="L1280" s="9" t="str">
        <f>VLOOKUP(K1280, 'Alphabetical by species code'!A:B, 2, FALSE)</f>
        <v>Bareground</v>
      </c>
    </row>
    <row r="1281">
      <c r="A1281" s="7">
        <v>15.0</v>
      </c>
      <c r="B1281" s="7">
        <v>2025.0</v>
      </c>
      <c r="C1281" s="8">
        <v>45790.0</v>
      </c>
      <c r="D1281" s="7" t="s">
        <v>92</v>
      </c>
      <c r="E1281" s="7" t="s">
        <v>85</v>
      </c>
      <c r="F1281" s="7">
        <v>3.0</v>
      </c>
      <c r="G1281" s="7" t="s">
        <v>63</v>
      </c>
      <c r="H1281" s="7">
        <v>2.0</v>
      </c>
      <c r="I1281" s="7">
        <v>1.0</v>
      </c>
      <c r="J1281" s="7">
        <v>0.0</v>
      </c>
      <c r="K1281" s="7" t="s">
        <v>31</v>
      </c>
      <c r="L1281" s="9" t="str">
        <f>VLOOKUP(K1281, 'Alphabetical by species code'!A:B, 2, FALSE)</f>
        <v>Festuca myuros</v>
      </c>
    </row>
    <row r="1282">
      <c r="A1282" s="7">
        <v>15.0</v>
      </c>
      <c r="B1282" s="7">
        <v>2025.0</v>
      </c>
      <c r="C1282" s="8">
        <v>45790.0</v>
      </c>
      <c r="D1282" s="7" t="s">
        <v>92</v>
      </c>
      <c r="E1282" s="7" t="s">
        <v>85</v>
      </c>
      <c r="F1282" s="7">
        <v>3.0</v>
      </c>
      <c r="G1282" s="7" t="s">
        <v>63</v>
      </c>
      <c r="H1282" s="7">
        <v>2.0</v>
      </c>
      <c r="I1282" s="7">
        <v>2.0</v>
      </c>
      <c r="J1282" s="7">
        <v>1.0</v>
      </c>
      <c r="K1282" s="7" t="s">
        <v>28</v>
      </c>
      <c r="L1282" s="9" t="str">
        <f>VLOOKUP(K1282, 'Alphabetical by species code'!A:B, 2, FALSE)</f>
        <v>Litter</v>
      </c>
    </row>
    <row r="1283">
      <c r="A1283" s="7">
        <v>15.0</v>
      </c>
      <c r="B1283" s="7">
        <v>2025.0</v>
      </c>
      <c r="C1283" s="8">
        <v>45790.0</v>
      </c>
      <c r="D1283" s="7" t="s">
        <v>92</v>
      </c>
      <c r="E1283" s="7" t="s">
        <v>85</v>
      </c>
      <c r="F1283" s="7">
        <v>3.0</v>
      </c>
      <c r="G1283" s="7" t="s">
        <v>63</v>
      </c>
      <c r="H1283" s="7">
        <v>2.0</v>
      </c>
      <c r="I1283" s="7">
        <v>2.0</v>
      </c>
      <c r="J1283" s="7">
        <v>1.0</v>
      </c>
      <c r="K1283" s="7" t="s">
        <v>31</v>
      </c>
      <c r="L1283" s="9" t="str">
        <f>VLOOKUP(K1283, 'Alphabetical by species code'!A:B, 2, FALSE)</f>
        <v>Festuca myuros</v>
      </c>
    </row>
    <row r="1284">
      <c r="A1284" s="7">
        <v>15.0</v>
      </c>
      <c r="B1284" s="7">
        <v>2025.0</v>
      </c>
      <c r="C1284" s="8">
        <v>45790.0</v>
      </c>
      <c r="D1284" s="7" t="s">
        <v>92</v>
      </c>
      <c r="E1284" s="7" t="s">
        <v>85</v>
      </c>
      <c r="F1284" s="7">
        <v>3.0</v>
      </c>
      <c r="G1284" s="7" t="s">
        <v>63</v>
      </c>
      <c r="H1284" s="7">
        <v>2.0</v>
      </c>
      <c r="I1284" s="7">
        <v>3.0</v>
      </c>
      <c r="J1284" s="7">
        <v>1.5</v>
      </c>
      <c r="K1284" s="7" t="s">
        <v>28</v>
      </c>
      <c r="L1284" s="9" t="str">
        <f>VLOOKUP(K1284, 'Alphabetical by species code'!A:B, 2, FALSE)</f>
        <v>Litter</v>
      </c>
    </row>
    <row r="1285">
      <c r="A1285" s="7">
        <v>15.0</v>
      </c>
      <c r="B1285" s="7">
        <v>2025.0</v>
      </c>
      <c r="C1285" s="8">
        <v>45790.0</v>
      </c>
      <c r="D1285" s="7" t="s">
        <v>92</v>
      </c>
      <c r="E1285" s="7" t="s">
        <v>85</v>
      </c>
      <c r="F1285" s="7">
        <v>3.0</v>
      </c>
      <c r="G1285" s="7" t="s">
        <v>63</v>
      </c>
      <c r="H1285" s="7">
        <v>2.0</v>
      </c>
      <c r="I1285" s="7">
        <v>3.0</v>
      </c>
      <c r="J1285" s="7">
        <v>1.5</v>
      </c>
      <c r="K1285" s="7" t="s">
        <v>31</v>
      </c>
      <c r="L1285" s="9" t="str">
        <f>VLOOKUP(K1285, 'Alphabetical by species code'!A:B, 2, FALSE)</f>
        <v>Festuca myuros</v>
      </c>
    </row>
    <row r="1286">
      <c r="A1286" s="7">
        <v>15.0</v>
      </c>
      <c r="B1286" s="7">
        <v>2025.0</v>
      </c>
      <c r="C1286" s="8">
        <v>45790.0</v>
      </c>
      <c r="D1286" s="7" t="s">
        <v>92</v>
      </c>
      <c r="E1286" s="7" t="s">
        <v>85</v>
      </c>
      <c r="F1286" s="7">
        <v>3.0</v>
      </c>
      <c r="G1286" s="7" t="s">
        <v>63</v>
      </c>
      <c r="H1286" s="7">
        <v>2.0</v>
      </c>
      <c r="I1286" s="7">
        <v>4.0</v>
      </c>
      <c r="J1286" s="7">
        <v>2.0</v>
      </c>
      <c r="K1286" s="7" t="s">
        <v>28</v>
      </c>
      <c r="L1286" s="9" t="str">
        <f>VLOOKUP(K1286, 'Alphabetical by species code'!A:B, 2, FALSE)</f>
        <v>Litter</v>
      </c>
    </row>
    <row r="1287">
      <c r="A1287" s="7">
        <v>15.0</v>
      </c>
      <c r="B1287" s="7">
        <v>2025.0</v>
      </c>
      <c r="C1287" s="8">
        <v>45790.0</v>
      </c>
      <c r="D1287" s="7" t="s">
        <v>92</v>
      </c>
      <c r="E1287" s="7" t="s">
        <v>85</v>
      </c>
      <c r="F1287" s="7">
        <v>3.0</v>
      </c>
      <c r="G1287" s="7" t="s">
        <v>63</v>
      </c>
      <c r="H1287" s="7">
        <v>2.0</v>
      </c>
      <c r="I1287" s="7">
        <v>4.0</v>
      </c>
      <c r="J1287" s="7">
        <v>2.0</v>
      </c>
      <c r="K1287" s="7" t="s">
        <v>32</v>
      </c>
      <c r="L1287" s="9" t="str">
        <f>VLOOKUP(K1287, 'Alphabetical by species code'!A:B, 2, FALSE)</f>
        <v>Medicago polymorpha</v>
      </c>
    </row>
    <row r="1288">
      <c r="A1288" s="7">
        <v>15.0</v>
      </c>
      <c r="B1288" s="7">
        <v>2025.0</v>
      </c>
      <c r="C1288" s="8">
        <v>45790.0</v>
      </c>
      <c r="D1288" s="7" t="s">
        <v>92</v>
      </c>
      <c r="E1288" s="7" t="s">
        <v>85</v>
      </c>
      <c r="F1288" s="7">
        <v>3.0</v>
      </c>
      <c r="G1288" s="7" t="s">
        <v>63</v>
      </c>
      <c r="H1288" s="7">
        <v>2.0</v>
      </c>
      <c r="I1288" s="7">
        <v>4.0</v>
      </c>
      <c r="J1288" s="7">
        <v>2.0</v>
      </c>
      <c r="K1288" s="7" t="s">
        <v>31</v>
      </c>
      <c r="L1288" s="9" t="str">
        <f>VLOOKUP(K1288, 'Alphabetical by species code'!A:B, 2, FALSE)</f>
        <v>Festuca myuros</v>
      </c>
    </row>
    <row r="1289">
      <c r="A1289" s="7">
        <v>15.0</v>
      </c>
      <c r="B1289" s="7">
        <v>2025.0</v>
      </c>
      <c r="C1289" s="8">
        <v>45790.0</v>
      </c>
      <c r="D1289" s="7" t="s">
        <v>92</v>
      </c>
      <c r="E1289" s="7" t="s">
        <v>85</v>
      </c>
      <c r="F1289" s="7">
        <v>3.0</v>
      </c>
      <c r="G1289" s="7" t="s">
        <v>63</v>
      </c>
      <c r="H1289" s="7">
        <v>2.0</v>
      </c>
      <c r="I1289" s="7">
        <v>4.0</v>
      </c>
      <c r="J1289" s="7">
        <v>2.0</v>
      </c>
      <c r="K1289" s="7" t="s">
        <v>36</v>
      </c>
      <c r="L1289" s="9" t="str">
        <f>VLOOKUP(K1289, 'Alphabetical by species code'!A:B, 2, FALSE)</f>
        <v>Bromus madritensis</v>
      </c>
    </row>
    <row r="1290">
      <c r="A1290" s="7">
        <v>15.0</v>
      </c>
      <c r="B1290" s="7">
        <v>2025.0</v>
      </c>
      <c r="C1290" s="8">
        <v>45790.0</v>
      </c>
      <c r="D1290" s="7" t="s">
        <v>92</v>
      </c>
      <c r="E1290" s="7" t="s">
        <v>85</v>
      </c>
      <c r="F1290" s="7">
        <v>3.0</v>
      </c>
      <c r="G1290" s="7" t="s">
        <v>63</v>
      </c>
      <c r="H1290" s="7">
        <v>2.0</v>
      </c>
      <c r="I1290" s="7">
        <v>5.0</v>
      </c>
      <c r="J1290" s="7">
        <v>3.0</v>
      </c>
      <c r="K1290" s="7" t="s">
        <v>28</v>
      </c>
      <c r="L1290" s="9" t="str">
        <f>VLOOKUP(K1290, 'Alphabetical by species code'!A:B, 2, FALSE)</f>
        <v>Litter</v>
      </c>
    </row>
    <row r="1291">
      <c r="A1291" s="7">
        <v>15.0</v>
      </c>
      <c r="B1291" s="7">
        <v>2025.0</v>
      </c>
      <c r="C1291" s="8">
        <v>45790.0</v>
      </c>
      <c r="D1291" s="7" t="s">
        <v>92</v>
      </c>
      <c r="E1291" s="7" t="s">
        <v>85</v>
      </c>
      <c r="F1291" s="7">
        <v>3.0</v>
      </c>
      <c r="G1291" s="7" t="s">
        <v>63</v>
      </c>
      <c r="H1291" s="7">
        <v>2.0</v>
      </c>
      <c r="I1291" s="7">
        <v>5.0</v>
      </c>
      <c r="J1291" s="7">
        <v>3.0</v>
      </c>
      <c r="K1291" s="7" t="s">
        <v>31</v>
      </c>
      <c r="L1291" s="9" t="str">
        <f>VLOOKUP(K1291, 'Alphabetical by species code'!A:B, 2, FALSE)</f>
        <v>Festuca myuros</v>
      </c>
    </row>
    <row r="1292">
      <c r="A1292" s="7">
        <v>15.0</v>
      </c>
      <c r="B1292" s="7">
        <v>2025.0</v>
      </c>
      <c r="C1292" s="8">
        <v>45790.0</v>
      </c>
      <c r="D1292" s="7" t="s">
        <v>92</v>
      </c>
      <c r="E1292" s="7" t="s">
        <v>85</v>
      </c>
      <c r="F1292" s="7">
        <v>3.0</v>
      </c>
      <c r="G1292" s="7" t="s">
        <v>63</v>
      </c>
      <c r="H1292" s="7">
        <v>2.0</v>
      </c>
      <c r="I1292" s="7">
        <v>6.0</v>
      </c>
      <c r="J1292" s="7">
        <v>3.5</v>
      </c>
      <c r="K1292" s="7" t="s">
        <v>51</v>
      </c>
      <c r="L1292" s="9" t="str">
        <f>VLOOKUP(K1292, 'Alphabetical by species code'!A:B, 2, FALSE)</f>
        <v>Bareground</v>
      </c>
    </row>
    <row r="1293">
      <c r="A1293" s="7">
        <v>15.0</v>
      </c>
      <c r="B1293" s="7">
        <v>2025.0</v>
      </c>
      <c r="C1293" s="8">
        <v>45790.0</v>
      </c>
      <c r="D1293" s="7" t="s">
        <v>92</v>
      </c>
      <c r="E1293" s="7" t="s">
        <v>85</v>
      </c>
      <c r="F1293" s="7">
        <v>3.0</v>
      </c>
      <c r="G1293" s="7" t="s">
        <v>63</v>
      </c>
      <c r="H1293" s="7">
        <v>2.0</v>
      </c>
      <c r="I1293" s="7">
        <v>6.0</v>
      </c>
      <c r="J1293" s="7">
        <v>3.5</v>
      </c>
      <c r="K1293" s="7" t="s">
        <v>31</v>
      </c>
      <c r="L1293" s="9" t="str">
        <f>VLOOKUP(K1293, 'Alphabetical by species code'!A:B, 2, FALSE)</f>
        <v>Festuca myuros</v>
      </c>
    </row>
    <row r="1294">
      <c r="A1294" s="7">
        <v>15.0</v>
      </c>
      <c r="B1294" s="7">
        <v>2025.0</v>
      </c>
      <c r="C1294" s="8">
        <v>45790.0</v>
      </c>
      <c r="D1294" s="7" t="s">
        <v>92</v>
      </c>
      <c r="E1294" s="7" t="s">
        <v>85</v>
      </c>
      <c r="F1294" s="7">
        <v>3.0</v>
      </c>
      <c r="G1294" s="7" t="s">
        <v>63</v>
      </c>
      <c r="H1294" s="7">
        <v>2.0</v>
      </c>
      <c r="I1294" s="7">
        <v>7.0</v>
      </c>
      <c r="J1294" s="7">
        <v>4.0</v>
      </c>
      <c r="K1294" s="7" t="s">
        <v>28</v>
      </c>
      <c r="L1294" s="9" t="str">
        <f>VLOOKUP(K1294, 'Alphabetical by species code'!A:B, 2, FALSE)</f>
        <v>Litter</v>
      </c>
    </row>
    <row r="1295">
      <c r="A1295" s="7">
        <v>15.0</v>
      </c>
      <c r="B1295" s="7">
        <v>2025.0</v>
      </c>
      <c r="C1295" s="8">
        <v>45790.0</v>
      </c>
      <c r="D1295" s="7" t="s">
        <v>92</v>
      </c>
      <c r="E1295" s="7" t="s">
        <v>85</v>
      </c>
      <c r="F1295" s="7">
        <v>3.0</v>
      </c>
      <c r="G1295" s="7" t="s">
        <v>63</v>
      </c>
      <c r="H1295" s="7">
        <v>2.0</v>
      </c>
      <c r="I1295" s="7">
        <v>7.0</v>
      </c>
      <c r="J1295" s="7">
        <v>4.0</v>
      </c>
      <c r="K1295" s="7" t="s">
        <v>32</v>
      </c>
      <c r="L1295" s="9" t="str">
        <f>VLOOKUP(K1295, 'Alphabetical by species code'!A:B, 2, FALSE)</f>
        <v>Medicago polymorpha</v>
      </c>
    </row>
    <row r="1296">
      <c r="A1296" s="7">
        <v>15.0</v>
      </c>
      <c r="B1296" s="7">
        <v>2025.0</v>
      </c>
      <c r="C1296" s="8">
        <v>45790.0</v>
      </c>
      <c r="D1296" s="7" t="s">
        <v>92</v>
      </c>
      <c r="E1296" s="7" t="s">
        <v>85</v>
      </c>
      <c r="F1296" s="7">
        <v>3.0</v>
      </c>
      <c r="G1296" s="7" t="s">
        <v>63</v>
      </c>
      <c r="H1296" s="7">
        <v>2.0</v>
      </c>
      <c r="I1296" s="7">
        <v>7.0</v>
      </c>
      <c r="J1296" s="7">
        <v>4.0</v>
      </c>
      <c r="K1296" s="7" t="s">
        <v>31</v>
      </c>
      <c r="L1296" s="9" t="str">
        <f>VLOOKUP(K1296, 'Alphabetical by species code'!A:B, 2, FALSE)</f>
        <v>Festuca myuros</v>
      </c>
    </row>
    <row r="1297">
      <c r="A1297" s="7">
        <v>15.0</v>
      </c>
      <c r="B1297" s="7">
        <v>2025.0</v>
      </c>
      <c r="C1297" s="8">
        <v>45790.0</v>
      </c>
      <c r="D1297" s="7" t="s">
        <v>92</v>
      </c>
      <c r="E1297" s="7" t="s">
        <v>85</v>
      </c>
      <c r="F1297" s="7">
        <v>3.0</v>
      </c>
      <c r="G1297" s="7" t="s">
        <v>63</v>
      </c>
      <c r="H1297" s="7">
        <v>2.0</v>
      </c>
      <c r="I1297" s="7">
        <v>8.0</v>
      </c>
      <c r="J1297" s="7">
        <v>5.0</v>
      </c>
      <c r="K1297" s="7" t="s">
        <v>51</v>
      </c>
      <c r="L1297" s="9" t="str">
        <f>VLOOKUP(K1297, 'Alphabetical by species code'!A:B, 2, FALSE)</f>
        <v>Bareground</v>
      </c>
    </row>
    <row r="1298">
      <c r="A1298" s="7">
        <v>15.0</v>
      </c>
      <c r="B1298" s="7">
        <v>2025.0</v>
      </c>
      <c r="C1298" s="8">
        <v>45790.0</v>
      </c>
      <c r="D1298" s="7" t="s">
        <v>92</v>
      </c>
      <c r="E1298" s="7" t="s">
        <v>85</v>
      </c>
      <c r="F1298" s="7">
        <v>3.0</v>
      </c>
      <c r="G1298" s="7" t="s">
        <v>63</v>
      </c>
      <c r="H1298" s="7">
        <v>2.0</v>
      </c>
      <c r="I1298" s="7">
        <v>8.0</v>
      </c>
      <c r="J1298" s="7">
        <v>5.0</v>
      </c>
      <c r="K1298" s="7" t="s">
        <v>32</v>
      </c>
      <c r="L1298" s="9" t="str">
        <f>VLOOKUP(K1298, 'Alphabetical by species code'!A:B, 2, FALSE)</f>
        <v>Medicago polymorpha</v>
      </c>
    </row>
    <row r="1299">
      <c r="A1299" s="7">
        <v>15.0</v>
      </c>
      <c r="B1299" s="7">
        <v>2025.0</v>
      </c>
      <c r="C1299" s="8">
        <v>45790.0</v>
      </c>
      <c r="D1299" s="7" t="s">
        <v>92</v>
      </c>
      <c r="E1299" s="7" t="s">
        <v>85</v>
      </c>
      <c r="F1299" s="7">
        <v>3.0</v>
      </c>
      <c r="G1299" s="7" t="s">
        <v>63</v>
      </c>
      <c r="H1299" s="7">
        <v>2.0</v>
      </c>
      <c r="I1299" s="7">
        <v>8.0</v>
      </c>
      <c r="J1299" s="7">
        <v>5.0</v>
      </c>
      <c r="K1299" s="7" t="s">
        <v>31</v>
      </c>
      <c r="L1299" s="9" t="str">
        <f>VLOOKUP(K1299, 'Alphabetical by species code'!A:B, 2, FALSE)</f>
        <v>Festuca myuros</v>
      </c>
    </row>
    <row r="1300">
      <c r="A1300" s="7">
        <v>15.0</v>
      </c>
      <c r="B1300" s="7">
        <v>2025.0</v>
      </c>
      <c r="C1300" s="8">
        <v>45790.0</v>
      </c>
      <c r="D1300" s="7" t="s">
        <v>92</v>
      </c>
      <c r="E1300" s="7" t="s">
        <v>85</v>
      </c>
      <c r="F1300" s="7">
        <v>3.0</v>
      </c>
      <c r="G1300" s="7" t="s">
        <v>63</v>
      </c>
      <c r="H1300" s="7">
        <v>2.0</v>
      </c>
      <c r="I1300" s="7">
        <v>9.0</v>
      </c>
      <c r="J1300" s="7">
        <v>7.0</v>
      </c>
      <c r="K1300" s="7" t="s">
        <v>28</v>
      </c>
      <c r="L1300" s="9" t="str">
        <f>VLOOKUP(K1300, 'Alphabetical by species code'!A:B, 2, FALSE)</f>
        <v>Litter</v>
      </c>
    </row>
    <row r="1301">
      <c r="A1301" s="7">
        <v>15.0</v>
      </c>
      <c r="B1301" s="7">
        <v>2025.0</v>
      </c>
      <c r="C1301" s="8">
        <v>45790.0</v>
      </c>
      <c r="D1301" s="7" t="s">
        <v>92</v>
      </c>
      <c r="E1301" s="7" t="s">
        <v>85</v>
      </c>
      <c r="F1301" s="7">
        <v>3.0</v>
      </c>
      <c r="G1301" s="7" t="s">
        <v>63</v>
      </c>
      <c r="H1301" s="7">
        <v>2.0</v>
      </c>
      <c r="I1301" s="7">
        <v>9.0</v>
      </c>
      <c r="J1301" s="7">
        <v>7.0</v>
      </c>
      <c r="K1301" s="7" t="s">
        <v>32</v>
      </c>
      <c r="L1301" s="9" t="str">
        <f>VLOOKUP(K1301, 'Alphabetical by species code'!A:B, 2, FALSE)</f>
        <v>Medicago polymorpha</v>
      </c>
    </row>
    <row r="1302">
      <c r="A1302" s="7">
        <v>15.0</v>
      </c>
      <c r="B1302" s="7">
        <v>2025.0</v>
      </c>
      <c r="C1302" s="8">
        <v>45790.0</v>
      </c>
      <c r="D1302" s="7" t="s">
        <v>92</v>
      </c>
      <c r="E1302" s="7" t="s">
        <v>85</v>
      </c>
      <c r="F1302" s="7">
        <v>3.0</v>
      </c>
      <c r="G1302" s="7" t="s">
        <v>63</v>
      </c>
      <c r="H1302" s="7">
        <v>2.0</v>
      </c>
      <c r="I1302" s="7">
        <v>9.0</v>
      </c>
      <c r="J1302" s="7">
        <v>7.0</v>
      </c>
      <c r="K1302" s="7" t="s">
        <v>31</v>
      </c>
      <c r="L1302" s="9" t="str">
        <f>VLOOKUP(K1302, 'Alphabetical by species code'!A:B, 2, FALSE)</f>
        <v>Festuca myuros</v>
      </c>
    </row>
    <row r="1303">
      <c r="A1303" s="7">
        <v>15.0</v>
      </c>
      <c r="B1303" s="7">
        <v>2025.0</v>
      </c>
      <c r="C1303" s="8">
        <v>45790.0</v>
      </c>
      <c r="D1303" s="7" t="s">
        <v>92</v>
      </c>
      <c r="E1303" s="7" t="s">
        <v>85</v>
      </c>
      <c r="F1303" s="7">
        <v>3.0</v>
      </c>
      <c r="G1303" s="7" t="s">
        <v>63</v>
      </c>
      <c r="H1303" s="7">
        <v>2.0</v>
      </c>
      <c r="I1303" s="7">
        <v>9.0</v>
      </c>
      <c r="J1303" s="7">
        <v>7.0</v>
      </c>
      <c r="K1303" s="7" t="s">
        <v>44</v>
      </c>
      <c r="L1303" s="9" t="str">
        <f>VLOOKUP(K1303, 'Alphabetical by species code'!A:B, 2, FALSE)</f>
        <v>Amsinckia menziesii</v>
      </c>
    </row>
    <row r="1304">
      <c r="A1304" s="7">
        <v>15.0</v>
      </c>
      <c r="B1304" s="7">
        <v>2025.0</v>
      </c>
      <c r="C1304" s="8">
        <v>45790.0</v>
      </c>
      <c r="D1304" s="7" t="s">
        <v>92</v>
      </c>
      <c r="E1304" s="7" t="s">
        <v>85</v>
      </c>
      <c r="F1304" s="7">
        <v>3.0</v>
      </c>
      <c r="G1304" s="7" t="s">
        <v>63</v>
      </c>
      <c r="H1304" s="7">
        <v>2.0</v>
      </c>
      <c r="I1304" s="7">
        <v>10.0</v>
      </c>
      <c r="J1304" s="7">
        <v>8.0</v>
      </c>
      <c r="K1304" s="7" t="s">
        <v>28</v>
      </c>
      <c r="L1304" s="9" t="str">
        <f>VLOOKUP(K1304, 'Alphabetical by species code'!A:B, 2, FALSE)</f>
        <v>Litter</v>
      </c>
    </row>
    <row r="1305">
      <c r="A1305" s="7">
        <v>15.0</v>
      </c>
      <c r="B1305" s="7">
        <v>2025.0</v>
      </c>
      <c r="C1305" s="8">
        <v>45790.0</v>
      </c>
      <c r="D1305" s="7" t="s">
        <v>92</v>
      </c>
      <c r="E1305" s="7" t="s">
        <v>85</v>
      </c>
      <c r="F1305" s="7">
        <v>3.0</v>
      </c>
      <c r="G1305" s="7" t="s">
        <v>63</v>
      </c>
      <c r="H1305" s="7">
        <v>2.0</v>
      </c>
      <c r="I1305" s="7">
        <v>10.0</v>
      </c>
      <c r="J1305" s="7">
        <v>8.0</v>
      </c>
      <c r="K1305" s="7" t="s">
        <v>36</v>
      </c>
      <c r="L1305" s="9" t="str">
        <f>VLOOKUP(K1305, 'Alphabetical by species code'!A:B, 2, FALSE)</f>
        <v>Bromus madritensis</v>
      </c>
    </row>
    <row r="1306">
      <c r="A1306" s="7">
        <v>15.0</v>
      </c>
      <c r="B1306" s="7">
        <v>2025.0</v>
      </c>
      <c r="C1306" s="8">
        <v>45790.0</v>
      </c>
      <c r="D1306" s="7" t="s">
        <v>92</v>
      </c>
      <c r="E1306" s="7" t="s">
        <v>85</v>
      </c>
      <c r="F1306" s="7">
        <v>3.0</v>
      </c>
      <c r="G1306" s="7" t="s">
        <v>63</v>
      </c>
      <c r="H1306" s="7">
        <v>2.0</v>
      </c>
      <c r="I1306" s="7">
        <v>10.0</v>
      </c>
      <c r="J1306" s="7">
        <v>8.0</v>
      </c>
      <c r="K1306" s="7" t="s">
        <v>31</v>
      </c>
      <c r="L1306" s="9" t="str">
        <f>VLOOKUP(K1306, 'Alphabetical by species code'!A:B, 2, FALSE)</f>
        <v>Festuca myuros</v>
      </c>
    </row>
    <row r="1307">
      <c r="A1307" s="7">
        <v>15.0</v>
      </c>
      <c r="B1307" s="7">
        <v>2025.0</v>
      </c>
      <c r="C1307" s="8">
        <v>45790.0</v>
      </c>
      <c r="D1307" s="7" t="s">
        <v>92</v>
      </c>
      <c r="E1307" s="7" t="s">
        <v>85</v>
      </c>
      <c r="F1307" s="7">
        <v>3.0</v>
      </c>
      <c r="G1307" s="7" t="s">
        <v>63</v>
      </c>
      <c r="H1307" s="7">
        <v>2.0</v>
      </c>
      <c r="I1307" s="7">
        <v>11.0</v>
      </c>
      <c r="J1307" s="7">
        <v>8.5</v>
      </c>
      <c r="K1307" s="7" t="s">
        <v>28</v>
      </c>
      <c r="L1307" s="9" t="str">
        <f>VLOOKUP(K1307, 'Alphabetical by species code'!A:B, 2, FALSE)</f>
        <v>Litter</v>
      </c>
    </row>
    <row r="1308">
      <c r="A1308" s="7">
        <v>15.0</v>
      </c>
      <c r="B1308" s="7">
        <v>2025.0</v>
      </c>
      <c r="C1308" s="8">
        <v>45790.0</v>
      </c>
      <c r="D1308" s="7" t="s">
        <v>92</v>
      </c>
      <c r="E1308" s="7" t="s">
        <v>85</v>
      </c>
      <c r="F1308" s="7">
        <v>3.0</v>
      </c>
      <c r="G1308" s="7" t="s">
        <v>63</v>
      </c>
      <c r="H1308" s="7">
        <v>2.0</v>
      </c>
      <c r="I1308" s="7">
        <v>11.0</v>
      </c>
      <c r="J1308" s="7">
        <v>8.5</v>
      </c>
      <c r="K1308" s="7" t="s">
        <v>31</v>
      </c>
      <c r="L1308" s="9" t="str">
        <f>VLOOKUP(K1308, 'Alphabetical by species code'!A:B, 2, FALSE)</f>
        <v>Festuca myuros</v>
      </c>
    </row>
    <row r="1309">
      <c r="A1309" s="7">
        <v>15.0</v>
      </c>
      <c r="B1309" s="7">
        <v>2025.0</v>
      </c>
      <c r="C1309" s="8">
        <v>45790.0</v>
      </c>
      <c r="D1309" s="7" t="s">
        <v>92</v>
      </c>
      <c r="E1309" s="7" t="s">
        <v>85</v>
      </c>
      <c r="F1309" s="7">
        <v>3.0</v>
      </c>
      <c r="G1309" s="7" t="s">
        <v>63</v>
      </c>
      <c r="H1309" s="7">
        <v>2.0</v>
      </c>
      <c r="I1309" s="7">
        <v>12.0</v>
      </c>
      <c r="J1309" s="7">
        <v>9.0</v>
      </c>
      <c r="K1309" s="7" t="s">
        <v>28</v>
      </c>
      <c r="L1309" s="9" t="str">
        <f>VLOOKUP(K1309, 'Alphabetical by species code'!A:B, 2, FALSE)</f>
        <v>Litter</v>
      </c>
    </row>
    <row r="1310">
      <c r="A1310" s="7">
        <v>15.0</v>
      </c>
      <c r="B1310" s="7">
        <v>2025.0</v>
      </c>
      <c r="C1310" s="8">
        <v>45790.0</v>
      </c>
      <c r="D1310" s="7" t="s">
        <v>92</v>
      </c>
      <c r="E1310" s="7" t="s">
        <v>85</v>
      </c>
      <c r="F1310" s="7">
        <v>3.0</v>
      </c>
      <c r="G1310" s="7" t="s">
        <v>63</v>
      </c>
      <c r="H1310" s="7">
        <v>2.0</v>
      </c>
      <c r="I1310" s="7">
        <v>12.0</v>
      </c>
      <c r="J1310" s="7">
        <v>9.0</v>
      </c>
      <c r="K1310" s="7" t="s">
        <v>31</v>
      </c>
      <c r="L1310" s="9" t="str">
        <f>VLOOKUP(K1310, 'Alphabetical by species code'!A:B, 2, FALSE)</f>
        <v>Festuca myuros</v>
      </c>
    </row>
    <row r="1311">
      <c r="A1311" s="7">
        <v>15.0</v>
      </c>
      <c r="B1311" s="7">
        <v>2025.0</v>
      </c>
      <c r="C1311" s="8">
        <v>45790.0</v>
      </c>
      <c r="D1311" s="7" t="s">
        <v>92</v>
      </c>
      <c r="E1311" s="7" t="s">
        <v>85</v>
      </c>
      <c r="F1311" s="7">
        <v>3.0</v>
      </c>
      <c r="G1311" s="7" t="s">
        <v>63</v>
      </c>
      <c r="H1311" s="7">
        <v>2.0</v>
      </c>
      <c r="I1311" s="7">
        <v>13.0</v>
      </c>
      <c r="J1311" s="7">
        <v>10.0</v>
      </c>
      <c r="K1311" s="7" t="s">
        <v>51</v>
      </c>
      <c r="L1311" s="9" t="str">
        <f>VLOOKUP(K1311, 'Alphabetical by species code'!A:B, 2, FALSE)</f>
        <v>Bareground</v>
      </c>
    </row>
    <row r="1312">
      <c r="A1312" s="7">
        <v>15.0</v>
      </c>
      <c r="B1312" s="7">
        <v>2025.0</v>
      </c>
      <c r="C1312" s="8">
        <v>45790.0</v>
      </c>
      <c r="D1312" s="7" t="s">
        <v>92</v>
      </c>
      <c r="E1312" s="7" t="s">
        <v>85</v>
      </c>
      <c r="F1312" s="7">
        <v>3.0</v>
      </c>
      <c r="G1312" s="7" t="s">
        <v>63</v>
      </c>
      <c r="H1312" s="7">
        <v>2.0</v>
      </c>
      <c r="I1312" s="7">
        <v>13.0</v>
      </c>
      <c r="J1312" s="7">
        <v>10.0</v>
      </c>
      <c r="K1312" s="7" t="s">
        <v>32</v>
      </c>
      <c r="L1312" s="9" t="str">
        <f>VLOOKUP(K1312, 'Alphabetical by species code'!A:B, 2, FALSE)</f>
        <v>Medicago polymorpha</v>
      </c>
    </row>
    <row r="1313">
      <c r="A1313" s="7">
        <v>15.0</v>
      </c>
      <c r="B1313" s="7">
        <v>2025.0</v>
      </c>
      <c r="C1313" s="8">
        <v>45790.0</v>
      </c>
      <c r="D1313" s="7" t="s">
        <v>92</v>
      </c>
      <c r="E1313" s="7" t="s">
        <v>85</v>
      </c>
      <c r="F1313" s="7">
        <v>3.0</v>
      </c>
      <c r="G1313" s="7" t="s">
        <v>63</v>
      </c>
      <c r="H1313" s="7">
        <v>2.0</v>
      </c>
      <c r="I1313" s="7">
        <v>13.0</v>
      </c>
      <c r="J1313" s="7">
        <v>10.0</v>
      </c>
      <c r="K1313" s="7" t="s">
        <v>31</v>
      </c>
      <c r="L1313" s="9" t="str">
        <f>VLOOKUP(K1313, 'Alphabetical by species code'!A:B, 2, FALSE)</f>
        <v>Festuca myuros</v>
      </c>
    </row>
    <row r="1314">
      <c r="A1314" s="7">
        <v>15.0</v>
      </c>
      <c r="B1314" s="7">
        <v>2025.0</v>
      </c>
      <c r="C1314" s="8">
        <v>45790.0</v>
      </c>
      <c r="D1314" s="7" t="s">
        <v>92</v>
      </c>
      <c r="E1314" s="7" t="s">
        <v>85</v>
      </c>
      <c r="F1314" s="7">
        <v>3.0</v>
      </c>
      <c r="G1314" s="7" t="s">
        <v>63</v>
      </c>
      <c r="H1314" s="7">
        <v>2.0</v>
      </c>
      <c r="I1314" s="7">
        <v>14.0</v>
      </c>
      <c r="J1314" s="7">
        <v>11.0</v>
      </c>
      <c r="K1314" s="7" t="s">
        <v>51</v>
      </c>
      <c r="L1314" s="9" t="str">
        <f>VLOOKUP(K1314, 'Alphabetical by species code'!A:B, 2, FALSE)</f>
        <v>Bareground</v>
      </c>
    </row>
    <row r="1315">
      <c r="A1315" s="7">
        <v>15.0</v>
      </c>
      <c r="B1315" s="7">
        <v>2025.0</v>
      </c>
      <c r="C1315" s="8">
        <v>45790.0</v>
      </c>
      <c r="D1315" s="7" t="s">
        <v>92</v>
      </c>
      <c r="E1315" s="7" t="s">
        <v>85</v>
      </c>
      <c r="F1315" s="7">
        <v>3.0</v>
      </c>
      <c r="G1315" s="7" t="s">
        <v>63</v>
      </c>
      <c r="H1315" s="7">
        <v>2.0</v>
      </c>
      <c r="I1315" s="7">
        <v>14.0</v>
      </c>
      <c r="J1315" s="7">
        <v>11.0</v>
      </c>
      <c r="K1315" s="7" t="s">
        <v>31</v>
      </c>
      <c r="L1315" s="9" t="str">
        <f>VLOOKUP(K1315, 'Alphabetical by species code'!A:B, 2, FALSE)</f>
        <v>Festuca myuros</v>
      </c>
    </row>
    <row r="1316">
      <c r="A1316" s="7">
        <v>15.0</v>
      </c>
      <c r="B1316" s="7">
        <v>2025.0</v>
      </c>
      <c r="C1316" s="8">
        <v>45790.0</v>
      </c>
      <c r="D1316" s="7" t="s">
        <v>92</v>
      </c>
      <c r="E1316" s="7" t="s">
        <v>85</v>
      </c>
      <c r="F1316" s="7">
        <v>3.0</v>
      </c>
      <c r="G1316" s="7" t="s">
        <v>63</v>
      </c>
      <c r="H1316" s="7">
        <v>2.0</v>
      </c>
      <c r="I1316" s="7">
        <v>15.0</v>
      </c>
      <c r="J1316" s="7">
        <v>12.0</v>
      </c>
      <c r="K1316" s="7" t="s">
        <v>28</v>
      </c>
      <c r="L1316" s="9" t="str">
        <f>VLOOKUP(K1316, 'Alphabetical by species code'!A:B, 2, FALSE)</f>
        <v>Litter</v>
      </c>
    </row>
    <row r="1317">
      <c r="A1317" s="7">
        <v>15.0</v>
      </c>
      <c r="B1317" s="7">
        <v>2025.0</v>
      </c>
      <c r="C1317" s="8">
        <v>45790.0</v>
      </c>
      <c r="D1317" s="7" t="s">
        <v>92</v>
      </c>
      <c r="E1317" s="7" t="s">
        <v>85</v>
      </c>
      <c r="F1317" s="7">
        <v>3.0</v>
      </c>
      <c r="G1317" s="7" t="s">
        <v>63</v>
      </c>
      <c r="H1317" s="7">
        <v>2.0</v>
      </c>
      <c r="I1317" s="7">
        <v>15.0</v>
      </c>
      <c r="J1317" s="7">
        <v>12.0</v>
      </c>
      <c r="K1317" s="7" t="s">
        <v>32</v>
      </c>
      <c r="L1317" s="9" t="str">
        <f>VLOOKUP(K1317, 'Alphabetical by species code'!A:B, 2, FALSE)</f>
        <v>Medicago polymorpha</v>
      </c>
    </row>
    <row r="1318">
      <c r="A1318" s="7">
        <v>15.0</v>
      </c>
      <c r="B1318" s="7">
        <v>2025.0</v>
      </c>
      <c r="C1318" s="8">
        <v>45790.0</v>
      </c>
      <c r="D1318" s="7" t="s">
        <v>92</v>
      </c>
      <c r="E1318" s="7" t="s">
        <v>85</v>
      </c>
      <c r="F1318" s="7">
        <v>3.0</v>
      </c>
      <c r="G1318" s="7" t="s">
        <v>63</v>
      </c>
      <c r="H1318" s="7">
        <v>2.0</v>
      </c>
      <c r="I1318" s="7">
        <v>15.0</v>
      </c>
      <c r="J1318" s="7">
        <v>12.0</v>
      </c>
      <c r="K1318" s="7" t="s">
        <v>86</v>
      </c>
      <c r="L1318" s="9" t="str">
        <f>VLOOKUP(K1318, 'Alphabetical by species code'!A:B, 2, FALSE)</f>
        <v>Artemisia californica</v>
      </c>
    </row>
    <row r="1319">
      <c r="A1319" s="7">
        <v>16.0</v>
      </c>
      <c r="B1319" s="7">
        <v>2025.0</v>
      </c>
      <c r="C1319" s="8">
        <v>45790.0</v>
      </c>
      <c r="D1319" s="7" t="s">
        <v>92</v>
      </c>
      <c r="E1319" s="7" t="s">
        <v>85</v>
      </c>
      <c r="F1319" s="7">
        <v>3.0</v>
      </c>
      <c r="G1319" s="7" t="s">
        <v>66</v>
      </c>
      <c r="H1319" s="7">
        <v>1.0</v>
      </c>
      <c r="I1319" s="7">
        <v>1.0</v>
      </c>
      <c r="J1319" s="7">
        <v>0.0</v>
      </c>
      <c r="K1319" s="7" t="s">
        <v>28</v>
      </c>
      <c r="L1319" s="9" t="str">
        <f>VLOOKUP(K1319, 'Alphabetical by species code'!A:B, 2, FALSE)</f>
        <v>Litter</v>
      </c>
    </row>
    <row r="1320">
      <c r="A1320" s="7">
        <v>16.0</v>
      </c>
      <c r="B1320" s="7">
        <v>2025.0</v>
      </c>
      <c r="C1320" s="8">
        <v>45790.0</v>
      </c>
      <c r="D1320" s="7" t="s">
        <v>92</v>
      </c>
      <c r="E1320" s="7" t="s">
        <v>85</v>
      </c>
      <c r="F1320" s="7">
        <v>3.0</v>
      </c>
      <c r="G1320" s="7" t="s">
        <v>66</v>
      </c>
      <c r="H1320" s="7">
        <v>1.0</v>
      </c>
      <c r="I1320" s="7">
        <v>1.0</v>
      </c>
      <c r="J1320" s="7">
        <v>0.0</v>
      </c>
      <c r="K1320" s="7" t="s">
        <v>32</v>
      </c>
      <c r="L1320" s="9" t="str">
        <f>VLOOKUP(K1320, 'Alphabetical by species code'!A:B, 2, FALSE)</f>
        <v>Medicago polymorpha</v>
      </c>
    </row>
    <row r="1321">
      <c r="A1321" s="7">
        <v>16.0</v>
      </c>
      <c r="B1321" s="7">
        <v>2025.0</v>
      </c>
      <c r="C1321" s="8">
        <v>45790.0</v>
      </c>
      <c r="D1321" s="7" t="s">
        <v>92</v>
      </c>
      <c r="E1321" s="7" t="s">
        <v>85</v>
      </c>
      <c r="F1321" s="7">
        <v>3.0</v>
      </c>
      <c r="G1321" s="7" t="s">
        <v>66</v>
      </c>
      <c r="H1321" s="7">
        <v>1.0</v>
      </c>
      <c r="I1321" s="7">
        <v>2.0</v>
      </c>
      <c r="J1321" s="7">
        <v>1.0</v>
      </c>
      <c r="K1321" s="7" t="s">
        <v>28</v>
      </c>
      <c r="L1321" s="9" t="str">
        <f>VLOOKUP(K1321, 'Alphabetical by species code'!A:B, 2, FALSE)</f>
        <v>Litter</v>
      </c>
    </row>
    <row r="1322">
      <c r="A1322" s="7">
        <v>16.0</v>
      </c>
      <c r="B1322" s="7">
        <v>2025.0</v>
      </c>
      <c r="C1322" s="8">
        <v>45790.0</v>
      </c>
      <c r="D1322" s="7" t="s">
        <v>92</v>
      </c>
      <c r="E1322" s="7" t="s">
        <v>85</v>
      </c>
      <c r="F1322" s="7">
        <v>3.0</v>
      </c>
      <c r="G1322" s="7" t="s">
        <v>66</v>
      </c>
      <c r="H1322" s="7">
        <v>1.0</v>
      </c>
      <c r="I1322" s="7">
        <v>2.0</v>
      </c>
      <c r="J1322" s="7">
        <v>1.0</v>
      </c>
      <c r="K1322" s="7" t="s">
        <v>55</v>
      </c>
      <c r="L1322" s="9" t="str">
        <f>VLOOKUP(K1322, 'Alphabetical by species code'!A:B, 2, FALSE)</f>
        <v>Daucus pusillus</v>
      </c>
    </row>
    <row r="1323">
      <c r="A1323" s="7">
        <v>16.0</v>
      </c>
      <c r="B1323" s="7">
        <v>2025.0</v>
      </c>
      <c r="C1323" s="8">
        <v>45790.0</v>
      </c>
      <c r="D1323" s="7" t="s">
        <v>92</v>
      </c>
      <c r="E1323" s="7" t="s">
        <v>85</v>
      </c>
      <c r="F1323" s="7">
        <v>3.0</v>
      </c>
      <c r="G1323" s="7" t="s">
        <v>66</v>
      </c>
      <c r="H1323" s="7">
        <v>1.0</v>
      </c>
      <c r="I1323" s="7">
        <v>2.0</v>
      </c>
      <c r="J1323" s="7">
        <v>1.0</v>
      </c>
      <c r="K1323" s="7" t="s">
        <v>36</v>
      </c>
      <c r="L1323" s="9" t="str">
        <f>VLOOKUP(K1323, 'Alphabetical by species code'!A:B, 2, FALSE)</f>
        <v>Bromus madritensis</v>
      </c>
    </row>
    <row r="1324">
      <c r="A1324" s="7">
        <v>16.0</v>
      </c>
      <c r="B1324" s="7">
        <v>2025.0</v>
      </c>
      <c r="C1324" s="8">
        <v>45790.0</v>
      </c>
      <c r="D1324" s="7" t="s">
        <v>92</v>
      </c>
      <c r="E1324" s="7" t="s">
        <v>85</v>
      </c>
      <c r="F1324" s="7">
        <v>3.0</v>
      </c>
      <c r="G1324" s="7" t="s">
        <v>66</v>
      </c>
      <c r="H1324" s="7">
        <v>1.0</v>
      </c>
      <c r="I1324" s="7">
        <v>3.0</v>
      </c>
      <c r="J1324" s="7">
        <v>1.5</v>
      </c>
      <c r="K1324" s="7" t="s">
        <v>28</v>
      </c>
      <c r="L1324" s="9" t="str">
        <f>VLOOKUP(K1324, 'Alphabetical by species code'!A:B, 2, FALSE)</f>
        <v>Litter</v>
      </c>
    </row>
    <row r="1325">
      <c r="A1325" s="7">
        <v>16.0</v>
      </c>
      <c r="B1325" s="7">
        <v>2025.0</v>
      </c>
      <c r="C1325" s="8">
        <v>45790.0</v>
      </c>
      <c r="D1325" s="7" t="s">
        <v>92</v>
      </c>
      <c r="E1325" s="7" t="s">
        <v>85</v>
      </c>
      <c r="F1325" s="7">
        <v>3.0</v>
      </c>
      <c r="G1325" s="7" t="s">
        <v>66</v>
      </c>
      <c r="H1325" s="7">
        <v>1.0</v>
      </c>
      <c r="I1325" s="7">
        <v>3.0</v>
      </c>
      <c r="J1325" s="7">
        <v>1.5</v>
      </c>
      <c r="K1325" s="7" t="s">
        <v>32</v>
      </c>
      <c r="L1325" s="9" t="str">
        <f>VLOOKUP(K1325, 'Alphabetical by species code'!A:B, 2, FALSE)</f>
        <v>Medicago polymorpha</v>
      </c>
    </row>
    <row r="1326">
      <c r="A1326" s="7">
        <v>16.0</v>
      </c>
      <c r="B1326" s="7">
        <v>2025.0</v>
      </c>
      <c r="C1326" s="8">
        <v>45790.0</v>
      </c>
      <c r="D1326" s="7" t="s">
        <v>92</v>
      </c>
      <c r="E1326" s="7" t="s">
        <v>85</v>
      </c>
      <c r="F1326" s="7">
        <v>3.0</v>
      </c>
      <c r="G1326" s="7" t="s">
        <v>66</v>
      </c>
      <c r="H1326" s="7">
        <v>1.0</v>
      </c>
      <c r="I1326" s="7">
        <v>4.0</v>
      </c>
      <c r="J1326" s="7">
        <v>2.0</v>
      </c>
      <c r="K1326" s="7" t="s">
        <v>28</v>
      </c>
      <c r="L1326" s="9" t="str">
        <f>VLOOKUP(K1326, 'Alphabetical by species code'!A:B, 2, FALSE)</f>
        <v>Litter</v>
      </c>
    </row>
    <row r="1327">
      <c r="A1327" s="7">
        <v>16.0</v>
      </c>
      <c r="B1327" s="7">
        <v>2025.0</v>
      </c>
      <c r="C1327" s="8">
        <v>45790.0</v>
      </c>
      <c r="D1327" s="7" t="s">
        <v>92</v>
      </c>
      <c r="E1327" s="7" t="s">
        <v>85</v>
      </c>
      <c r="F1327" s="7">
        <v>3.0</v>
      </c>
      <c r="G1327" s="7" t="s">
        <v>66</v>
      </c>
      <c r="H1327" s="7">
        <v>1.0</v>
      </c>
      <c r="I1327" s="7">
        <v>4.0</v>
      </c>
      <c r="J1327" s="7">
        <v>2.0</v>
      </c>
      <c r="K1327" s="7" t="s">
        <v>42</v>
      </c>
      <c r="L1327" s="9" t="str">
        <f>VLOOKUP(K1327, 'Alphabetical by species code'!A:B, 2, FALSE)</f>
        <v>Centaurea melitensis</v>
      </c>
    </row>
    <row r="1328">
      <c r="A1328" s="7">
        <v>16.0</v>
      </c>
      <c r="B1328" s="7">
        <v>2025.0</v>
      </c>
      <c r="C1328" s="8">
        <v>45790.0</v>
      </c>
      <c r="D1328" s="7" t="s">
        <v>92</v>
      </c>
      <c r="E1328" s="7" t="s">
        <v>85</v>
      </c>
      <c r="F1328" s="7">
        <v>3.0</v>
      </c>
      <c r="G1328" s="7" t="s">
        <v>66</v>
      </c>
      <c r="H1328" s="7">
        <v>1.0</v>
      </c>
      <c r="I1328" s="7">
        <v>5.0</v>
      </c>
      <c r="J1328" s="7">
        <v>3.0</v>
      </c>
      <c r="K1328" s="7" t="s">
        <v>51</v>
      </c>
      <c r="L1328" s="9" t="str">
        <f>VLOOKUP(K1328, 'Alphabetical by species code'!A:B, 2, FALSE)</f>
        <v>Bareground</v>
      </c>
    </row>
    <row r="1329">
      <c r="A1329" s="7">
        <v>16.0</v>
      </c>
      <c r="B1329" s="7">
        <v>2025.0</v>
      </c>
      <c r="C1329" s="8">
        <v>45790.0</v>
      </c>
      <c r="D1329" s="7" t="s">
        <v>92</v>
      </c>
      <c r="E1329" s="7" t="s">
        <v>85</v>
      </c>
      <c r="F1329" s="7">
        <v>3.0</v>
      </c>
      <c r="G1329" s="7" t="s">
        <v>66</v>
      </c>
      <c r="H1329" s="7">
        <v>1.0</v>
      </c>
      <c r="I1329" s="7">
        <v>5.0</v>
      </c>
      <c r="J1329" s="7">
        <v>3.0</v>
      </c>
      <c r="K1329" s="7" t="s">
        <v>32</v>
      </c>
      <c r="L1329" s="9" t="str">
        <f>VLOOKUP(K1329, 'Alphabetical by species code'!A:B, 2, FALSE)</f>
        <v>Medicago polymorpha</v>
      </c>
    </row>
    <row r="1330">
      <c r="A1330" s="7">
        <v>16.0</v>
      </c>
      <c r="B1330" s="7">
        <v>2025.0</v>
      </c>
      <c r="C1330" s="8">
        <v>45790.0</v>
      </c>
      <c r="D1330" s="7" t="s">
        <v>92</v>
      </c>
      <c r="E1330" s="7" t="s">
        <v>85</v>
      </c>
      <c r="F1330" s="7">
        <v>3.0</v>
      </c>
      <c r="G1330" s="7" t="s">
        <v>66</v>
      </c>
      <c r="H1330" s="7">
        <v>1.0</v>
      </c>
      <c r="I1330" s="7">
        <v>6.0</v>
      </c>
      <c r="J1330" s="7">
        <v>3.5</v>
      </c>
      <c r="K1330" s="7" t="s">
        <v>28</v>
      </c>
      <c r="L1330" s="9" t="str">
        <f>VLOOKUP(K1330, 'Alphabetical by species code'!A:B, 2, FALSE)</f>
        <v>Litter</v>
      </c>
    </row>
    <row r="1331">
      <c r="A1331" s="7">
        <v>16.0</v>
      </c>
      <c r="B1331" s="7">
        <v>2025.0</v>
      </c>
      <c r="C1331" s="8">
        <v>45790.0</v>
      </c>
      <c r="D1331" s="7" t="s">
        <v>92</v>
      </c>
      <c r="E1331" s="7" t="s">
        <v>85</v>
      </c>
      <c r="F1331" s="7">
        <v>3.0</v>
      </c>
      <c r="G1331" s="7" t="s">
        <v>66</v>
      </c>
      <c r="H1331" s="7">
        <v>1.0</v>
      </c>
      <c r="I1331" s="7">
        <v>6.0</v>
      </c>
      <c r="J1331" s="7">
        <v>3.5</v>
      </c>
      <c r="K1331" s="7" t="s">
        <v>35</v>
      </c>
      <c r="L1331" s="9" t="str">
        <f>VLOOKUP(K1331, 'Alphabetical by species code'!A:B, 2, FALSE)</f>
        <v>Deinandra fasciculata</v>
      </c>
    </row>
    <row r="1332">
      <c r="A1332" s="7">
        <v>16.0</v>
      </c>
      <c r="B1332" s="7">
        <v>2025.0</v>
      </c>
      <c r="C1332" s="8">
        <v>45790.0</v>
      </c>
      <c r="D1332" s="7" t="s">
        <v>92</v>
      </c>
      <c r="E1332" s="7" t="s">
        <v>85</v>
      </c>
      <c r="F1332" s="7">
        <v>3.0</v>
      </c>
      <c r="G1332" s="7" t="s">
        <v>66</v>
      </c>
      <c r="H1332" s="7">
        <v>1.0</v>
      </c>
      <c r="I1332" s="7">
        <v>6.0</v>
      </c>
      <c r="J1332" s="7">
        <v>3.5</v>
      </c>
      <c r="K1332" s="7" t="s">
        <v>32</v>
      </c>
      <c r="L1332" s="9" t="str">
        <f>VLOOKUP(K1332, 'Alphabetical by species code'!A:B, 2, FALSE)</f>
        <v>Medicago polymorpha</v>
      </c>
    </row>
    <row r="1333">
      <c r="A1333" s="7">
        <v>16.0</v>
      </c>
      <c r="B1333" s="7">
        <v>2025.0</v>
      </c>
      <c r="C1333" s="8">
        <v>45790.0</v>
      </c>
      <c r="D1333" s="7" t="s">
        <v>92</v>
      </c>
      <c r="E1333" s="7" t="s">
        <v>85</v>
      </c>
      <c r="F1333" s="7">
        <v>3.0</v>
      </c>
      <c r="G1333" s="7" t="s">
        <v>66</v>
      </c>
      <c r="H1333" s="7">
        <v>1.0</v>
      </c>
      <c r="I1333" s="7">
        <v>7.0</v>
      </c>
      <c r="J1333" s="7">
        <v>4.0</v>
      </c>
      <c r="K1333" s="7" t="s">
        <v>28</v>
      </c>
      <c r="L1333" s="9" t="str">
        <f>VLOOKUP(K1333, 'Alphabetical by species code'!A:B, 2, FALSE)</f>
        <v>Litter</v>
      </c>
    </row>
    <row r="1334">
      <c r="A1334" s="7">
        <v>16.0</v>
      </c>
      <c r="B1334" s="7">
        <v>2025.0</v>
      </c>
      <c r="C1334" s="8">
        <v>45790.0</v>
      </c>
      <c r="D1334" s="7" t="s">
        <v>92</v>
      </c>
      <c r="E1334" s="7" t="s">
        <v>85</v>
      </c>
      <c r="F1334" s="7">
        <v>3.0</v>
      </c>
      <c r="G1334" s="7" t="s">
        <v>66</v>
      </c>
      <c r="H1334" s="7">
        <v>1.0</v>
      </c>
      <c r="I1334" s="7">
        <v>7.0</v>
      </c>
      <c r="J1334" s="7">
        <v>4.0</v>
      </c>
      <c r="K1334" s="7" t="s">
        <v>36</v>
      </c>
      <c r="L1334" s="9" t="str">
        <f>VLOOKUP(K1334, 'Alphabetical by species code'!A:B, 2, FALSE)</f>
        <v>Bromus madritensis</v>
      </c>
    </row>
    <row r="1335">
      <c r="A1335" s="7">
        <v>16.0</v>
      </c>
      <c r="B1335" s="7">
        <v>2025.0</v>
      </c>
      <c r="C1335" s="8">
        <v>45790.0</v>
      </c>
      <c r="D1335" s="7" t="s">
        <v>92</v>
      </c>
      <c r="E1335" s="7" t="s">
        <v>85</v>
      </c>
      <c r="F1335" s="7">
        <v>3.0</v>
      </c>
      <c r="G1335" s="7" t="s">
        <v>66</v>
      </c>
      <c r="H1335" s="7">
        <v>1.0</v>
      </c>
      <c r="I1335" s="7">
        <v>8.0</v>
      </c>
      <c r="J1335" s="7">
        <v>5.0</v>
      </c>
      <c r="K1335" s="7" t="s">
        <v>28</v>
      </c>
      <c r="L1335" s="9" t="str">
        <f>VLOOKUP(K1335, 'Alphabetical by species code'!A:B, 2, FALSE)</f>
        <v>Litter</v>
      </c>
    </row>
    <row r="1336">
      <c r="A1336" s="7">
        <v>16.0</v>
      </c>
      <c r="B1336" s="7">
        <v>2025.0</v>
      </c>
      <c r="C1336" s="8">
        <v>45790.0</v>
      </c>
      <c r="D1336" s="7" t="s">
        <v>92</v>
      </c>
      <c r="E1336" s="7" t="s">
        <v>85</v>
      </c>
      <c r="F1336" s="7">
        <v>3.0</v>
      </c>
      <c r="G1336" s="7" t="s">
        <v>66</v>
      </c>
      <c r="H1336" s="7">
        <v>1.0</v>
      </c>
      <c r="I1336" s="7">
        <v>8.0</v>
      </c>
      <c r="J1336" s="7">
        <v>5.0</v>
      </c>
      <c r="K1336" s="7" t="s">
        <v>32</v>
      </c>
      <c r="L1336" s="9" t="str">
        <f>VLOOKUP(K1336, 'Alphabetical by species code'!A:B, 2, FALSE)</f>
        <v>Medicago polymorpha</v>
      </c>
    </row>
    <row r="1337">
      <c r="A1337" s="7">
        <v>16.0</v>
      </c>
      <c r="B1337" s="7">
        <v>2025.0</v>
      </c>
      <c r="C1337" s="8">
        <v>45790.0</v>
      </c>
      <c r="D1337" s="7" t="s">
        <v>92</v>
      </c>
      <c r="E1337" s="7" t="s">
        <v>85</v>
      </c>
      <c r="F1337" s="7">
        <v>3.0</v>
      </c>
      <c r="G1337" s="7" t="s">
        <v>66</v>
      </c>
      <c r="H1337" s="7">
        <v>1.0</v>
      </c>
      <c r="I1337" s="7">
        <v>8.0</v>
      </c>
      <c r="J1337" s="7">
        <v>5.0</v>
      </c>
      <c r="K1337" s="7" t="s">
        <v>36</v>
      </c>
      <c r="L1337" s="9" t="str">
        <f>VLOOKUP(K1337, 'Alphabetical by species code'!A:B, 2, FALSE)</f>
        <v>Bromus madritensis</v>
      </c>
    </row>
    <row r="1338">
      <c r="A1338" s="7">
        <v>16.0</v>
      </c>
      <c r="B1338" s="7">
        <v>2025.0</v>
      </c>
      <c r="C1338" s="8">
        <v>45790.0</v>
      </c>
      <c r="D1338" s="7" t="s">
        <v>92</v>
      </c>
      <c r="E1338" s="7" t="s">
        <v>85</v>
      </c>
      <c r="F1338" s="7">
        <v>3.0</v>
      </c>
      <c r="G1338" s="7" t="s">
        <v>66</v>
      </c>
      <c r="H1338" s="7">
        <v>1.0</v>
      </c>
      <c r="I1338" s="7">
        <v>9.0</v>
      </c>
      <c r="J1338" s="7">
        <v>7.0</v>
      </c>
      <c r="K1338" s="7" t="s">
        <v>51</v>
      </c>
      <c r="L1338" s="9" t="str">
        <f>VLOOKUP(K1338, 'Alphabetical by species code'!A:B, 2, FALSE)</f>
        <v>Bareground</v>
      </c>
    </row>
    <row r="1339">
      <c r="A1339" s="7">
        <v>16.0</v>
      </c>
      <c r="B1339" s="7">
        <v>2025.0</v>
      </c>
      <c r="C1339" s="8">
        <v>45790.0</v>
      </c>
      <c r="D1339" s="7" t="s">
        <v>92</v>
      </c>
      <c r="E1339" s="7" t="s">
        <v>85</v>
      </c>
      <c r="F1339" s="7">
        <v>3.0</v>
      </c>
      <c r="G1339" s="7" t="s">
        <v>66</v>
      </c>
      <c r="H1339" s="7">
        <v>1.0</v>
      </c>
      <c r="I1339" s="7">
        <v>10.0</v>
      </c>
      <c r="J1339" s="7">
        <v>8.0</v>
      </c>
      <c r="K1339" s="7" t="s">
        <v>51</v>
      </c>
      <c r="L1339" s="9" t="str">
        <f>VLOOKUP(K1339, 'Alphabetical by species code'!A:B, 2, FALSE)</f>
        <v>Bareground</v>
      </c>
    </row>
    <row r="1340">
      <c r="A1340" s="7">
        <v>16.0</v>
      </c>
      <c r="B1340" s="7">
        <v>2025.0</v>
      </c>
      <c r="C1340" s="8">
        <v>45790.0</v>
      </c>
      <c r="D1340" s="7" t="s">
        <v>92</v>
      </c>
      <c r="E1340" s="7" t="s">
        <v>85</v>
      </c>
      <c r="F1340" s="7">
        <v>3.0</v>
      </c>
      <c r="G1340" s="7" t="s">
        <v>66</v>
      </c>
      <c r="H1340" s="7">
        <v>1.0</v>
      </c>
      <c r="I1340" s="7">
        <v>11.0</v>
      </c>
      <c r="J1340" s="7">
        <v>8.5</v>
      </c>
      <c r="K1340" s="7" t="s">
        <v>28</v>
      </c>
      <c r="L1340" s="9" t="str">
        <f>VLOOKUP(K1340, 'Alphabetical by species code'!A:B, 2, FALSE)</f>
        <v>Litter</v>
      </c>
    </row>
    <row r="1341">
      <c r="A1341" s="7">
        <v>16.0</v>
      </c>
      <c r="B1341" s="7">
        <v>2025.0</v>
      </c>
      <c r="C1341" s="8">
        <v>45790.0</v>
      </c>
      <c r="D1341" s="7" t="s">
        <v>92</v>
      </c>
      <c r="E1341" s="7" t="s">
        <v>85</v>
      </c>
      <c r="F1341" s="7">
        <v>3.0</v>
      </c>
      <c r="G1341" s="7" t="s">
        <v>66</v>
      </c>
      <c r="H1341" s="7">
        <v>1.0</v>
      </c>
      <c r="I1341" s="7">
        <v>11.0</v>
      </c>
      <c r="J1341" s="7">
        <v>8.5</v>
      </c>
      <c r="K1341" s="7" t="s">
        <v>34</v>
      </c>
      <c r="L1341" s="9" t="str">
        <f>VLOOKUP(K1341, 'Alphabetical by species code'!A:B, 2, FALSE)</f>
        <v>Erodium cicutarium</v>
      </c>
    </row>
    <row r="1342">
      <c r="A1342" s="7">
        <v>16.0</v>
      </c>
      <c r="B1342" s="7">
        <v>2025.0</v>
      </c>
      <c r="C1342" s="8">
        <v>45790.0</v>
      </c>
      <c r="D1342" s="7" t="s">
        <v>92</v>
      </c>
      <c r="E1342" s="7" t="s">
        <v>85</v>
      </c>
      <c r="F1342" s="7">
        <v>3.0</v>
      </c>
      <c r="G1342" s="7" t="s">
        <v>66</v>
      </c>
      <c r="H1342" s="7">
        <v>1.0</v>
      </c>
      <c r="I1342" s="7">
        <v>11.0</v>
      </c>
      <c r="J1342" s="7">
        <v>8.5</v>
      </c>
      <c r="K1342" s="7" t="s">
        <v>93</v>
      </c>
      <c r="L1342" s="9" t="str">
        <f>VLOOKUP(K1342, 'Alphabetical by species code'!A:B, 2, FALSE)</f>
        <v>#N/A</v>
      </c>
    </row>
    <row r="1343">
      <c r="A1343" s="7">
        <v>16.0</v>
      </c>
      <c r="B1343" s="7">
        <v>2025.0</v>
      </c>
      <c r="C1343" s="8">
        <v>45790.0</v>
      </c>
      <c r="D1343" s="7" t="s">
        <v>92</v>
      </c>
      <c r="E1343" s="7" t="s">
        <v>85</v>
      </c>
      <c r="F1343" s="7">
        <v>3.0</v>
      </c>
      <c r="G1343" s="7" t="s">
        <v>66</v>
      </c>
      <c r="H1343" s="7">
        <v>1.0</v>
      </c>
      <c r="I1343" s="7">
        <v>12.0</v>
      </c>
      <c r="J1343" s="7">
        <v>9.0</v>
      </c>
      <c r="K1343" s="7" t="s">
        <v>51</v>
      </c>
      <c r="L1343" s="9" t="str">
        <f>VLOOKUP(K1343, 'Alphabetical by species code'!A:B, 2, FALSE)</f>
        <v>Bareground</v>
      </c>
    </row>
    <row r="1344">
      <c r="A1344" s="7">
        <v>16.0</v>
      </c>
      <c r="B1344" s="7">
        <v>2025.0</v>
      </c>
      <c r="C1344" s="8">
        <v>45790.0</v>
      </c>
      <c r="D1344" s="7" t="s">
        <v>92</v>
      </c>
      <c r="E1344" s="7" t="s">
        <v>85</v>
      </c>
      <c r="F1344" s="7">
        <v>3.0</v>
      </c>
      <c r="G1344" s="7" t="s">
        <v>66</v>
      </c>
      <c r="H1344" s="7">
        <v>1.0</v>
      </c>
      <c r="I1344" s="7">
        <v>12.0</v>
      </c>
      <c r="J1344" s="7">
        <v>9.0</v>
      </c>
      <c r="K1344" s="7" t="s">
        <v>32</v>
      </c>
      <c r="L1344" s="9" t="str">
        <f>VLOOKUP(K1344, 'Alphabetical by species code'!A:B, 2, FALSE)</f>
        <v>Medicago polymorpha</v>
      </c>
    </row>
    <row r="1345">
      <c r="A1345" s="7">
        <v>16.0</v>
      </c>
      <c r="B1345" s="7">
        <v>2025.0</v>
      </c>
      <c r="C1345" s="8">
        <v>45790.0</v>
      </c>
      <c r="D1345" s="7" t="s">
        <v>92</v>
      </c>
      <c r="E1345" s="7" t="s">
        <v>85</v>
      </c>
      <c r="F1345" s="7">
        <v>3.0</v>
      </c>
      <c r="G1345" s="7" t="s">
        <v>66</v>
      </c>
      <c r="H1345" s="7">
        <v>1.0</v>
      </c>
      <c r="I1345" s="7">
        <v>12.0</v>
      </c>
      <c r="J1345" s="7">
        <v>9.0</v>
      </c>
      <c r="K1345" s="7" t="s">
        <v>64</v>
      </c>
      <c r="L1345" s="9" t="str">
        <f>VLOOKUP(K1345, 'Alphabetical by species code'!A:B, 2, FALSE)</f>
        <v>Brassica nigra</v>
      </c>
    </row>
    <row r="1346">
      <c r="A1346" s="7">
        <v>16.0</v>
      </c>
      <c r="B1346" s="7">
        <v>2025.0</v>
      </c>
      <c r="C1346" s="8">
        <v>45790.0</v>
      </c>
      <c r="D1346" s="7" t="s">
        <v>92</v>
      </c>
      <c r="E1346" s="7" t="s">
        <v>85</v>
      </c>
      <c r="F1346" s="7">
        <v>3.0</v>
      </c>
      <c r="G1346" s="7" t="s">
        <v>66</v>
      </c>
      <c r="H1346" s="7">
        <v>1.0</v>
      </c>
      <c r="I1346" s="7">
        <v>13.0</v>
      </c>
      <c r="J1346" s="7">
        <v>10.0</v>
      </c>
      <c r="K1346" s="7" t="s">
        <v>28</v>
      </c>
      <c r="L1346" s="9" t="str">
        <f>VLOOKUP(K1346, 'Alphabetical by species code'!A:B, 2, FALSE)</f>
        <v>Litter</v>
      </c>
    </row>
    <row r="1347">
      <c r="A1347" s="7">
        <v>16.0</v>
      </c>
      <c r="B1347" s="7">
        <v>2025.0</v>
      </c>
      <c r="C1347" s="8">
        <v>45790.0</v>
      </c>
      <c r="D1347" s="7" t="s">
        <v>92</v>
      </c>
      <c r="E1347" s="7" t="s">
        <v>85</v>
      </c>
      <c r="F1347" s="7">
        <v>3.0</v>
      </c>
      <c r="G1347" s="7" t="s">
        <v>66</v>
      </c>
      <c r="H1347" s="7">
        <v>1.0</v>
      </c>
      <c r="I1347" s="7">
        <v>13.0</v>
      </c>
      <c r="J1347" s="7">
        <v>10.0</v>
      </c>
      <c r="K1347" s="7" t="s">
        <v>32</v>
      </c>
      <c r="L1347" s="9" t="str">
        <f>VLOOKUP(K1347, 'Alphabetical by species code'!A:B, 2, FALSE)</f>
        <v>Medicago polymorpha</v>
      </c>
    </row>
    <row r="1348">
      <c r="A1348" s="7">
        <v>16.0</v>
      </c>
      <c r="B1348" s="7">
        <v>2025.0</v>
      </c>
      <c r="C1348" s="8">
        <v>45790.0</v>
      </c>
      <c r="D1348" s="7" t="s">
        <v>92</v>
      </c>
      <c r="E1348" s="7" t="s">
        <v>85</v>
      </c>
      <c r="F1348" s="7">
        <v>3.0</v>
      </c>
      <c r="G1348" s="7" t="s">
        <v>66</v>
      </c>
      <c r="H1348" s="7">
        <v>1.0</v>
      </c>
      <c r="I1348" s="7">
        <v>13.0</v>
      </c>
      <c r="J1348" s="7">
        <v>10.0</v>
      </c>
      <c r="K1348" s="7" t="s">
        <v>57</v>
      </c>
      <c r="L1348" s="9" t="str">
        <f>VLOOKUP(K1348, 'Alphabetical by species code'!A:B, 2, FALSE)</f>
        <v>Stipa pulchra</v>
      </c>
    </row>
    <row r="1349">
      <c r="A1349" s="7">
        <v>16.0</v>
      </c>
      <c r="B1349" s="7">
        <v>2025.0</v>
      </c>
      <c r="C1349" s="8">
        <v>45790.0</v>
      </c>
      <c r="D1349" s="7" t="s">
        <v>92</v>
      </c>
      <c r="E1349" s="7" t="s">
        <v>85</v>
      </c>
      <c r="F1349" s="7">
        <v>3.0</v>
      </c>
      <c r="G1349" s="7" t="s">
        <v>66</v>
      </c>
      <c r="H1349" s="7">
        <v>1.0</v>
      </c>
      <c r="I1349" s="7">
        <v>14.0</v>
      </c>
      <c r="J1349" s="7">
        <v>11.0</v>
      </c>
      <c r="K1349" s="7" t="s">
        <v>28</v>
      </c>
      <c r="L1349" s="9" t="str">
        <f>VLOOKUP(K1349, 'Alphabetical by species code'!A:B, 2, FALSE)</f>
        <v>Litter</v>
      </c>
    </row>
    <row r="1350">
      <c r="A1350" s="7">
        <v>16.0</v>
      </c>
      <c r="B1350" s="7">
        <v>2025.0</v>
      </c>
      <c r="C1350" s="8">
        <v>45790.0</v>
      </c>
      <c r="D1350" s="7" t="s">
        <v>92</v>
      </c>
      <c r="E1350" s="7" t="s">
        <v>85</v>
      </c>
      <c r="F1350" s="7">
        <v>3.0</v>
      </c>
      <c r="G1350" s="7" t="s">
        <v>66</v>
      </c>
      <c r="H1350" s="7">
        <v>1.0</v>
      </c>
      <c r="I1350" s="7">
        <v>14.0</v>
      </c>
      <c r="J1350" s="7">
        <v>11.0</v>
      </c>
      <c r="K1350" s="7" t="s">
        <v>32</v>
      </c>
      <c r="L1350" s="9" t="str">
        <f>VLOOKUP(K1350, 'Alphabetical by species code'!A:B, 2, FALSE)</f>
        <v>Medicago polymorpha</v>
      </c>
    </row>
    <row r="1351">
      <c r="A1351" s="7">
        <v>16.0</v>
      </c>
      <c r="B1351" s="7">
        <v>2025.0</v>
      </c>
      <c r="C1351" s="8">
        <v>45790.0</v>
      </c>
      <c r="D1351" s="7" t="s">
        <v>92</v>
      </c>
      <c r="E1351" s="7" t="s">
        <v>85</v>
      </c>
      <c r="F1351" s="7">
        <v>3.0</v>
      </c>
      <c r="G1351" s="7" t="s">
        <v>66</v>
      </c>
      <c r="H1351" s="7">
        <v>1.0</v>
      </c>
      <c r="I1351" s="7">
        <v>15.0</v>
      </c>
      <c r="J1351" s="7">
        <v>12.0</v>
      </c>
      <c r="K1351" s="7" t="s">
        <v>28</v>
      </c>
      <c r="L1351" s="9" t="str">
        <f>VLOOKUP(K1351, 'Alphabetical by species code'!A:B, 2, FALSE)</f>
        <v>Litter</v>
      </c>
    </row>
    <row r="1352">
      <c r="A1352" s="7">
        <v>16.0</v>
      </c>
      <c r="B1352" s="7">
        <v>2025.0</v>
      </c>
      <c r="C1352" s="8">
        <v>45790.0</v>
      </c>
      <c r="D1352" s="7" t="s">
        <v>92</v>
      </c>
      <c r="E1352" s="7" t="s">
        <v>85</v>
      </c>
      <c r="F1352" s="7">
        <v>3.0</v>
      </c>
      <c r="G1352" s="7" t="s">
        <v>66</v>
      </c>
      <c r="H1352" s="7">
        <v>2.0</v>
      </c>
      <c r="I1352" s="7">
        <v>1.0</v>
      </c>
      <c r="J1352" s="7">
        <v>0.0</v>
      </c>
      <c r="K1352" s="7" t="s">
        <v>51</v>
      </c>
      <c r="L1352" s="9" t="str">
        <f>VLOOKUP(K1352, 'Alphabetical by species code'!A:B, 2, FALSE)</f>
        <v>Bareground</v>
      </c>
    </row>
    <row r="1353">
      <c r="A1353" s="7">
        <v>16.0</v>
      </c>
      <c r="B1353" s="7">
        <v>2025.0</v>
      </c>
      <c r="C1353" s="8">
        <v>45790.0</v>
      </c>
      <c r="D1353" s="7" t="s">
        <v>92</v>
      </c>
      <c r="E1353" s="7" t="s">
        <v>85</v>
      </c>
      <c r="F1353" s="7">
        <v>3.0</v>
      </c>
      <c r="G1353" s="7" t="s">
        <v>66</v>
      </c>
      <c r="H1353" s="7">
        <v>2.0</v>
      </c>
      <c r="I1353" s="7">
        <v>1.0</v>
      </c>
      <c r="J1353" s="7">
        <v>0.0</v>
      </c>
      <c r="K1353" s="7" t="s">
        <v>34</v>
      </c>
      <c r="L1353" s="9" t="str">
        <f>VLOOKUP(K1353, 'Alphabetical by species code'!A:B, 2, FALSE)</f>
        <v>Erodium cicutarium</v>
      </c>
    </row>
    <row r="1354">
      <c r="A1354" s="7">
        <v>16.0</v>
      </c>
      <c r="B1354" s="7">
        <v>2025.0</v>
      </c>
      <c r="C1354" s="8">
        <v>45790.0</v>
      </c>
      <c r="D1354" s="7" t="s">
        <v>92</v>
      </c>
      <c r="E1354" s="7" t="s">
        <v>85</v>
      </c>
      <c r="F1354" s="7">
        <v>3.0</v>
      </c>
      <c r="G1354" s="7" t="s">
        <v>66</v>
      </c>
      <c r="H1354" s="7">
        <v>2.0</v>
      </c>
      <c r="I1354" s="7">
        <v>2.0</v>
      </c>
      <c r="J1354" s="7">
        <v>1.0</v>
      </c>
      <c r="K1354" s="7" t="s">
        <v>28</v>
      </c>
      <c r="L1354" s="9" t="str">
        <f>VLOOKUP(K1354, 'Alphabetical by species code'!A:B, 2, FALSE)</f>
        <v>Litter</v>
      </c>
    </row>
    <row r="1355">
      <c r="A1355" s="7">
        <v>16.0</v>
      </c>
      <c r="B1355" s="7">
        <v>2025.0</v>
      </c>
      <c r="C1355" s="8">
        <v>45790.0</v>
      </c>
      <c r="D1355" s="7" t="s">
        <v>92</v>
      </c>
      <c r="E1355" s="7" t="s">
        <v>85</v>
      </c>
      <c r="F1355" s="7">
        <v>3.0</v>
      </c>
      <c r="G1355" s="7" t="s">
        <v>66</v>
      </c>
      <c r="H1355" s="7">
        <v>2.0</v>
      </c>
      <c r="I1355" s="7">
        <v>3.0</v>
      </c>
      <c r="J1355" s="7">
        <v>1.5</v>
      </c>
      <c r="K1355" s="7" t="s">
        <v>51</v>
      </c>
      <c r="L1355" s="9" t="str">
        <f>VLOOKUP(K1355, 'Alphabetical by species code'!A:B, 2, FALSE)</f>
        <v>Bareground</v>
      </c>
    </row>
    <row r="1356">
      <c r="A1356" s="7">
        <v>16.0</v>
      </c>
      <c r="B1356" s="7">
        <v>2025.0</v>
      </c>
      <c r="C1356" s="8">
        <v>45790.0</v>
      </c>
      <c r="D1356" s="7" t="s">
        <v>92</v>
      </c>
      <c r="E1356" s="7" t="s">
        <v>85</v>
      </c>
      <c r="F1356" s="7">
        <v>3.0</v>
      </c>
      <c r="G1356" s="7" t="s">
        <v>66</v>
      </c>
      <c r="H1356" s="7">
        <v>2.0</v>
      </c>
      <c r="I1356" s="7">
        <v>3.0</v>
      </c>
      <c r="J1356" s="7">
        <v>1.5</v>
      </c>
      <c r="K1356" s="7" t="s">
        <v>32</v>
      </c>
      <c r="L1356" s="9" t="str">
        <f>VLOOKUP(K1356, 'Alphabetical by species code'!A:B, 2, FALSE)</f>
        <v>Medicago polymorpha</v>
      </c>
    </row>
    <row r="1357">
      <c r="A1357" s="7">
        <v>16.0</v>
      </c>
      <c r="B1357" s="7">
        <v>2025.0</v>
      </c>
      <c r="C1357" s="8">
        <v>45790.0</v>
      </c>
      <c r="D1357" s="7" t="s">
        <v>92</v>
      </c>
      <c r="E1357" s="7" t="s">
        <v>85</v>
      </c>
      <c r="F1357" s="7">
        <v>3.0</v>
      </c>
      <c r="G1357" s="7" t="s">
        <v>66</v>
      </c>
      <c r="H1357" s="7">
        <v>2.0</v>
      </c>
      <c r="I1357" s="7">
        <v>4.0</v>
      </c>
      <c r="J1357" s="7">
        <v>2.0</v>
      </c>
      <c r="K1357" s="7" t="s">
        <v>51</v>
      </c>
      <c r="L1357" s="9" t="str">
        <f>VLOOKUP(K1357, 'Alphabetical by species code'!A:B, 2, FALSE)</f>
        <v>Bareground</v>
      </c>
    </row>
    <row r="1358">
      <c r="A1358" s="7">
        <v>16.0</v>
      </c>
      <c r="B1358" s="7">
        <v>2025.0</v>
      </c>
      <c r="C1358" s="8">
        <v>45790.0</v>
      </c>
      <c r="D1358" s="7" t="s">
        <v>92</v>
      </c>
      <c r="E1358" s="7" t="s">
        <v>85</v>
      </c>
      <c r="F1358" s="7">
        <v>3.0</v>
      </c>
      <c r="G1358" s="7" t="s">
        <v>66</v>
      </c>
      <c r="H1358" s="7">
        <v>2.0</v>
      </c>
      <c r="I1358" s="7">
        <v>5.0</v>
      </c>
      <c r="J1358" s="7">
        <v>3.0</v>
      </c>
      <c r="K1358" s="7" t="s">
        <v>51</v>
      </c>
      <c r="L1358" s="9" t="str">
        <f>VLOOKUP(K1358, 'Alphabetical by species code'!A:B, 2, FALSE)</f>
        <v>Bareground</v>
      </c>
    </row>
    <row r="1359">
      <c r="A1359" s="7">
        <v>16.0</v>
      </c>
      <c r="B1359" s="7">
        <v>2025.0</v>
      </c>
      <c r="C1359" s="8">
        <v>45790.0</v>
      </c>
      <c r="D1359" s="7" t="s">
        <v>92</v>
      </c>
      <c r="E1359" s="7" t="s">
        <v>85</v>
      </c>
      <c r="F1359" s="7">
        <v>3.0</v>
      </c>
      <c r="G1359" s="7" t="s">
        <v>66</v>
      </c>
      <c r="H1359" s="7">
        <v>2.0</v>
      </c>
      <c r="I1359" s="7">
        <v>5.0</v>
      </c>
      <c r="J1359" s="7">
        <v>3.0</v>
      </c>
      <c r="K1359" s="7" t="s">
        <v>64</v>
      </c>
      <c r="L1359" s="9" t="str">
        <f>VLOOKUP(K1359, 'Alphabetical by species code'!A:B, 2, FALSE)</f>
        <v>Brassica nigra</v>
      </c>
    </row>
    <row r="1360">
      <c r="A1360" s="7">
        <v>16.0</v>
      </c>
      <c r="B1360" s="7">
        <v>2025.0</v>
      </c>
      <c r="C1360" s="8">
        <v>45790.0</v>
      </c>
      <c r="D1360" s="7" t="s">
        <v>92</v>
      </c>
      <c r="E1360" s="7" t="s">
        <v>85</v>
      </c>
      <c r="F1360" s="7">
        <v>3.0</v>
      </c>
      <c r="G1360" s="7" t="s">
        <v>66</v>
      </c>
      <c r="H1360" s="7">
        <v>2.0</v>
      </c>
      <c r="I1360" s="7">
        <v>6.0</v>
      </c>
      <c r="J1360" s="7">
        <v>3.5</v>
      </c>
      <c r="K1360" s="7" t="s">
        <v>28</v>
      </c>
      <c r="L1360" s="9" t="str">
        <f>VLOOKUP(K1360, 'Alphabetical by species code'!A:B, 2, FALSE)</f>
        <v>Litter</v>
      </c>
    </row>
    <row r="1361">
      <c r="A1361" s="7">
        <v>16.0</v>
      </c>
      <c r="B1361" s="7">
        <v>2025.0</v>
      </c>
      <c r="C1361" s="8">
        <v>45790.0</v>
      </c>
      <c r="D1361" s="7" t="s">
        <v>92</v>
      </c>
      <c r="E1361" s="7" t="s">
        <v>85</v>
      </c>
      <c r="F1361" s="7">
        <v>3.0</v>
      </c>
      <c r="G1361" s="7" t="s">
        <v>66</v>
      </c>
      <c r="H1361" s="7">
        <v>2.0</v>
      </c>
      <c r="I1361" s="7">
        <v>6.0</v>
      </c>
      <c r="J1361" s="7">
        <v>3.5</v>
      </c>
      <c r="K1361" s="7" t="s">
        <v>64</v>
      </c>
      <c r="L1361" s="9" t="str">
        <f>VLOOKUP(K1361, 'Alphabetical by species code'!A:B, 2, FALSE)</f>
        <v>Brassica nigra</v>
      </c>
    </row>
    <row r="1362">
      <c r="A1362" s="7">
        <v>16.0</v>
      </c>
      <c r="B1362" s="7">
        <v>2025.0</v>
      </c>
      <c r="C1362" s="8">
        <v>45790.0</v>
      </c>
      <c r="D1362" s="7" t="s">
        <v>92</v>
      </c>
      <c r="E1362" s="7" t="s">
        <v>85</v>
      </c>
      <c r="F1362" s="7">
        <v>3.0</v>
      </c>
      <c r="G1362" s="7" t="s">
        <v>66</v>
      </c>
      <c r="H1362" s="7">
        <v>2.0</v>
      </c>
      <c r="I1362" s="7">
        <v>7.0</v>
      </c>
      <c r="J1362" s="7">
        <v>4.0</v>
      </c>
      <c r="K1362" s="7" t="s">
        <v>28</v>
      </c>
      <c r="L1362" s="9" t="str">
        <f>VLOOKUP(K1362, 'Alphabetical by species code'!A:B, 2, FALSE)</f>
        <v>Litter</v>
      </c>
    </row>
    <row r="1363">
      <c r="A1363" s="7">
        <v>16.0</v>
      </c>
      <c r="B1363" s="7">
        <v>2025.0</v>
      </c>
      <c r="C1363" s="8">
        <v>45790.0</v>
      </c>
      <c r="D1363" s="7" t="s">
        <v>92</v>
      </c>
      <c r="E1363" s="7" t="s">
        <v>85</v>
      </c>
      <c r="F1363" s="7">
        <v>3.0</v>
      </c>
      <c r="G1363" s="7" t="s">
        <v>66</v>
      </c>
      <c r="H1363" s="7">
        <v>2.0</v>
      </c>
      <c r="I1363" s="7">
        <v>7.0</v>
      </c>
      <c r="J1363" s="7">
        <v>4.0</v>
      </c>
      <c r="K1363" s="7" t="s">
        <v>57</v>
      </c>
      <c r="L1363" s="9" t="str">
        <f>VLOOKUP(K1363, 'Alphabetical by species code'!A:B, 2, FALSE)</f>
        <v>Stipa pulchra</v>
      </c>
    </row>
    <row r="1364">
      <c r="A1364" s="7">
        <v>16.0</v>
      </c>
      <c r="B1364" s="7">
        <v>2025.0</v>
      </c>
      <c r="C1364" s="8">
        <v>45790.0</v>
      </c>
      <c r="D1364" s="7" t="s">
        <v>92</v>
      </c>
      <c r="E1364" s="7" t="s">
        <v>85</v>
      </c>
      <c r="F1364" s="7">
        <v>3.0</v>
      </c>
      <c r="G1364" s="7" t="s">
        <v>66</v>
      </c>
      <c r="H1364" s="7">
        <v>2.0</v>
      </c>
      <c r="I1364" s="7">
        <v>8.0</v>
      </c>
      <c r="J1364" s="7">
        <v>5.0</v>
      </c>
      <c r="K1364" s="7" t="s">
        <v>28</v>
      </c>
      <c r="L1364" s="9" t="str">
        <f>VLOOKUP(K1364, 'Alphabetical by species code'!A:B, 2, FALSE)</f>
        <v>Litter</v>
      </c>
    </row>
    <row r="1365">
      <c r="A1365" s="7">
        <v>16.0</v>
      </c>
      <c r="B1365" s="7">
        <v>2025.0</v>
      </c>
      <c r="C1365" s="8">
        <v>45790.0</v>
      </c>
      <c r="D1365" s="7" t="s">
        <v>92</v>
      </c>
      <c r="E1365" s="7" t="s">
        <v>85</v>
      </c>
      <c r="F1365" s="7">
        <v>3.0</v>
      </c>
      <c r="G1365" s="7" t="s">
        <v>66</v>
      </c>
      <c r="H1365" s="7">
        <v>2.0</v>
      </c>
      <c r="I1365" s="7">
        <v>9.0</v>
      </c>
      <c r="J1365" s="7">
        <v>7.0</v>
      </c>
      <c r="K1365" s="7" t="s">
        <v>28</v>
      </c>
      <c r="L1365" s="9" t="str">
        <f>VLOOKUP(K1365, 'Alphabetical by species code'!A:B, 2, FALSE)</f>
        <v>Litter</v>
      </c>
    </row>
    <row r="1366">
      <c r="A1366" s="7">
        <v>16.0</v>
      </c>
      <c r="B1366" s="7">
        <v>2025.0</v>
      </c>
      <c r="C1366" s="8">
        <v>45790.0</v>
      </c>
      <c r="D1366" s="7" t="s">
        <v>92</v>
      </c>
      <c r="E1366" s="7" t="s">
        <v>85</v>
      </c>
      <c r="F1366" s="7">
        <v>3.0</v>
      </c>
      <c r="G1366" s="7" t="s">
        <v>66</v>
      </c>
      <c r="H1366" s="7">
        <v>2.0</v>
      </c>
      <c r="I1366" s="7">
        <v>10.0</v>
      </c>
      <c r="J1366" s="7">
        <v>8.0</v>
      </c>
      <c r="K1366" s="7" t="s">
        <v>28</v>
      </c>
      <c r="L1366" s="9" t="str">
        <f>VLOOKUP(K1366, 'Alphabetical by species code'!A:B, 2, FALSE)</f>
        <v>Litter</v>
      </c>
    </row>
    <row r="1367">
      <c r="A1367" s="7">
        <v>16.0</v>
      </c>
      <c r="B1367" s="7">
        <v>2025.0</v>
      </c>
      <c r="C1367" s="8">
        <v>45790.0</v>
      </c>
      <c r="D1367" s="7" t="s">
        <v>92</v>
      </c>
      <c r="E1367" s="7" t="s">
        <v>85</v>
      </c>
      <c r="F1367" s="7">
        <v>3.0</v>
      </c>
      <c r="G1367" s="7" t="s">
        <v>66</v>
      </c>
      <c r="H1367" s="7">
        <v>2.0</v>
      </c>
      <c r="I1367" s="7">
        <v>11.0</v>
      </c>
      <c r="J1367" s="7">
        <v>8.5</v>
      </c>
      <c r="K1367" s="7" t="s">
        <v>28</v>
      </c>
      <c r="L1367" s="9" t="str">
        <f>VLOOKUP(K1367, 'Alphabetical by species code'!A:B, 2, FALSE)</f>
        <v>Litter</v>
      </c>
    </row>
    <row r="1368">
      <c r="A1368" s="7">
        <v>16.0</v>
      </c>
      <c r="B1368" s="7">
        <v>2025.0</v>
      </c>
      <c r="C1368" s="8">
        <v>45790.0</v>
      </c>
      <c r="D1368" s="7" t="s">
        <v>92</v>
      </c>
      <c r="E1368" s="7" t="s">
        <v>85</v>
      </c>
      <c r="F1368" s="7">
        <v>3.0</v>
      </c>
      <c r="G1368" s="7" t="s">
        <v>66</v>
      </c>
      <c r="H1368" s="7">
        <v>2.0</v>
      </c>
      <c r="I1368" s="7">
        <v>12.0</v>
      </c>
      <c r="J1368" s="7">
        <v>9.0</v>
      </c>
      <c r="K1368" s="7" t="s">
        <v>51</v>
      </c>
      <c r="L1368" s="9" t="str">
        <f>VLOOKUP(K1368, 'Alphabetical by species code'!A:B, 2, FALSE)</f>
        <v>Bareground</v>
      </c>
    </row>
    <row r="1369">
      <c r="A1369" s="7">
        <v>16.0</v>
      </c>
      <c r="B1369" s="7">
        <v>2025.0</v>
      </c>
      <c r="C1369" s="8">
        <v>45790.0</v>
      </c>
      <c r="D1369" s="7" t="s">
        <v>92</v>
      </c>
      <c r="E1369" s="7" t="s">
        <v>85</v>
      </c>
      <c r="F1369" s="7">
        <v>3.0</v>
      </c>
      <c r="G1369" s="7" t="s">
        <v>66</v>
      </c>
      <c r="H1369" s="7">
        <v>2.0</v>
      </c>
      <c r="I1369" s="7">
        <v>12.0</v>
      </c>
      <c r="J1369" s="7">
        <v>9.0</v>
      </c>
      <c r="K1369" s="7" t="s">
        <v>32</v>
      </c>
      <c r="L1369" s="9" t="str">
        <f>VLOOKUP(K1369, 'Alphabetical by species code'!A:B, 2, FALSE)</f>
        <v>Medicago polymorpha</v>
      </c>
    </row>
    <row r="1370">
      <c r="A1370" s="7">
        <v>16.0</v>
      </c>
      <c r="B1370" s="7">
        <v>2025.0</v>
      </c>
      <c r="C1370" s="8">
        <v>45790.0</v>
      </c>
      <c r="D1370" s="7" t="s">
        <v>92</v>
      </c>
      <c r="E1370" s="7" t="s">
        <v>85</v>
      </c>
      <c r="F1370" s="7">
        <v>3.0</v>
      </c>
      <c r="G1370" s="7" t="s">
        <v>66</v>
      </c>
      <c r="H1370" s="7">
        <v>2.0</v>
      </c>
      <c r="I1370" s="7">
        <v>13.0</v>
      </c>
      <c r="J1370" s="7">
        <v>10.0</v>
      </c>
      <c r="K1370" s="7" t="s">
        <v>28</v>
      </c>
      <c r="L1370" s="9" t="str">
        <f>VLOOKUP(K1370, 'Alphabetical by species code'!A:B, 2, FALSE)</f>
        <v>Litter</v>
      </c>
    </row>
    <row r="1371">
      <c r="A1371" s="7">
        <v>16.0</v>
      </c>
      <c r="B1371" s="7">
        <v>2025.0</v>
      </c>
      <c r="C1371" s="8">
        <v>45790.0</v>
      </c>
      <c r="D1371" s="7" t="s">
        <v>92</v>
      </c>
      <c r="E1371" s="7" t="s">
        <v>85</v>
      </c>
      <c r="F1371" s="7">
        <v>3.0</v>
      </c>
      <c r="G1371" s="7" t="s">
        <v>66</v>
      </c>
      <c r="H1371" s="7">
        <v>2.0</v>
      </c>
      <c r="I1371" s="7">
        <v>14.0</v>
      </c>
      <c r="J1371" s="7">
        <v>11.0</v>
      </c>
      <c r="K1371" s="7" t="s">
        <v>28</v>
      </c>
      <c r="L1371" s="9" t="str">
        <f>VLOOKUP(K1371, 'Alphabetical by species code'!A:B, 2, FALSE)</f>
        <v>Litter</v>
      </c>
    </row>
    <row r="1372">
      <c r="A1372" s="7">
        <v>16.0</v>
      </c>
      <c r="B1372" s="7">
        <v>2025.0</v>
      </c>
      <c r="C1372" s="8">
        <v>45790.0</v>
      </c>
      <c r="D1372" s="7" t="s">
        <v>92</v>
      </c>
      <c r="E1372" s="7" t="s">
        <v>85</v>
      </c>
      <c r="F1372" s="7">
        <v>3.0</v>
      </c>
      <c r="G1372" s="7" t="s">
        <v>66</v>
      </c>
      <c r="H1372" s="7">
        <v>2.0</v>
      </c>
      <c r="I1372" s="7">
        <v>14.0</v>
      </c>
      <c r="J1372" s="7">
        <v>11.0</v>
      </c>
      <c r="K1372" s="7" t="s">
        <v>32</v>
      </c>
      <c r="L1372" s="9" t="str">
        <f>VLOOKUP(K1372, 'Alphabetical by species code'!A:B, 2, FALSE)</f>
        <v>Medicago polymorpha</v>
      </c>
    </row>
    <row r="1373">
      <c r="A1373" s="7">
        <v>16.0</v>
      </c>
      <c r="B1373" s="7">
        <v>2025.0</v>
      </c>
      <c r="C1373" s="8">
        <v>45790.0</v>
      </c>
      <c r="D1373" s="7" t="s">
        <v>92</v>
      </c>
      <c r="E1373" s="7" t="s">
        <v>85</v>
      </c>
      <c r="F1373" s="7">
        <v>3.0</v>
      </c>
      <c r="G1373" s="7" t="s">
        <v>66</v>
      </c>
      <c r="H1373" s="7">
        <v>2.0</v>
      </c>
      <c r="I1373" s="7">
        <v>15.0</v>
      </c>
      <c r="J1373" s="7">
        <v>12.0</v>
      </c>
      <c r="K1373" s="7" t="s">
        <v>28</v>
      </c>
      <c r="L1373" s="9" t="str">
        <f>VLOOKUP(K1373, 'Alphabetical by species code'!A:B, 2, FALSE)</f>
        <v>Litter</v>
      </c>
    </row>
    <row r="1374">
      <c r="A1374" s="7">
        <v>16.0</v>
      </c>
      <c r="B1374" s="7">
        <v>2025.0</v>
      </c>
      <c r="C1374" s="8">
        <v>45790.0</v>
      </c>
      <c r="D1374" s="7" t="s">
        <v>92</v>
      </c>
      <c r="E1374" s="7" t="s">
        <v>85</v>
      </c>
      <c r="F1374" s="7">
        <v>3.0</v>
      </c>
      <c r="G1374" s="7" t="s">
        <v>66</v>
      </c>
      <c r="H1374" s="7">
        <v>2.0</v>
      </c>
      <c r="I1374" s="7">
        <v>15.0</v>
      </c>
      <c r="J1374" s="7">
        <v>12.0</v>
      </c>
      <c r="K1374" s="7" t="s">
        <v>88</v>
      </c>
      <c r="L1374" s="9" t="str">
        <f>VLOOKUP(K1374, 'Alphabetical by species code'!A:B, 2, FALSE)</f>
        <v>Bromus hordeaceus</v>
      </c>
    </row>
    <row r="1375">
      <c r="A1375" s="7">
        <v>16.0</v>
      </c>
      <c r="B1375" s="7">
        <v>2025.0</v>
      </c>
      <c r="C1375" s="8">
        <v>45790.0</v>
      </c>
      <c r="D1375" s="7" t="s">
        <v>92</v>
      </c>
      <c r="E1375" s="7" t="s">
        <v>85</v>
      </c>
      <c r="F1375" s="7">
        <v>3.0</v>
      </c>
      <c r="G1375" s="7" t="s">
        <v>66</v>
      </c>
      <c r="H1375" s="7">
        <v>2.0</v>
      </c>
      <c r="I1375" s="7">
        <v>15.0</v>
      </c>
      <c r="J1375" s="7">
        <v>12.0</v>
      </c>
      <c r="K1375" s="7" t="s">
        <v>87</v>
      </c>
      <c r="L1375" s="9" t="str">
        <f>VLOOKUP(K1375, 'Alphabetical by species code'!A:B, 2, FALSE)</f>
        <v>#N/A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if('Point Intercept 1'!A1 = 'Point Intercept 2'!A1, 'Point Intercept 1'!A1, "ERROR")</f>
        <v>Page #</v>
      </c>
      <c r="B1" s="9" t="str">
        <f>if('Point Intercept 1'!B1 = 'Point Intercept 2'!B1, 'Point Intercept 1'!B1, "ERROR")</f>
        <v>Year</v>
      </c>
      <c r="C1" s="9" t="str">
        <f>if('Point Intercept 1'!C1 = 'Point Intercept 2'!C1, 'Point Intercept 1'!C1, "ERROR")</f>
        <v>Date</v>
      </c>
      <c r="D1" s="9" t="str">
        <f>if('Point Intercept 1'!D1 = 'Point Intercept 2'!D1, 'Point Intercept 1'!D1, "ERROR")</f>
        <v>Team</v>
      </c>
      <c r="E1" s="9" t="str">
        <f>if('Point Intercept 1'!E1 = 'Point Intercept 2'!E1, 'Point Intercept 1'!E1, "ERROR")</f>
        <v>Site</v>
      </c>
      <c r="F1" s="9" t="str">
        <f>if('Point Intercept 1'!F1 = 'Point Intercept 2'!F1, 'Point Intercept 1'!F1, "ERROR")</f>
        <v>Block #</v>
      </c>
      <c r="G1" s="9" t="str">
        <f>if('Point Intercept 1'!G1 = 'Point Intercept 2'!G1, 'Point Intercept 1'!G1, "ERROR")</f>
        <v>Treatment</v>
      </c>
      <c r="H1" s="9" t="str">
        <f>if('Point Intercept 1'!I1 = 'Point Intercept 2'!I1, 'Point Intercept 1'!I1, "ERROR")</f>
        <v>Point</v>
      </c>
      <c r="I1" s="9" t="str">
        <f>if('Point Intercept 1'!H1 = 'Point Intercept 2'!H1, 'Point Intercept 1'!H1, "ERROR")</f>
        <v>Transect</v>
      </c>
      <c r="J1" s="9" t="str">
        <f>if('Point Intercept 1'!J1 = 'Point Intercept 2'!J1, 'Point Intercept 1'!J1, "ERROR")</f>
        <v>Distance</v>
      </c>
      <c r="K1" s="9" t="str">
        <f>if('Point Intercept 1'!K1 = 'Point Intercept 2'!K1, 'Point Intercept 1'!K1, "ERROR")</f>
        <v>Code</v>
      </c>
      <c r="L1" s="9" t="str">
        <f>if('Point Intercept 1'!L1 = 'Point Intercept 2'!L1, 'Point Intercept 1'!L1, "ERROR")</f>
        <v>Species</v>
      </c>
      <c r="M1" s="9" t="str">
        <f>if('Point Intercept 1'!N1 = 'Point Intercept 2'!M1, 'Point Intercept 1'!N1, "ERROR")</f>
        <v>Notes</v>
      </c>
      <c r="N1" s="9" t="str">
        <f>if('Point Intercept 1'!O1 = 'Point Intercept 2'!N1, 'Point Intercept 1'!O1, "ERROR")</f>
        <v/>
      </c>
      <c r="O1" s="9" t="str">
        <f>if('Point Intercept 1'!P1 = 'Point Intercept 2'!O1, 'Point Intercept 1'!P1, "ERROR")</f>
        <v/>
      </c>
    </row>
    <row r="2">
      <c r="A2" s="9" t="str">
        <f>if('Point Intercept 1'!A2 = 'Point Intercept 2'!A2, 'Point Intercept 1'!A2, "ERROR")</f>
        <v>(#)</v>
      </c>
      <c r="B2" s="9">
        <f>if('Point Intercept 1'!B2 = 'Point Intercept 2'!B2, 'Point Intercept 1'!B2, "ERROR")</f>
        <v>2025</v>
      </c>
      <c r="C2" s="9" t="str">
        <f>if('Point Intercept 1'!C2 = 'Point Intercept 2'!C2, 'Point Intercept 1'!C2, "ERROR")</f>
        <v>mm/dd/yy</v>
      </c>
      <c r="D2" s="9" t="str">
        <f>if('Point Intercept 1'!D2 = 'Point Intercept 2'!D2, 'Point Intercept 1'!D2, "ERROR")</f>
        <v>initials</v>
      </c>
      <c r="E2" s="9" t="str">
        <f>if('Point Intercept 1'!E2 = 'Point Intercept 2'!E2, 'Point Intercept 1'!E2, "ERROR")</f>
        <v>CU/VB/GB</v>
      </c>
      <c r="F2" s="11">
        <f>if('Point Intercept 1'!F2 = 'Point Intercept 2'!F2, 'Point Intercept 1'!F2, "ERROR")</f>
        <v>43469</v>
      </c>
      <c r="G2" s="9" t="str">
        <f>if('Point Intercept 1'!G2 = 'Point Intercept 2'!G2, 'Point Intercept 1'!G2, "ERROR")</f>
        <v>LS/LU/SS/SU</v>
      </c>
      <c r="H2" s="12" t="str">
        <f>if('Point Intercept 1'!I2 = 'Point Intercept 2'!I2, 'Point Intercept 1'!I2, "ERROR")</f>
        <v>1-30</v>
      </c>
      <c r="I2" s="9" t="str">
        <f>if('Point Intercept 1'!H2 = 'Point Intercept 2'!H2, 'Point Intercept 1'!H2, "ERROR")</f>
        <v>1 or 2</v>
      </c>
      <c r="J2" s="9" t="str">
        <f>if('Point Intercept 1'!J2 = 'Point Intercept 2'!J2, 'Point Intercept 1'!J2, "ERROR")</f>
        <v>0-12m</v>
      </c>
      <c r="K2" s="9" t="str">
        <f>if('Point Intercept 1'!K2 = 'Point Intercept 2'!K2, 'Point Intercept 1'!K2, "ERROR")</f>
        <v>six-letter code</v>
      </c>
      <c r="L2" s="9" t="str">
        <f>if('Point Intercept 1'!L2 = 'Point Intercept 2'!L2, 'Point Intercept 1'!L2, "ERROR")</f>
        <v>ERROR</v>
      </c>
      <c r="M2" s="9" t="str">
        <f>if('Point Intercept 1'!N2 = 'Point Intercept 2'!M2, 'Point Intercept 1'!N2, "ERROR")</f>
        <v>enter as written</v>
      </c>
      <c r="N2" s="9" t="str">
        <f>if('Point Intercept 1'!O2 = 'Point Intercept 2'!N2, 'Point Intercept 1'!O2, "ERROR")</f>
        <v/>
      </c>
      <c r="O2" s="9" t="str">
        <f>if('Point Intercept 1'!P2 = 'Point Intercept 2'!O2, 'Point Intercept 1'!P2, "ERROR")</f>
        <v/>
      </c>
    </row>
    <row r="3">
      <c r="A3" s="9">
        <f>if('Point Intercept 1'!A3 = 'Point Intercept 2'!A3, 'Point Intercept 1'!A3, "ERROR")</f>
        <v>1</v>
      </c>
      <c r="B3" s="9">
        <f>if('Point Intercept 1'!B3 = 'Point Intercept 2'!B3, 'Point Intercept 1'!B3, "ERROR")</f>
        <v>2025</v>
      </c>
      <c r="C3" s="13">
        <f>if('Point Intercept 1'!C3 = 'Point Intercept 2'!C3, 'Point Intercept 1'!C3, "ERROR")</f>
        <v>45764</v>
      </c>
      <c r="D3" s="9" t="str">
        <f>if('Point Intercept 1'!D3 = 'Point Intercept 2'!D3, 'Point Intercept 1'!D3, "ERROR")</f>
        <v>TL, CG, BN</v>
      </c>
      <c r="E3" s="9" t="str">
        <f>if('Point Intercept 1'!E3 = 'Point Intercept 2'!E3, 'Point Intercept 1'!E3, "ERROR")</f>
        <v>VB</v>
      </c>
      <c r="F3" s="9">
        <f>if('Point Intercept 1'!F3 = 'Point Intercept 2'!F3, 'Point Intercept 1'!F3, "ERROR")</f>
        <v>1</v>
      </c>
      <c r="G3" s="9" t="str">
        <f>if('Point Intercept 1'!G3 = 'Point Intercept 2'!G3, 'Point Intercept 1'!G3, "ERROR")</f>
        <v>LS</v>
      </c>
      <c r="H3" s="9">
        <f>if('Point Intercept 1'!I3 = 'Point Intercept 2'!I3, 'Point Intercept 1'!I3, "ERROR")</f>
        <v>1</v>
      </c>
      <c r="I3" s="9">
        <f>if('Point Intercept 1'!H3 = 'Point Intercept 2'!H3, 'Point Intercept 1'!H3, "ERROR")</f>
        <v>1</v>
      </c>
      <c r="J3" s="9">
        <f>if('Point Intercept 1'!J3 = 'Point Intercept 2'!J3, 'Point Intercept 1'!J3, "ERROR")</f>
        <v>0</v>
      </c>
      <c r="K3" s="9" t="str">
        <f>if('Point Intercept 1'!K3 = 'Point Intercept 2'!K3, 'Point Intercept 1'!K3, "ERROR")</f>
        <v>L</v>
      </c>
      <c r="L3" s="9" t="str">
        <f>if('Point Intercept 1'!L3 = 'Point Intercept 2'!L3, 'Point Intercept 1'!L3, "ERROR")</f>
        <v>Litter</v>
      </c>
      <c r="M3" s="9" t="str">
        <f>if('Point Intercept 1'!N3 = 'Point Intercept 2'!M3, 'Point Intercept 1'!N3, "ERROR")</f>
        <v/>
      </c>
      <c r="N3" s="9" t="str">
        <f>if('Point Intercept 1'!O3 = 'Point Intercept 2'!N3, 'Point Intercept 1'!O3, "ERROR")</f>
        <v/>
      </c>
      <c r="O3" s="9" t="str">
        <f>if('Point Intercept 1'!P3 = 'Point Intercept 2'!O3, 'Point Intercept 1'!P3, "ERROR")</f>
        <v/>
      </c>
    </row>
    <row r="4">
      <c r="A4" s="9">
        <f>if('Point Intercept 1'!A4 = 'Point Intercept 2'!A4, 'Point Intercept 1'!A4, "ERROR")</f>
        <v>1</v>
      </c>
      <c r="B4" s="9">
        <f>if('Point Intercept 1'!B4 = 'Point Intercept 2'!B4, 'Point Intercept 1'!B4, "ERROR")</f>
        <v>2025</v>
      </c>
      <c r="C4" s="13">
        <f>if('Point Intercept 1'!C4 = 'Point Intercept 2'!C4, 'Point Intercept 1'!C4, "ERROR")</f>
        <v>45764</v>
      </c>
      <c r="D4" s="9" t="str">
        <f>if('Point Intercept 1'!D4 = 'Point Intercept 2'!D4, 'Point Intercept 1'!D4, "ERROR")</f>
        <v>TL, CG, BN</v>
      </c>
      <c r="E4" s="9" t="str">
        <f>if('Point Intercept 1'!E4 = 'Point Intercept 2'!E4, 'Point Intercept 1'!E4, "ERROR")</f>
        <v>VB</v>
      </c>
      <c r="F4" s="9">
        <f>if('Point Intercept 1'!F4 = 'Point Intercept 2'!F4, 'Point Intercept 1'!F4, "ERROR")</f>
        <v>1</v>
      </c>
      <c r="G4" s="9" t="str">
        <f>if('Point Intercept 1'!G4 = 'Point Intercept 2'!G4, 'Point Intercept 1'!G4, "ERROR")</f>
        <v>LS</v>
      </c>
      <c r="H4" s="9">
        <f>if('Point Intercept 1'!I4 = 'Point Intercept 2'!I4, 'Point Intercept 1'!I4, "ERROR")</f>
        <v>1</v>
      </c>
      <c r="I4" s="9">
        <f>if('Point Intercept 1'!H4 = 'Point Intercept 2'!H4, 'Point Intercept 1'!H4, "ERROR")</f>
        <v>1</v>
      </c>
      <c r="J4" s="9">
        <f>if('Point Intercept 1'!J4 = 'Point Intercept 2'!J4, 'Point Intercept 1'!J4, "ERROR")</f>
        <v>0</v>
      </c>
      <c r="K4" s="9" t="str">
        <f>if('Point Intercept 1'!K4 = 'Point Intercept 2'!K4, 'Point Intercept 1'!K4, "ERROR")</f>
        <v>OPULIT</v>
      </c>
      <c r="L4" s="9" t="str">
        <f>if('Point Intercept 1'!L4 = 'Point Intercept 2'!L4, 'Point Intercept 1'!L4, "ERROR")</f>
        <v>Opuntia littoralis</v>
      </c>
      <c r="M4" s="9" t="str">
        <f>if('Point Intercept 1'!N4 = 'Point Intercept 2'!M4, 'Point Intercept 1'!N4, "ERROR")</f>
        <v>ERROR</v>
      </c>
      <c r="N4" s="9" t="str">
        <f>if('Point Intercept 1'!O4 = 'Point Intercept 2'!N4, 'Point Intercept 1'!O4, "ERROR")</f>
        <v/>
      </c>
      <c r="O4" s="9" t="str">
        <f>if('Point Intercept 1'!P4 = 'Point Intercept 2'!O4, 'Point Intercept 1'!P4, "ERROR")</f>
        <v/>
      </c>
    </row>
    <row r="5">
      <c r="A5" s="9">
        <f>if('Point Intercept 1'!A5 = 'Point Intercept 2'!A5, 'Point Intercept 1'!A5, "ERROR")</f>
        <v>1</v>
      </c>
      <c r="B5" s="9">
        <f>if('Point Intercept 1'!B5 = 'Point Intercept 2'!B5, 'Point Intercept 1'!B5, "ERROR")</f>
        <v>2025</v>
      </c>
      <c r="C5" s="13">
        <f>if('Point Intercept 1'!C5 = 'Point Intercept 2'!C5, 'Point Intercept 1'!C5, "ERROR")</f>
        <v>45764</v>
      </c>
      <c r="D5" s="9" t="str">
        <f>if('Point Intercept 1'!D5 = 'Point Intercept 2'!D5, 'Point Intercept 1'!D5, "ERROR")</f>
        <v>TL, CG, BN</v>
      </c>
      <c r="E5" s="9" t="str">
        <f>if('Point Intercept 1'!E5 = 'Point Intercept 2'!E5, 'Point Intercept 1'!E5, "ERROR")</f>
        <v>VB</v>
      </c>
      <c r="F5" s="9">
        <f>if('Point Intercept 1'!F5 = 'Point Intercept 2'!F5, 'Point Intercept 1'!F5, "ERROR")</f>
        <v>1</v>
      </c>
      <c r="G5" s="9" t="str">
        <f>if('Point Intercept 1'!G5 = 'Point Intercept 2'!G5, 'Point Intercept 1'!G5, "ERROR")</f>
        <v>LS</v>
      </c>
      <c r="H5" s="9">
        <f>if('Point Intercept 1'!I5 = 'Point Intercept 2'!I5, 'Point Intercept 1'!I5, "ERROR")</f>
        <v>1</v>
      </c>
      <c r="I5" s="9">
        <f>if('Point Intercept 1'!H5 = 'Point Intercept 2'!H5, 'Point Intercept 1'!H5, "ERROR")</f>
        <v>1</v>
      </c>
      <c r="J5" s="9">
        <f>if('Point Intercept 1'!J5 = 'Point Intercept 2'!J5, 'Point Intercept 1'!J5, "ERROR")</f>
        <v>0</v>
      </c>
      <c r="K5" s="9" t="str">
        <f>if('Point Intercept 1'!K5 = 'Point Intercept 2'!K5, 'Point Intercept 1'!K5, "ERROR")</f>
        <v>EROMOS</v>
      </c>
      <c r="L5" s="9" t="str">
        <f>if('Point Intercept 1'!L5 = 'Point Intercept 2'!L5, 'Point Intercept 1'!L5, "ERROR")</f>
        <v>Erodium moschatum</v>
      </c>
      <c r="M5" s="9" t="str">
        <f>if('Point Intercept 1'!N5 = 'Point Intercept 2'!M5, 'Point Intercept 1'!N5, "ERROR")</f>
        <v/>
      </c>
      <c r="N5" s="9" t="str">
        <f>if('Point Intercept 1'!O5 = 'Point Intercept 2'!N5, 'Point Intercept 1'!O5, "ERROR")</f>
        <v/>
      </c>
      <c r="O5" s="9" t="str">
        <f>if('Point Intercept 1'!P5 = 'Point Intercept 2'!O5, 'Point Intercept 1'!P5, "ERROR")</f>
        <v/>
      </c>
    </row>
    <row r="6">
      <c r="A6" s="9">
        <f>if('Point Intercept 1'!A6 = 'Point Intercept 2'!A6, 'Point Intercept 1'!A6, "ERROR")</f>
        <v>1</v>
      </c>
      <c r="B6" s="9">
        <f>if('Point Intercept 1'!B6 = 'Point Intercept 2'!B6, 'Point Intercept 1'!B6, "ERROR")</f>
        <v>2025</v>
      </c>
      <c r="C6" s="13">
        <f>if('Point Intercept 1'!C6 = 'Point Intercept 2'!C6, 'Point Intercept 1'!C6, "ERROR")</f>
        <v>45764</v>
      </c>
      <c r="D6" s="9" t="str">
        <f>if('Point Intercept 1'!D6 = 'Point Intercept 2'!D6, 'Point Intercept 1'!D6, "ERROR")</f>
        <v>TL, CG, BN</v>
      </c>
      <c r="E6" s="9" t="str">
        <f>if('Point Intercept 1'!E6 = 'Point Intercept 2'!E6, 'Point Intercept 1'!E6, "ERROR")</f>
        <v>VB</v>
      </c>
      <c r="F6" s="9">
        <f>if('Point Intercept 1'!F6 = 'Point Intercept 2'!F6, 'Point Intercept 1'!F6, "ERROR")</f>
        <v>1</v>
      </c>
      <c r="G6" s="9" t="str">
        <f>if('Point Intercept 1'!G6 = 'Point Intercept 2'!G6, 'Point Intercept 1'!G6, "ERROR")</f>
        <v>LS</v>
      </c>
      <c r="H6" s="9">
        <f>if('Point Intercept 1'!I6 = 'Point Intercept 2'!I6, 'Point Intercept 1'!I6, "ERROR")</f>
        <v>1</v>
      </c>
      <c r="I6" s="9">
        <f>if('Point Intercept 1'!H6 = 'Point Intercept 2'!H6, 'Point Intercept 1'!H6, "ERROR")</f>
        <v>1</v>
      </c>
      <c r="J6" s="9">
        <f>if('Point Intercept 1'!J6 = 'Point Intercept 2'!J6, 'Point Intercept 1'!J6, "ERROR")</f>
        <v>0</v>
      </c>
      <c r="K6" s="9" t="str">
        <f>if('Point Intercept 1'!K6 = 'Point Intercept 2'!K6, 'Point Intercept 1'!K6, "ERROR")</f>
        <v>FESMYU</v>
      </c>
      <c r="L6" s="9" t="str">
        <f>if('Point Intercept 1'!L6 = 'Point Intercept 2'!L6, 'Point Intercept 1'!L6, "ERROR")</f>
        <v>Festuca myuros</v>
      </c>
      <c r="M6" s="9" t="str">
        <f>if('Point Intercept 1'!N6 = 'Point Intercept 2'!M6, 'Point Intercept 1'!N6, "ERROR")</f>
        <v/>
      </c>
      <c r="N6" s="9" t="str">
        <f>if('Point Intercept 1'!O6 = 'Point Intercept 2'!N6, 'Point Intercept 1'!O6, "ERROR")</f>
        <v/>
      </c>
      <c r="O6" s="9" t="str">
        <f>if('Point Intercept 1'!P6 = 'Point Intercept 2'!O6, 'Point Intercept 1'!P6, "ERROR")</f>
        <v/>
      </c>
    </row>
    <row r="7">
      <c r="A7" s="9">
        <f>if('Point Intercept 1'!A7 = 'Point Intercept 2'!A7, 'Point Intercept 1'!A7, "ERROR")</f>
        <v>1</v>
      </c>
      <c r="B7" s="9">
        <f>if('Point Intercept 1'!B7 = 'Point Intercept 2'!B7, 'Point Intercept 1'!B7, "ERROR")</f>
        <v>2025</v>
      </c>
      <c r="C7" s="13">
        <f>if('Point Intercept 1'!C7 = 'Point Intercept 2'!C7, 'Point Intercept 1'!C7, "ERROR")</f>
        <v>45764</v>
      </c>
      <c r="D7" s="9" t="str">
        <f>if('Point Intercept 1'!D7 = 'Point Intercept 2'!D7, 'Point Intercept 1'!D7, "ERROR")</f>
        <v>TL, CG, BN</v>
      </c>
      <c r="E7" s="9" t="str">
        <f>if('Point Intercept 1'!E7 = 'Point Intercept 2'!E7, 'Point Intercept 1'!E7, "ERROR")</f>
        <v>VB</v>
      </c>
      <c r="F7" s="9">
        <f>if('Point Intercept 1'!F7 = 'Point Intercept 2'!F7, 'Point Intercept 1'!F7, "ERROR")</f>
        <v>1</v>
      </c>
      <c r="G7" s="9" t="str">
        <f>if('Point Intercept 1'!G7 = 'Point Intercept 2'!G7, 'Point Intercept 1'!G7, "ERROR")</f>
        <v>LS</v>
      </c>
      <c r="H7" s="9">
        <f>if('Point Intercept 1'!I7 = 'Point Intercept 2'!I7, 'Point Intercept 1'!I7, "ERROR")</f>
        <v>2</v>
      </c>
      <c r="I7" s="9">
        <f>if('Point Intercept 1'!H7 = 'Point Intercept 2'!H7, 'Point Intercept 1'!H7, "ERROR")</f>
        <v>1</v>
      </c>
      <c r="J7" s="9">
        <f>if('Point Intercept 1'!J7 = 'Point Intercept 2'!J7, 'Point Intercept 1'!J7, "ERROR")</f>
        <v>0.5</v>
      </c>
      <c r="K7" s="9" t="str">
        <f>if('Point Intercept 1'!K7 = 'Point Intercept 2'!K7, 'Point Intercept 1'!K7, "ERROR")</f>
        <v>L</v>
      </c>
      <c r="L7" s="9" t="str">
        <f>if('Point Intercept 1'!L7 = 'Point Intercept 2'!L7, 'Point Intercept 1'!L7, "ERROR")</f>
        <v>Litter</v>
      </c>
      <c r="M7" s="9" t="str">
        <f>if('Point Intercept 1'!N7 = 'Point Intercept 2'!M7, 'Point Intercept 1'!N7, "ERROR")</f>
        <v/>
      </c>
      <c r="N7" s="9" t="str">
        <f>if('Point Intercept 1'!O7 = 'Point Intercept 2'!N7, 'Point Intercept 1'!O7, "ERROR")</f>
        <v/>
      </c>
      <c r="O7" s="9" t="str">
        <f>if('Point Intercept 1'!P7 = 'Point Intercept 2'!O7, 'Point Intercept 1'!P7, "ERROR")</f>
        <v/>
      </c>
    </row>
    <row r="8">
      <c r="A8" s="9">
        <f>if('Point Intercept 1'!A8 = 'Point Intercept 2'!A8, 'Point Intercept 1'!A8, "ERROR")</f>
        <v>1</v>
      </c>
      <c r="B8" s="9">
        <f>if('Point Intercept 1'!B8 = 'Point Intercept 2'!B8, 'Point Intercept 1'!B8, "ERROR")</f>
        <v>2025</v>
      </c>
      <c r="C8" s="13">
        <f>if('Point Intercept 1'!C8 = 'Point Intercept 2'!C8, 'Point Intercept 1'!C8, "ERROR")</f>
        <v>45764</v>
      </c>
      <c r="D8" s="9" t="str">
        <f>if('Point Intercept 1'!D8 = 'Point Intercept 2'!D8, 'Point Intercept 1'!D8, "ERROR")</f>
        <v>TL, CG, BN</v>
      </c>
      <c r="E8" s="9" t="str">
        <f>if('Point Intercept 1'!E8 = 'Point Intercept 2'!E8, 'Point Intercept 1'!E8, "ERROR")</f>
        <v>VB</v>
      </c>
      <c r="F8" s="9">
        <f>if('Point Intercept 1'!F8 = 'Point Intercept 2'!F8, 'Point Intercept 1'!F8, "ERROR")</f>
        <v>1</v>
      </c>
      <c r="G8" s="9" t="str">
        <f>if('Point Intercept 1'!G8 = 'Point Intercept 2'!G8, 'Point Intercept 1'!G8, "ERROR")</f>
        <v>LS</v>
      </c>
      <c r="H8" s="9">
        <f>if('Point Intercept 1'!I8 = 'Point Intercept 2'!I8, 'Point Intercept 1'!I8, "ERROR")</f>
        <v>2</v>
      </c>
      <c r="I8" s="9">
        <f>if('Point Intercept 1'!H8 = 'Point Intercept 2'!H8, 'Point Intercept 1'!H8, "ERROR")</f>
        <v>1</v>
      </c>
      <c r="J8" s="9">
        <f>if('Point Intercept 1'!J8 = 'Point Intercept 2'!J8, 'Point Intercept 1'!J8, "ERROR")</f>
        <v>0.5</v>
      </c>
      <c r="K8" s="9" t="str">
        <f>if('Point Intercept 1'!K8 = 'Point Intercept 2'!K8, 'Point Intercept 1'!K8, "ERROR")</f>
        <v>MEDPOL</v>
      </c>
      <c r="L8" s="9" t="str">
        <f>if('Point Intercept 1'!L8 = 'Point Intercept 2'!L8, 'Point Intercept 1'!L8, "ERROR")</f>
        <v>Medicago polymorpha</v>
      </c>
      <c r="M8" s="9" t="str">
        <f>if('Point Intercept 1'!N8 = 'Point Intercept 2'!M8, 'Point Intercept 1'!N8, "ERROR")</f>
        <v/>
      </c>
      <c r="N8" s="9" t="str">
        <f>if('Point Intercept 1'!O8 = 'Point Intercept 2'!N8, 'Point Intercept 1'!O8, "ERROR")</f>
        <v/>
      </c>
      <c r="O8" s="9" t="str">
        <f>if('Point Intercept 1'!P8 = 'Point Intercept 2'!O8, 'Point Intercept 1'!P8, "ERROR")</f>
        <v/>
      </c>
    </row>
    <row r="9">
      <c r="A9" s="9">
        <f>if('Point Intercept 1'!A9 = 'Point Intercept 2'!A9, 'Point Intercept 1'!A9, "ERROR")</f>
        <v>1</v>
      </c>
      <c r="B9" s="9">
        <f>if('Point Intercept 1'!B9 = 'Point Intercept 2'!B9, 'Point Intercept 1'!B9, "ERROR")</f>
        <v>2025</v>
      </c>
      <c r="C9" s="13">
        <f>if('Point Intercept 1'!C9 = 'Point Intercept 2'!C9, 'Point Intercept 1'!C9, "ERROR")</f>
        <v>45764</v>
      </c>
      <c r="D9" s="9" t="str">
        <f>if('Point Intercept 1'!D9 = 'Point Intercept 2'!D9, 'Point Intercept 1'!D9, "ERROR")</f>
        <v>TL, CG, BN</v>
      </c>
      <c r="E9" s="9" t="str">
        <f>if('Point Intercept 1'!E9 = 'Point Intercept 2'!E9, 'Point Intercept 1'!E9, "ERROR")</f>
        <v>VB</v>
      </c>
      <c r="F9" s="9">
        <f>if('Point Intercept 1'!F9 = 'Point Intercept 2'!F9, 'Point Intercept 1'!F9, "ERROR")</f>
        <v>1</v>
      </c>
      <c r="G9" s="9" t="str">
        <f>if('Point Intercept 1'!G9 = 'Point Intercept 2'!G9, 'Point Intercept 1'!G9, "ERROR")</f>
        <v>LS</v>
      </c>
      <c r="H9" s="9">
        <f>if('Point Intercept 1'!I9 = 'Point Intercept 2'!I9, 'Point Intercept 1'!I9, "ERROR")</f>
        <v>2</v>
      </c>
      <c r="I9" s="9">
        <f>if('Point Intercept 1'!H9 = 'Point Intercept 2'!H9, 'Point Intercept 1'!H9, "ERROR")</f>
        <v>1</v>
      </c>
      <c r="J9" s="9">
        <f>if('Point Intercept 1'!J9 = 'Point Intercept 2'!J9, 'Point Intercept 1'!J9, "ERROR")</f>
        <v>0.5</v>
      </c>
      <c r="K9" s="9" t="str">
        <f>if('Point Intercept 1'!K9 = 'Point Intercept 2'!K9, 'Point Intercept 1'!K9, "ERROR")</f>
        <v>OPULIT</v>
      </c>
      <c r="L9" s="9" t="str">
        <f>if('Point Intercept 1'!L9 = 'Point Intercept 2'!L9, 'Point Intercept 1'!L9, "ERROR")</f>
        <v>Opuntia littoralis</v>
      </c>
      <c r="M9" s="9" t="str">
        <f>if('Point Intercept 1'!N9 = 'Point Intercept 2'!M9, 'Point Intercept 1'!N9, "ERROR")</f>
        <v/>
      </c>
      <c r="N9" s="9" t="str">
        <f>if('Point Intercept 1'!O9 = 'Point Intercept 2'!N9, 'Point Intercept 1'!O9, "ERROR")</f>
        <v/>
      </c>
      <c r="O9" s="9" t="str">
        <f>if('Point Intercept 1'!P9 = 'Point Intercept 2'!O9, 'Point Intercept 1'!P9, "ERROR")</f>
        <v/>
      </c>
    </row>
    <row r="10">
      <c r="A10" s="9">
        <f>if('Point Intercept 1'!A10 = 'Point Intercept 2'!A10, 'Point Intercept 1'!A10, "ERROR")</f>
        <v>1</v>
      </c>
      <c r="B10" s="9">
        <f>if('Point Intercept 1'!B10 = 'Point Intercept 2'!B10, 'Point Intercept 1'!B10, "ERROR")</f>
        <v>2025</v>
      </c>
      <c r="C10" s="13">
        <f>if('Point Intercept 1'!C10 = 'Point Intercept 2'!C10, 'Point Intercept 1'!C10, "ERROR")</f>
        <v>45764</v>
      </c>
      <c r="D10" s="9" t="str">
        <f>if('Point Intercept 1'!D10 = 'Point Intercept 2'!D10, 'Point Intercept 1'!D10, "ERROR")</f>
        <v>TL, CG, BN</v>
      </c>
      <c r="E10" s="9" t="str">
        <f>if('Point Intercept 1'!E10 = 'Point Intercept 2'!E10, 'Point Intercept 1'!E10, "ERROR")</f>
        <v>VB</v>
      </c>
      <c r="F10" s="9">
        <f>if('Point Intercept 1'!F10 = 'Point Intercept 2'!F10, 'Point Intercept 1'!F10, "ERROR")</f>
        <v>1</v>
      </c>
      <c r="G10" s="9" t="str">
        <f>if('Point Intercept 1'!G10 = 'Point Intercept 2'!G10, 'Point Intercept 1'!G10, "ERROR")</f>
        <v>LS</v>
      </c>
      <c r="H10" s="9">
        <f>if('Point Intercept 1'!I10 = 'Point Intercept 2'!I10, 'Point Intercept 1'!I10, "ERROR")</f>
        <v>2</v>
      </c>
      <c r="I10" s="9">
        <f>if('Point Intercept 1'!H10 = 'Point Intercept 2'!H10, 'Point Intercept 1'!H10, "ERROR")</f>
        <v>1</v>
      </c>
      <c r="J10" s="9">
        <f>if('Point Intercept 1'!J10 = 'Point Intercept 2'!J10, 'Point Intercept 1'!J10, "ERROR")</f>
        <v>0.5</v>
      </c>
      <c r="K10" s="9" t="str">
        <f>if('Point Intercept 1'!K10 = 'Point Intercept 2'!K10, 'Point Intercept 1'!K10, "ERROR")</f>
        <v>UNKNNGRASS</v>
      </c>
      <c r="L10" s="9" t="str">
        <f>if('Point Intercept 1'!L10 = 'Point Intercept 2'!L10, 'Point Intercept 1'!L10, "ERROR")</f>
        <v>Unknown non-native grass</v>
      </c>
      <c r="M10" s="9" t="str">
        <f>if('Point Intercept 1'!N10 = 'Point Intercept 2'!M10, 'Point Intercept 1'!N10, "ERROR")</f>
        <v/>
      </c>
      <c r="N10" s="9" t="str">
        <f>if('Point Intercept 1'!O10 = 'Point Intercept 2'!N10, 'Point Intercept 1'!O10, "ERROR")</f>
        <v/>
      </c>
      <c r="O10" s="9" t="str">
        <f>if('Point Intercept 1'!P10 = 'Point Intercept 2'!O10, 'Point Intercept 1'!P10, "ERROR")</f>
        <v/>
      </c>
    </row>
    <row r="11">
      <c r="A11" s="9">
        <f>if('Point Intercept 1'!A11 = 'Point Intercept 2'!A11, 'Point Intercept 1'!A11, "ERROR")</f>
        <v>1</v>
      </c>
      <c r="B11" s="9">
        <f>if('Point Intercept 1'!B11 = 'Point Intercept 2'!B11, 'Point Intercept 1'!B11, "ERROR")</f>
        <v>2025</v>
      </c>
      <c r="C11" s="13">
        <f>if('Point Intercept 1'!C11 = 'Point Intercept 2'!C11, 'Point Intercept 1'!C11, "ERROR")</f>
        <v>45764</v>
      </c>
      <c r="D11" s="9" t="str">
        <f>if('Point Intercept 1'!D11 = 'Point Intercept 2'!D11, 'Point Intercept 1'!D11, "ERROR")</f>
        <v>TL, CG, BN</v>
      </c>
      <c r="E11" s="9" t="str">
        <f>if('Point Intercept 1'!E11 = 'Point Intercept 2'!E11, 'Point Intercept 1'!E11, "ERROR")</f>
        <v>VB</v>
      </c>
      <c r="F11" s="9">
        <f>if('Point Intercept 1'!F11 = 'Point Intercept 2'!F11, 'Point Intercept 1'!F11, "ERROR")</f>
        <v>1</v>
      </c>
      <c r="G11" s="9" t="str">
        <f>if('Point Intercept 1'!G11 = 'Point Intercept 2'!G11, 'Point Intercept 1'!G11, "ERROR")</f>
        <v>LS</v>
      </c>
      <c r="H11" s="9">
        <f>if('Point Intercept 1'!I11 = 'Point Intercept 2'!I11, 'Point Intercept 1'!I11, "ERROR")</f>
        <v>3</v>
      </c>
      <c r="I11" s="9">
        <f>if('Point Intercept 1'!H11 = 'Point Intercept 2'!H11, 'Point Intercept 1'!H11, "ERROR")</f>
        <v>1</v>
      </c>
      <c r="J11" s="9">
        <f>if('Point Intercept 1'!J11 = 'Point Intercept 2'!J11, 'Point Intercept 1'!J11, "ERROR")</f>
        <v>1</v>
      </c>
      <c r="K11" s="9" t="str">
        <f>if('Point Intercept 1'!K11 = 'Point Intercept 2'!K11, 'Point Intercept 1'!K11, "ERROR")</f>
        <v>L</v>
      </c>
      <c r="L11" s="9" t="str">
        <f>if('Point Intercept 1'!L11 = 'Point Intercept 2'!L11, 'Point Intercept 1'!L11, "ERROR")</f>
        <v>Litter</v>
      </c>
      <c r="M11" s="9" t="str">
        <f>if('Point Intercept 1'!N11 = 'Point Intercept 2'!M11, 'Point Intercept 1'!N11, "ERROR")</f>
        <v/>
      </c>
      <c r="N11" s="9" t="str">
        <f>if('Point Intercept 1'!O11 = 'Point Intercept 2'!N11, 'Point Intercept 1'!O11, "ERROR")</f>
        <v/>
      </c>
      <c r="O11" s="9" t="str">
        <f>if('Point Intercept 1'!P11 = 'Point Intercept 2'!O11, 'Point Intercept 1'!P11, "ERROR")</f>
        <v/>
      </c>
    </row>
    <row r="12">
      <c r="A12" s="9">
        <f>if('Point Intercept 1'!A12 = 'Point Intercept 2'!A12, 'Point Intercept 1'!A12, "ERROR")</f>
        <v>1</v>
      </c>
      <c r="B12" s="9">
        <f>if('Point Intercept 1'!B12 = 'Point Intercept 2'!B12, 'Point Intercept 1'!B12, "ERROR")</f>
        <v>2025</v>
      </c>
      <c r="C12" s="13">
        <f>if('Point Intercept 1'!C12 = 'Point Intercept 2'!C12, 'Point Intercept 1'!C12, "ERROR")</f>
        <v>45764</v>
      </c>
      <c r="D12" s="9" t="str">
        <f>if('Point Intercept 1'!D12 = 'Point Intercept 2'!D12, 'Point Intercept 1'!D12, "ERROR")</f>
        <v>TL, CG, BN</v>
      </c>
      <c r="E12" s="9" t="str">
        <f>if('Point Intercept 1'!E12 = 'Point Intercept 2'!E12, 'Point Intercept 1'!E12, "ERROR")</f>
        <v>VB</v>
      </c>
      <c r="F12" s="9">
        <f>if('Point Intercept 1'!F12 = 'Point Intercept 2'!F12, 'Point Intercept 1'!F12, "ERROR")</f>
        <v>1</v>
      </c>
      <c r="G12" s="9" t="str">
        <f>if('Point Intercept 1'!G12 = 'Point Intercept 2'!G12, 'Point Intercept 1'!G12, "ERROR")</f>
        <v>LS</v>
      </c>
      <c r="H12" s="9">
        <f>if('Point Intercept 1'!I12 = 'Point Intercept 2'!I12, 'Point Intercept 1'!I12, "ERROR")</f>
        <v>3</v>
      </c>
      <c r="I12" s="9">
        <f>if('Point Intercept 1'!H12 = 'Point Intercept 2'!H12, 'Point Intercept 1'!H12, "ERROR")</f>
        <v>1</v>
      </c>
      <c r="J12" s="9">
        <f>if('Point Intercept 1'!J12 = 'Point Intercept 2'!J12, 'Point Intercept 1'!J12, "ERROR")</f>
        <v>1</v>
      </c>
      <c r="K12" s="9" t="str">
        <f>if('Point Intercept 1'!K12 = 'Point Intercept 2'!K12, 'Point Intercept 1'!K12, "ERROR")</f>
        <v>MEDPOL</v>
      </c>
      <c r="L12" s="9" t="str">
        <f>if('Point Intercept 1'!L12 = 'Point Intercept 2'!L12, 'Point Intercept 1'!L12, "ERROR")</f>
        <v>Medicago polymorpha</v>
      </c>
      <c r="M12" s="9" t="str">
        <f>if('Point Intercept 1'!N12 = 'Point Intercept 2'!M12, 'Point Intercept 1'!N12, "ERROR")</f>
        <v/>
      </c>
      <c r="N12" s="9" t="str">
        <f>if('Point Intercept 1'!O12 = 'Point Intercept 2'!N12, 'Point Intercept 1'!O12, "ERROR")</f>
        <v/>
      </c>
      <c r="O12" s="9" t="str">
        <f>if('Point Intercept 1'!P12 = 'Point Intercept 2'!O12, 'Point Intercept 1'!P12, "ERROR")</f>
        <v/>
      </c>
    </row>
    <row r="13">
      <c r="A13" s="9">
        <f>if('Point Intercept 1'!A13 = 'Point Intercept 2'!A13, 'Point Intercept 1'!A13, "ERROR")</f>
        <v>1</v>
      </c>
      <c r="B13" s="9">
        <f>if('Point Intercept 1'!B13 = 'Point Intercept 2'!B13, 'Point Intercept 1'!B13, "ERROR")</f>
        <v>2025</v>
      </c>
      <c r="C13" s="13">
        <f>if('Point Intercept 1'!C13 = 'Point Intercept 2'!C13, 'Point Intercept 1'!C13, "ERROR")</f>
        <v>45764</v>
      </c>
      <c r="D13" s="9" t="str">
        <f>if('Point Intercept 1'!D13 = 'Point Intercept 2'!D13, 'Point Intercept 1'!D13, "ERROR")</f>
        <v>TL, CG, BN</v>
      </c>
      <c r="E13" s="9" t="str">
        <f>if('Point Intercept 1'!E13 = 'Point Intercept 2'!E13, 'Point Intercept 1'!E13, "ERROR")</f>
        <v>VB</v>
      </c>
      <c r="F13" s="9">
        <f>if('Point Intercept 1'!F13 = 'Point Intercept 2'!F13, 'Point Intercept 1'!F13, "ERROR")</f>
        <v>1</v>
      </c>
      <c r="G13" s="9" t="str">
        <f>if('Point Intercept 1'!G13 = 'Point Intercept 2'!G13, 'Point Intercept 1'!G13, "ERROR")</f>
        <v>LS</v>
      </c>
      <c r="H13" s="9">
        <f>if('Point Intercept 1'!I13 = 'Point Intercept 2'!I13, 'Point Intercept 1'!I13, "ERROR")</f>
        <v>3</v>
      </c>
      <c r="I13" s="9">
        <f>if('Point Intercept 1'!H13 = 'Point Intercept 2'!H13, 'Point Intercept 1'!H13, "ERROR")</f>
        <v>1</v>
      </c>
      <c r="J13" s="9">
        <f>if('Point Intercept 1'!J13 = 'Point Intercept 2'!J13, 'Point Intercept 1'!J13, "ERROR")</f>
        <v>1</v>
      </c>
      <c r="K13" s="9" t="str">
        <f>if('Point Intercept 1'!K13 = 'Point Intercept 2'!K13, 'Point Intercept 1'!K13, "ERROR")</f>
        <v>FESMYU</v>
      </c>
      <c r="L13" s="9" t="str">
        <f>if('Point Intercept 1'!L13 = 'Point Intercept 2'!L13, 'Point Intercept 1'!L13, "ERROR")</f>
        <v>Festuca myuros</v>
      </c>
      <c r="M13" s="9" t="str">
        <f>if('Point Intercept 1'!N13 = 'Point Intercept 2'!M13, 'Point Intercept 1'!N13, "ERROR")</f>
        <v/>
      </c>
      <c r="N13" s="9" t="str">
        <f>if('Point Intercept 1'!O13 = 'Point Intercept 2'!N13, 'Point Intercept 1'!O13, "ERROR")</f>
        <v/>
      </c>
      <c r="O13" s="9" t="str">
        <f>if('Point Intercept 1'!P13 = 'Point Intercept 2'!O13, 'Point Intercept 1'!P13, "ERROR")</f>
        <v/>
      </c>
    </row>
    <row r="14">
      <c r="A14" s="9">
        <f>if('Point Intercept 1'!A14 = 'Point Intercept 2'!A14, 'Point Intercept 1'!A14, "ERROR")</f>
        <v>1</v>
      </c>
      <c r="B14" s="9">
        <f>if('Point Intercept 1'!B14 = 'Point Intercept 2'!B14, 'Point Intercept 1'!B14, "ERROR")</f>
        <v>2025</v>
      </c>
      <c r="C14" s="13">
        <f>if('Point Intercept 1'!C14 = 'Point Intercept 2'!C14, 'Point Intercept 1'!C14, "ERROR")</f>
        <v>45764</v>
      </c>
      <c r="D14" s="9" t="str">
        <f>if('Point Intercept 1'!D14 = 'Point Intercept 2'!D14, 'Point Intercept 1'!D14, "ERROR")</f>
        <v>TL, CG, BN</v>
      </c>
      <c r="E14" s="9" t="str">
        <f>if('Point Intercept 1'!E14 = 'Point Intercept 2'!E14, 'Point Intercept 1'!E14, "ERROR")</f>
        <v>VB</v>
      </c>
      <c r="F14" s="9">
        <f>if('Point Intercept 1'!F14 = 'Point Intercept 2'!F14, 'Point Intercept 1'!F14, "ERROR")</f>
        <v>1</v>
      </c>
      <c r="G14" s="9" t="str">
        <f>if('Point Intercept 1'!G14 = 'Point Intercept 2'!G14, 'Point Intercept 1'!G14, "ERROR")</f>
        <v>LS</v>
      </c>
      <c r="H14" s="9">
        <f>if('Point Intercept 1'!I14 = 'Point Intercept 2'!I14, 'Point Intercept 1'!I14, "ERROR")</f>
        <v>3</v>
      </c>
      <c r="I14" s="9">
        <f>if('Point Intercept 1'!H14 = 'Point Intercept 2'!H14, 'Point Intercept 1'!H14, "ERROR")</f>
        <v>1</v>
      </c>
      <c r="J14" s="9">
        <f>if('Point Intercept 1'!J14 = 'Point Intercept 2'!J14, 'Point Intercept 1'!J14, "ERROR")</f>
        <v>1</v>
      </c>
      <c r="K14" s="9" t="str">
        <f>if('Point Intercept 1'!K14 = 'Point Intercept 2'!K14, 'Point Intercept 1'!K14, "ERROR")</f>
        <v>EROCIC</v>
      </c>
      <c r="L14" s="9" t="str">
        <f>if('Point Intercept 1'!L14 = 'Point Intercept 2'!L14, 'Point Intercept 1'!L14, "ERROR")</f>
        <v>Erodium cicutarium</v>
      </c>
      <c r="M14" s="9" t="str">
        <f>if('Point Intercept 1'!N14 = 'Point Intercept 2'!M14, 'Point Intercept 1'!N14, "ERROR")</f>
        <v/>
      </c>
      <c r="N14" s="9" t="str">
        <f>if('Point Intercept 1'!O14 = 'Point Intercept 2'!N14, 'Point Intercept 1'!O14, "ERROR")</f>
        <v/>
      </c>
      <c r="O14" s="9" t="str">
        <f>if('Point Intercept 1'!P14 = 'Point Intercept 2'!O14, 'Point Intercept 1'!P14, "ERROR")</f>
        <v/>
      </c>
    </row>
    <row r="15">
      <c r="A15" s="9">
        <f>if('Point Intercept 1'!A15 = 'Point Intercept 2'!A15, 'Point Intercept 1'!A15, "ERROR")</f>
        <v>1</v>
      </c>
      <c r="B15" s="9">
        <f>if('Point Intercept 1'!B15 = 'Point Intercept 2'!B15, 'Point Intercept 1'!B15, "ERROR")</f>
        <v>2025</v>
      </c>
      <c r="C15" s="13">
        <f>if('Point Intercept 1'!C15 = 'Point Intercept 2'!C15, 'Point Intercept 1'!C15, "ERROR")</f>
        <v>45764</v>
      </c>
      <c r="D15" s="9" t="str">
        <f>if('Point Intercept 1'!D15 = 'Point Intercept 2'!D15, 'Point Intercept 1'!D15, "ERROR")</f>
        <v>TL, CG, BN</v>
      </c>
      <c r="E15" s="9" t="str">
        <f>if('Point Intercept 1'!E15 = 'Point Intercept 2'!E15, 'Point Intercept 1'!E15, "ERROR")</f>
        <v>VB</v>
      </c>
      <c r="F15" s="9">
        <f>if('Point Intercept 1'!F15 = 'Point Intercept 2'!F15, 'Point Intercept 1'!F15, "ERROR")</f>
        <v>1</v>
      </c>
      <c r="G15" s="9" t="str">
        <f>if('Point Intercept 1'!G15 = 'Point Intercept 2'!G15, 'Point Intercept 1'!G15, "ERROR")</f>
        <v>LS</v>
      </c>
      <c r="H15" s="9">
        <f>if('Point Intercept 1'!I15 = 'Point Intercept 2'!I15, 'Point Intercept 1'!I15, "ERROR")</f>
        <v>4</v>
      </c>
      <c r="I15" s="9">
        <f>if('Point Intercept 1'!H15 = 'Point Intercept 2'!H15, 'Point Intercept 1'!H15, "ERROR")</f>
        <v>1</v>
      </c>
      <c r="J15" s="9">
        <f>if('Point Intercept 1'!J15 = 'Point Intercept 2'!J15, 'Point Intercept 1'!J15, "ERROR")</f>
        <v>1.5</v>
      </c>
      <c r="K15" s="9" t="str">
        <f>if('Point Intercept 1'!K15 = 'Point Intercept 2'!K15, 'Point Intercept 1'!K15, "ERROR")</f>
        <v>L</v>
      </c>
      <c r="L15" s="9" t="str">
        <f>if('Point Intercept 1'!L15 = 'Point Intercept 2'!L15, 'Point Intercept 1'!L15, "ERROR")</f>
        <v>Litter</v>
      </c>
      <c r="M15" s="9" t="str">
        <f>if('Point Intercept 1'!N15 = 'Point Intercept 2'!M15, 'Point Intercept 1'!N15, "ERROR")</f>
        <v/>
      </c>
      <c r="N15" s="9" t="str">
        <f>if('Point Intercept 1'!O15 = 'Point Intercept 2'!N15, 'Point Intercept 1'!O15, "ERROR")</f>
        <v/>
      </c>
      <c r="O15" s="9" t="str">
        <f>if('Point Intercept 1'!P15 = 'Point Intercept 2'!O15, 'Point Intercept 1'!P15, "ERROR")</f>
        <v/>
      </c>
    </row>
    <row r="16">
      <c r="A16" s="9">
        <f>if('Point Intercept 1'!A16 = 'Point Intercept 2'!A16, 'Point Intercept 1'!A16, "ERROR")</f>
        <v>1</v>
      </c>
      <c r="B16" s="9">
        <f>if('Point Intercept 1'!B16 = 'Point Intercept 2'!B16, 'Point Intercept 1'!B16, "ERROR")</f>
        <v>2025</v>
      </c>
      <c r="C16" s="13">
        <f>if('Point Intercept 1'!C16 = 'Point Intercept 2'!C16, 'Point Intercept 1'!C16, "ERROR")</f>
        <v>45764</v>
      </c>
      <c r="D16" s="9" t="str">
        <f>if('Point Intercept 1'!D16 = 'Point Intercept 2'!D16, 'Point Intercept 1'!D16, "ERROR")</f>
        <v>TL, CG, BN</v>
      </c>
      <c r="E16" s="9" t="str">
        <f>if('Point Intercept 1'!E16 = 'Point Intercept 2'!E16, 'Point Intercept 1'!E16, "ERROR")</f>
        <v>VB</v>
      </c>
      <c r="F16" s="9">
        <f>if('Point Intercept 1'!F16 = 'Point Intercept 2'!F16, 'Point Intercept 1'!F16, "ERROR")</f>
        <v>1</v>
      </c>
      <c r="G16" s="9" t="str">
        <f>if('Point Intercept 1'!G16 = 'Point Intercept 2'!G16, 'Point Intercept 1'!G16, "ERROR")</f>
        <v>LS</v>
      </c>
      <c r="H16" s="9">
        <f>if('Point Intercept 1'!I16 = 'Point Intercept 2'!I16, 'Point Intercept 1'!I16, "ERROR")</f>
        <v>4</v>
      </c>
      <c r="I16" s="9">
        <f>if('Point Intercept 1'!H16 = 'Point Intercept 2'!H16, 'Point Intercept 1'!H16, "ERROR")</f>
        <v>1</v>
      </c>
      <c r="J16" s="9">
        <f>if('Point Intercept 1'!J16 = 'Point Intercept 2'!J16, 'Point Intercept 1'!J16, "ERROR")</f>
        <v>1.5</v>
      </c>
      <c r="K16" s="9" t="str">
        <f>if('Point Intercept 1'!K16 = 'Point Intercept 2'!K16, 'Point Intercept 1'!K16, "ERROR")</f>
        <v>OPULIT</v>
      </c>
      <c r="L16" s="9" t="str">
        <f>if('Point Intercept 1'!L16 = 'Point Intercept 2'!L16, 'Point Intercept 1'!L16, "ERROR")</f>
        <v>Opuntia littoralis</v>
      </c>
      <c r="M16" s="9" t="str">
        <f>if('Point Intercept 1'!N16 = 'Point Intercept 2'!M16, 'Point Intercept 1'!N16, "ERROR")</f>
        <v/>
      </c>
      <c r="N16" s="9" t="str">
        <f>if('Point Intercept 1'!O16 = 'Point Intercept 2'!N16, 'Point Intercept 1'!O16, "ERROR")</f>
        <v/>
      </c>
      <c r="O16" s="9" t="str">
        <f>if('Point Intercept 1'!P16 = 'Point Intercept 2'!O16, 'Point Intercept 1'!P16, "ERROR")</f>
        <v/>
      </c>
    </row>
    <row r="17">
      <c r="A17" s="9">
        <f>if('Point Intercept 1'!A17 = 'Point Intercept 2'!A17, 'Point Intercept 1'!A17, "ERROR")</f>
        <v>1</v>
      </c>
      <c r="B17" s="9">
        <f>if('Point Intercept 1'!B17 = 'Point Intercept 2'!B17, 'Point Intercept 1'!B17, "ERROR")</f>
        <v>2025</v>
      </c>
      <c r="C17" s="13">
        <f>if('Point Intercept 1'!C17 = 'Point Intercept 2'!C17, 'Point Intercept 1'!C17, "ERROR")</f>
        <v>45764</v>
      </c>
      <c r="D17" s="9" t="str">
        <f>if('Point Intercept 1'!D17 = 'Point Intercept 2'!D17, 'Point Intercept 1'!D17, "ERROR")</f>
        <v>TL, CG, BN</v>
      </c>
      <c r="E17" s="9" t="str">
        <f>if('Point Intercept 1'!E17 = 'Point Intercept 2'!E17, 'Point Intercept 1'!E17, "ERROR")</f>
        <v>VB</v>
      </c>
      <c r="F17" s="9">
        <f>if('Point Intercept 1'!F17 = 'Point Intercept 2'!F17, 'Point Intercept 1'!F17, "ERROR")</f>
        <v>1</v>
      </c>
      <c r="G17" s="9" t="str">
        <f>if('Point Intercept 1'!G17 = 'Point Intercept 2'!G17, 'Point Intercept 1'!G17, "ERROR")</f>
        <v>LS</v>
      </c>
      <c r="H17" s="9">
        <f>if('Point Intercept 1'!I17 = 'Point Intercept 2'!I17, 'Point Intercept 1'!I17, "ERROR")</f>
        <v>4</v>
      </c>
      <c r="I17" s="9">
        <f>if('Point Intercept 1'!H17 = 'Point Intercept 2'!H17, 'Point Intercept 1'!H17, "ERROR")</f>
        <v>1</v>
      </c>
      <c r="J17" s="9">
        <f>if('Point Intercept 1'!J17 = 'Point Intercept 2'!J17, 'Point Intercept 1'!J17, "ERROR")</f>
        <v>1.5</v>
      </c>
      <c r="K17" s="9" t="str">
        <f>if('Point Intercept 1'!K17 = 'Point Intercept 2'!K17, 'Point Intercept 1'!K17, "ERROR")</f>
        <v>MEDPOL</v>
      </c>
      <c r="L17" s="9" t="str">
        <f>if('Point Intercept 1'!L17 = 'Point Intercept 2'!L17, 'Point Intercept 1'!L17, "ERROR")</f>
        <v>Medicago polymorpha</v>
      </c>
      <c r="M17" s="9" t="str">
        <f>if('Point Intercept 1'!N17 = 'Point Intercept 2'!M17, 'Point Intercept 1'!N17, "ERROR")</f>
        <v/>
      </c>
      <c r="N17" s="9" t="str">
        <f>if('Point Intercept 1'!O17 = 'Point Intercept 2'!N17, 'Point Intercept 1'!O17, "ERROR")</f>
        <v/>
      </c>
      <c r="O17" s="9" t="str">
        <f>if('Point Intercept 1'!P17 = 'Point Intercept 2'!O17, 'Point Intercept 1'!P17, "ERROR")</f>
        <v/>
      </c>
    </row>
    <row r="18">
      <c r="A18" s="9">
        <f>if('Point Intercept 1'!A18 = 'Point Intercept 2'!A18, 'Point Intercept 1'!A18, "ERROR")</f>
        <v>1</v>
      </c>
      <c r="B18" s="9">
        <f>if('Point Intercept 1'!B18 = 'Point Intercept 2'!B18, 'Point Intercept 1'!B18, "ERROR")</f>
        <v>2025</v>
      </c>
      <c r="C18" s="13">
        <f>if('Point Intercept 1'!C18 = 'Point Intercept 2'!C18, 'Point Intercept 1'!C18, "ERROR")</f>
        <v>45764</v>
      </c>
      <c r="D18" s="9" t="str">
        <f>if('Point Intercept 1'!D18 = 'Point Intercept 2'!D18, 'Point Intercept 1'!D18, "ERROR")</f>
        <v>TL, CG, BN</v>
      </c>
      <c r="E18" s="9" t="str">
        <f>if('Point Intercept 1'!E18 = 'Point Intercept 2'!E18, 'Point Intercept 1'!E18, "ERROR")</f>
        <v>VB</v>
      </c>
      <c r="F18" s="9">
        <f>if('Point Intercept 1'!F18 = 'Point Intercept 2'!F18, 'Point Intercept 1'!F18, "ERROR")</f>
        <v>1</v>
      </c>
      <c r="G18" s="9" t="str">
        <f>if('Point Intercept 1'!G18 = 'Point Intercept 2'!G18, 'Point Intercept 1'!G18, "ERROR")</f>
        <v>LS</v>
      </c>
      <c r="H18" s="9">
        <f>if('Point Intercept 1'!I18 = 'Point Intercept 2'!I18, 'Point Intercept 1'!I18, "ERROR")</f>
        <v>4</v>
      </c>
      <c r="I18" s="9">
        <f>if('Point Intercept 1'!H18 = 'Point Intercept 2'!H18, 'Point Intercept 1'!H18, "ERROR")</f>
        <v>1</v>
      </c>
      <c r="J18" s="9">
        <f>if('Point Intercept 1'!J18 = 'Point Intercept 2'!J18, 'Point Intercept 1'!J18, "ERROR")</f>
        <v>1.5</v>
      </c>
      <c r="K18" s="9" t="str">
        <f>if('Point Intercept 1'!K18 = 'Point Intercept 2'!K18, 'Point Intercept 1'!K18, "ERROR")</f>
        <v>DEIFAS</v>
      </c>
      <c r="L18" s="9" t="str">
        <f>if('Point Intercept 1'!L18 = 'Point Intercept 2'!L18, 'Point Intercept 1'!L18, "ERROR")</f>
        <v>Deinandra fasciculata</v>
      </c>
      <c r="M18" s="9" t="str">
        <f>if('Point Intercept 1'!N18 = 'Point Intercept 2'!M18, 'Point Intercept 1'!N18, "ERROR")</f>
        <v/>
      </c>
      <c r="N18" s="9" t="str">
        <f>if('Point Intercept 1'!O18 = 'Point Intercept 2'!N18, 'Point Intercept 1'!O18, "ERROR")</f>
        <v/>
      </c>
      <c r="O18" s="9" t="str">
        <f>if('Point Intercept 1'!P18 = 'Point Intercept 2'!O18, 'Point Intercept 1'!P18, "ERROR")</f>
        <v/>
      </c>
    </row>
    <row r="19">
      <c r="A19" s="9">
        <f>if('Point Intercept 1'!A19 = 'Point Intercept 2'!A19, 'Point Intercept 1'!A19, "ERROR")</f>
        <v>1</v>
      </c>
      <c r="B19" s="9">
        <f>if('Point Intercept 1'!B19 = 'Point Intercept 2'!B19, 'Point Intercept 1'!B19, "ERROR")</f>
        <v>2025</v>
      </c>
      <c r="C19" s="13">
        <f>if('Point Intercept 1'!C19 = 'Point Intercept 2'!C19, 'Point Intercept 1'!C19, "ERROR")</f>
        <v>45764</v>
      </c>
      <c r="D19" s="9" t="str">
        <f>if('Point Intercept 1'!D19 = 'Point Intercept 2'!D19, 'Point Intercept 1'!D19, "ERROR")</f>
        <v>TL, CG, BN</v>
      </c>
      <c r="E19" s="9" t="str">
        <f>if('Point Intercept 1'!E19 = 'Point Intercept 2'!E19, 'Point Intercept 1'!E19, "ERROR")</f>
        <v>VB</v>
      </c>
      <c r="F19" s="9">
        <f>if('Point Intercept 1'!F19 = 'Point Intercept 2'!F19, 'Point Intercept 1'!F19, "ERROR")</f>
        <v>1</v>
      </c>
      <c r="G19" s="9" t="str">
        <f>if('Point Intercept 1'!G19 = 'Point Intercept 2'!G19, 'Point Intercept 1'!G19, "ERROR")</f>
        <v>LS</v>
      </c>
      <c r="H19" s="9">
        <f>if('Point Intercept 1'!I19 = 'Point Intercept 2'!I19, 'Point Intercept 1'!I19, "ERROR")</f>
        <v>5</v>
      </c>
      <c r="I19" s="9">
        <f>if('Point Intercept 1'!H19 = 'Point Intercept 2'!H19, 'Point Intercept 1'!H19, "ERROR")</f>
        <v>1</v>
      </c>
      <c r="J19" s="9">
        <f>if('Point Intercept 1'!J19 = 'Point Intercept 2'!J19, 'Point Intercept 1'!J19, "ERROR")</f>
        <v>2</v>
      </c>
      <c r="K19" s="9" t="str">
        <f>if('Point Intercept 1'!K19 = 'Point Intercept 2'!K19, 'Point Intercept 1'!K19, "ERROR")</f>
        <v>L</v>
      </c>
      <c r="L19" s="9" t="str">
        <f>if('Point Intercept 1'!L19 = 'Point Intercept 2'!L19, 'Point Intercept 1'!L19, "ERROR")</f>
        <v>Litter</v>
      </c>
      <c r="M19" s="9" t="str">
        <f>if('Point Intercept 1'!N19 = 'Point Intercept 2'!M19, 'Point Intercept 1'!N19, "ERROR")</f>
        <v/>
      </c>
      <c r="N19" s="9" t="str">
        <f>if('Point Intercept 1'!O19 = 'Point Intercept 2'!N19, 'Point Intercept 1'!O19, "ERROR")</f>
        <v/>
      </c>
      <c r="O19" s="9" t="str">
        <f>if('Point Intercept 1'!P19 = 'Point Intercept 2'!O19, 'Point Intercept 1'!P19, "ERROR")</f>
        <v/>
      </c>
    </row>
    <row r="20">
      <c r="A20" s="9">
        <f>if('Point Intercept 1'!A20 = 'Point Intercept 2'!A20, 'Point Intercept 1'!A20, "ERROR")</f>
        <v>1</v>
      </c>
      <c r="B20" s="9">
        <f>if('Point Intercept 1'!B20 = 'Point Intercept 2'!B20, 'Point Intercept 1'!B20, "ERROR")</f>
        <v>2025</v>
      </c>
      <c r="C20" s="13">
        <f>if('Point Intercept 1'!C20 = 'Point Intercept 2'!C20, 'Point Intercept 1'!C20, "ERROR")</f>
        <v>45764</v>
      </c>
      <c r="D20" s="9" t="str">
        <f>if('Point Intercept 1'!D20 = 'Point Intercept 2'!D20, 'Point Intercept 1'!D20, "ERROR")</f>
        <v>TL, CG, BN</v>
      </c>
      <c r="E20" s="9" t="str">
        <f>if('Point Intercept 1'!E20 = 'Point Intercept 2'!E20, 'Point Intercept 1'!E20, "ERROR")</f>
        <v>VB</v>
      </c>
      <c r="F20" s="9">
        <f>if('Point Intercept 1'!F20 = 'Point Intercept 2'!F20, 'Point Intercept 1'!F20, "ERROR")</f>
        <v>1</v>
      </c>
      <c r="G20" s="9" t="str">
        <f>if('Point Intercept 1'!G20 = 'Point Intercept 2'!G20, 'Point Intercept 1'!G20, "ERROR")</f>
        <v>LS</v>
      </c>
      <c r="H20" s="9">
        <f>if('Point Intercept 1'!I20 = 'Point Intercept 2'!I20, 'Point Intercept 1'!I20, "ERROR")</f>
        <v>5</v>
      </c>
      <c r="I20" s="9">
        <f>if('Point Intercept 1'!H20 = 'Point Intercept 2'!H20, 'Point Intercept 1'!H20, "ERROR")</f>
        <v>1</v>
      </c>
      <c r="J20" s="9">
        <f>if('Point Intercept 1'!J20 = 'Point Intercept 2'!J20, 'Point Intercept 1'!J20, "ERROR")</f>
        <v>2</v>
      </c>
      <c r="K20" s="9" t="str">
        <f>if('Point Intercept 1'!K20 = 'Point Intercept 2'!K20, 'Point Intercept 1'!K20, "ERROR")</f>
        <v>OPULIT</v>
      </c>
      <c r="L20" s="9" t="str">
        <f>if('Point Intercept 1'!L20 = 'Point Intercept 2'!L20, 'Point Intercept 1'!L20, "ERROR")</f>
        <v>Opuntia littoralis</v>
      </c>
      <c r="M20" s="9" t="str">
        <f>if('Point Intercept 1'!N20 = 'Point Intercept 2'!M20, 'Point Intercept 1'!N20, "ERROR")</f>
        <v/>
      </c>
      <c r="N20" s="9" t="str">
        <f>if('Point Intercept 1'!O20 = 'Point Intercept 2'!N20, 'Point Intercept 1'!O20, "ERROR")</f>
        <v/>
      </c>
      <c r="O20" s="9" t="str">
        <f>if('Point Intercept 1'!P20 = 'Point Intercept 2'!O20, 'Point Intercept 1'!P20, "ERROR")</f>
        <v/>
      </c>
    </row>
    <row r="21">
      <c r="A21" s="9">
        <f>if('Point Intercept 1'!A21 = 'Point Intercept 2'!A21, 'Point Intercept 1'!A21, "ERROR")</f>
        <v>1</v>
      </c>
      <c r="B21" s="9">
        <f>if('Point Intercept 1'!B21 = 'Point Intercept 2'!B21, 'Point Intercept 1'!B21, "ERROR")</f>
        <v>2025</v>
      </c>
      <c r="C21" s="13">
        <f>if('Point Intercept 1'!C21 = 'Point Intercept 2'!C21, 'Point Intercept 1'!C21, "ERROR")</f>
        <v>45764</v>
      </c>
      <c r="D21" s="9" t="str">
        <f>if('Point Intercept 1'!D21 = 'Point Intercept 2'!D21, 'Point Intercept 1'!D21, "ERROR")</f>
        <v>TL, CG, BN</v>
      </c>
      <c r="E21" s="9" t="str">
        <f>if('Point Intercept 1'!E21 = 'Point Intercept 2'!E21, 'Point Intercept 1'!E21, "ERROR")</f>
        <v>VB</v>
      </c>
      <c r="F21" s="9">
        <f>if('Point Intercept 1'!F21 = 'Point Intercept 2'!F21, 'Point Intercept 1'!F21, "ERROR")</f>
        <v>1</v>
      </c>
      <c r="G21" s="9" t="str">
        <f>if('Point Intercept 1'!G21 = 'Point Intercept 2'!G21, 'Point Intercept 1'!G21, "ERROR")</f>
        <v>LS</v>
      </c>
      <c r="H21" s="9">
        <f>if('Point Intercept 1'!I21 = 'Point Intercept 2'!I21, 'Point Intercept 1'!I21, "ERROR")</f>
        <v>5</v>
      </c>
      <c r="I21" s="9">
        <f>if('Point Intercept 1'!H21 = 'Point Intercept 2'!H21, 'Point Intercept 1'!H21, "ERROR")</f>
        <v>1</v>
      </c>
      <c r="J21" s="9">
        <f>if('Point Intercept 1'!J21 = 'Point Intercept 2'!J21, 'Point Intercept 1'!J21, "ERROR")</f>
        <v>2</v>
      </c>
      <c r="K21" s="9" t="str">
        <f>if('Point Intercept 1'!K21 = 'Point Intercept 2'!K21, 'Point Intercept 1'!K21, "ERROR")</f>
        <v>BROMAD</v>
      </c>
      <c r="L21" s="9" t="str">
        <f>if('Point Intercept 1'!L21 = 'Point Intercept 2'!L21, 'Point Intercept 1'!L21, "ERROR")</f>
        <v>Bromus madritensis</v>
      </c>
      <c r="M21" s="9" t="str">
        <f>if('Point Intercept 1'!N21 = 'Point Intercept 2'!M21, 'Point Intercept 1'!N21, "ERROR")</f>
        <v/>
      </c>
      <c r="N21" s="9" t="str">
        <f>if('Point Intercept 1'!O21 = 'Point Intercept 2'!N21, 'Point Intercept 1'!O21, "ERROR")</f>
        <v/>
      </c>
      <c r="O21" s="9" t="str">
        <f>if('Point Intercept 1'!P21 = 'Point Intercept 2'!O21, 'Point Intercept 1'!P21, "ERROR")</f>
        <v/>
      </c>
    </row>
    <row r="22">
      <c r="A22" s="9">
        <f>if('Point Intercept 1'!A22 = 'Point Intercept 2'!A22, 'Point Intercept 1'!A22, "ERROR")</f>
        <v>1</v>
      </c>
      <c r="B22" s="9">
        <f>if('Point Intercept 1'!B22 = 'Point Intercept 2'!B22, 'Point Intercept 1'!B22, "ERROR")</f>
        <v>2025</v>
      </c>
      <c r="C22" s="13">
        <f>if('Point Intercept 1'!C22 = 'Point Intercept 2'!C22, 'Point Intercept 1'!C22, "ERROR")</f>
        <v>45764</v>
      </c>
      <c r="D22" s="9" t="str">
        <f>if('Point Intercept 1'!D22 = 'Point Intercept 2'!D22, 'Point Intercept 1'!D22, "ERROR")</f>
        <v>TL, CG, BN</v>
      </c>
      <c r="E22" s="9" t="str">
        <f>if('Point Intercept 1'!E22 = 'Point Intercept 2'!E22, 'Point Intercept 1'!E22, "ERROR")</f>
        <v>VB</v>
      </c>
      <c r="F22" s="9">
        <f>if('Point Intercept 1'!F22 = 'Point Intercept 2'!F22, 'Point Intercept 1'!F22, "ERROR")</f>
        <v>1</v>
      </c>
      <c r="G22" s="9" t="str">
        <f>if('Point Intercept 1'!G22 = 'Point Intercept 2'!G22, 'Point Intercept 1'!G22, "ERROR")</f>
        <v>LS</v>
      </c>
      <c r="H22" s="9">
        <f>if('Point Intercept 1'!I22 = 'Point Intercept 2'!I22, 'Point Intercept 1'!I22, "ERROR")</f>
        <v>5</v>
      </c>
      <c r="I22" s="9">
        <f>if('Point Intercept 1'!H22 = 'Point Intercept 2'!H22, 'Point Intercept 1'!H22, "ERROR")</f>
        <v>1</v>
      </c>
      <c r="J22" s="9">
        <f>if('Point Intercept 1'!J22 = 'Point Intercept 2'!J22, 'Point Intercept 1'!J22, "ERROR")</f>
        <v>2</v>
      </c>
      <c r="K22" s="9" t="str">
        <f>if('Point Intercept 1'!K22 = 'Point Intercept 2'!K22, 'Point Intercept 1'!K22, "ERROR")</f>
        <v>EROMOS</v>
      </c>
      <c r="L22" s="9" t="str">
        <f>if('Point Intercept 1'!L22 = 'Point Intercept 2'!L22, 'Point Intercept 1'!L22, "ERROR")</f>
        <v>Erodium moschatum</v>
      </c>
      <c r="M22" s="9" t="str">
        <f>if('Point Intercept 1'!N22 = 'Point Intercept 2'!M22, 'Point Intercept 1'!N22, "ERROR")</f>
        <v/>
      </c>
      <c r="N22" s="9" t="str">
        <f>if('Point Intercept 1'!O22 = 'Point Intercept 2'!N22, 'Point Intercept 1'!O22, "ERROR")</f>
        <v/>
      </c>
      <c r="O22" s="9" t="str">
        <f>if('Point Intercept 1'!P22 = 'Point Intercept 2'!O22, 'Point Intercept 1'!P22, "ERROR")</f>
        <v/>
      </c>
    </row>
    <row r="23">
      <c r="A23" s="9">
        <f>if('Point Intercept 1'!A23 = 'Point Intercept 2'!A23, 'Point Intercept 1'!A23, "ERROR")</f>
        <v>1</v>
      </c>
      <c r="B23" s="9">
        <f>if('Point Intercept 1'!B23 = 'Point Intercept 2'!B23, 'Point Intercept 1'!B23, "ERROR")</f>
        <v>2025</v>
      </c>
      <c r="C23" s="13">
        <f>if('Point Intercept 1'!C23 = 'Point Intercept 2'!C23, 'Point Intercept 1'!C23, "ERROR")</f>
        <v>45764</v>
      </c>
      <c r="D23" s="9" t="str">
        <f>if('Point Intercept 1'!D23 = 'Point Intercept 2'!D23, 'Point Intercept 1'!D23, "ERROR")</f>
        <v>TL, CG, BN</v>
      </c>
      <c r="E23" s="9" t="str">
        <f>if('Point Intercept 1'!E23 = 'Point Intercept 2'!E23, 'Point Intercept 1'!E23, "ERROR")</f>
        <v>VB</v>
      </c>
      <c r="F23" s="9">
        <f>if('Point Intercept 1'!F23 = 'Point Intercept 2'!F23, 'Point Intercept 1'!F23, "ERROR")</f>
        <v>1</v>
      </c>
      <c r="G23" s="9" t="str">
        <f>if('Point Intercept 1'!G23 = 'Point Intercept 2'!G23, 'Point Intercept 1'!G23, "ERROR")</f>
        <v>LS</v>
      </c>
      <c r="H23" s="9">
        <f>if('Point Intercept 1'!I23 = 'Point Intercept 2'!I23, 'Point Intercept 1'!I23, "ERROR")</f>
        <v>6</v>
      </c>
      <c r="I23" s="9">
        <f>if('Point Intercept 1'!H23 = 'Point Intercept 2'!H23, 'Point Intercept 1'!H23, "ERROR")</f>
        <v>1</v>
      </c>
      <c r="J23" s="9">
        <f>if('Point Intercept 1'!J23 = 'Point Intercept 2'!J23, 'Point Intercept 1'!J23, "ERROR")</f>
        <v>2.5</v>
      </c>
      <c r="K23" s="9" t="str">
        <f>if('Point Intercept 1'!K23 = 'Point Intercept 2'!K23, 'Point Intercept 1'!K23, "ERROR")</f>
        <v>L</v>
      </c>
      <c r="L23" s="9" t="str">
        <f>if('Point Intercept 1'!L23 = 'Point Intercept 2'!L23, 'Point Intercept 1'!L23, "ERROR")</f>
        <v>Litter</v>
      </c>
      <c r="M23" s="9" t="str">
        <f>if('Point Intercept 1'!N23 = 'Point Intercept 2'!M23, 'Point Intercept 1'!N23, "ERROR")</f>
        <v/>
      </c>
      <c r="N23" s="9" t="str">
        <f>if('Point Intercept 1'!O23 = 'Point Intercept 2'!N23, 'Point Intercept 1'!O23, "ERROR")</f>
        <v/>
      </c>
      <c r="O23" s="9" t="str">
        <f>if('Point Intercept 1'!P23 = 'Point Intercept 2'!O23, 'Point Intercept 1'!P23, "ERROR")</f>
        <v/>
      </c>
    </row>
    <row r="24">
      <c r="A24" s="9">
        <f>if('Point Intercept 1'!A24 = 'Point Intercept 2'!A24, 'Point Intercept 1'!A24, "ERROR")</f>
        <v>1</v>
      </c>
      <c r="B24" s="9">
        <f>if('Point Intercept 1'!B24 = 'Point Intercept 2'!B24, 'Point Intercept 1'!B24, "ERROR")</f>
        <v>2025</v>
      </c>
      <c r="C24" s="13">
        <f>if('Point Intercept 1'!C24 = 'Point Intercept 2'!C24, 'Point Intercept 1'!C24, "ERROR")</f>
        <v>45764</v>
      </c>
      <c r="D24" s="9" t="str">
        <f>if('Point Intercept 1'!D24 = 'Point Intercept 2'!D24, 'Point Intercept 1'!D24, "ERROR")</f>
        <v>TL, CG, BN</v>
      </c>
      <c r="E24" s="9" t="str">
        <f>if('Point Intercept 1'!E24 = 'Point Intercept 2'!E24, 'Point Intercept 1'!E24, "ERROR")</f>
        <v>VB</v>
      </c>
      <c r="F24" s="9">
        <f>if('Point Intercept 1'!F24 = 'Point Intercept 2'!F24, 'Point Intercept 1'!F24, "ERROR")</f>
        <v>1</v>
      </c>
      <c r="G24" s="9" t="str">
        <f>if('Point Intercept 1'!G24 = 'Point Intercept 2'!G24, 'Point Intercept 1'!G24, "ERROR")</f>
        <v>LS</v>
      </c>
      <c r="H24" s="9">
        <f>if('Point Intercept 1'!I24 = 'Point Intercept 2'!I24, 'Point Intercept 1'!I24, "ERROR")</f>
        <v>6</v>
      </c>
      <c r="I24" s="9">
        <f>if('Point Intercept 1'!H24 = 'Point Intercept 2'!H24, 'Point Intercept 1'!H24, "ERROR")</f>
        <v>1</v>
      </c>
      <c r="J24" s="9">
        <f>if('Point Intercept 1'!J24 = 'Point Intercept 2'!J24, 'Point Intercept 1'!J24, "ERROR")</f>
        <v>2.5</v>
      </c>
      <c r="K24" s="9" t="str">
        <f>if('Point Intercept 1'!K24 = 'Point Intercept 2'!K24, 'Point Intercept 1'!K24, "ERROR")</f>
        <v>SONOLE</v>
      </c>
      <c r="L24" s="9" t="str">
        <f>if('Point Intercept 1'!L24 = 'Point Intercept 2'!L24, 'Point Intercept 1'!L24, "ERROR")</f>
        <v>Sonchus oleraceus</v>
      </c>
      <c r="M24" s="9" t="str">
        <f>if('Point Intercept 1'!N24 = 'Point Intercept 2'!M24, 'Point Intercept 1'!N24, "ERROR")</f>
        <v/>
      </c>
      <c r="N24" s="9" t="str">
        <f>if('Point Intercept 1'!O24 = 'Point Intercept 2'!N24, 'Point Intercept 1'!O24, "ERROR")</f>
        <v/>
      </c>
      <c r="O24" s="9" t="str">
        <f>if('Point Intercept 1'!P24 = 'Point Intercept 2'!O24, 'Point Intercept 1'!P24, "ERROR")</f>
        <v/>
      </c>
    </row>
    <row r="25">
      <c r="A25" s="9">
        <f>if('Point Intercept 1'!A25 = 'Point Intercept 2'!A25, 'Point Intercept 1'!A25, "ERROR")</f>
        <v>1</v>
      </c>
      <c r="B25" s="9">
        <f>if('Point Intercept 1'!B25 = 'Point Intercept 2'!B25, 'Point Intercept 1'!B25, "ERROR")</f>
        <v>2025</v>
      </c>
      <c r="C25" s="13">
        <f>if('Point Intercept 1'!C25 = 'Point Intercept 2'!C25, 'Point Intercept 1'!C25, "ERROR")</f>
        <v>45764</v>
      </c>
      <c r="D25" s="9" t="str">
        <f>if('Point Intercept 1'!D25 = 'Point Intercept 2'!D25, 'Point Intercept 1'!D25, "ERROR")</f>
        <v>TL, CG, BN</v>
      </c>
      <c r="E25" s="9" t="str">
        <f>if('Point Intercept 1'!E25 = 'Point Intercept 2'!E25, 'Point Intercept 1'!E25, "ERROR")</f>
        <v>VB</v>
      </c>
      <c r="F25" s="9">
        <f>if('Point Intercept 1'!F25 = 'Point Intercept 2'!F25, 'Point Intercept 1'!F25, "ERROR")</f>
        <v>1</v>
      </c>
      <c r="G25" s="9" t="str">
        <f>if('Point Intercept 1'!G25 = 'Point Intercept 2'!G25, 'Point Intercept 1'!G25, "ERROR")</f>
        <v>LS</v>
      </c>
      <c r="H25" s="9">
        <f>if('Point Intercept 1'!I25 = 'Point Intercept 2'!I25, 'Point Intercept 1'!I25, "ERROR")</f>
        <v>6</v>
      </c>
      <c r="I25" s="9">
        <f>if('Point Intercept 1'!H25 = 'Point Intercept 2'!H25, 'Point Intercept 1'!H25, "ERROR")</f>
        <v>1</v>
      </c>
      <c r="J25" s="9">
        <f>if('Point Intercept 1'!J25 = 'Point Intercept 2'!J25, 'Point Intercept 1'!J25, "ERROR")</f>
        <v>2.5</v>
      </c>
      <c r="K25" s="9" t="str">
        <f>if('Point Intercept 1'!K25 = 'Point Intercept 2'!K25, 'Point Intercept 1'!K25, "ERROR")</f>
        <v>FESMYU</v>
      </c>
      <c r="L25" s="9" t="str">
        <f>if('Point Intercept 1'!L25 = 'Point Intercept 2'!L25, 'Point Intercept 1'!L25, "ERROR")</f>
        <v>Festuca myuros</v>
      </c>
      <c r="M25" s="9" t="str">
        <f>if('Point Intercept 1'!N25 = 'Point Intercept 2'!M25, 'Point Intercept 1'!N25, "ERROR")</f>
        <v/>
      </c>
      <c r="N25" s="9" t="str">
        <f>if('Point Intercept 1'!O25 = 'Point Intercept 2'!N25, 'Point Intercept 1'!O25, "ERROR")</f>
        <v/>
      </c>
      <c r="O25" s="9" t="str">
        <f>if('Point Intercept 1'!P25 = 'Point Intercept 2'!O25, 'Point Intercept 1'!P25, "ERROR")</f>
        <v/>
      </c>
    </row>
    <row r="26">
      <c r="A26" s="9">
        <f>if('Point Intercept 1'!A26 = 'Point Intercept 2'!A26, 'Point Intercept 1'!A26, "ERROR")</f>
        <v>1</v>
      </c>
      <c r="B26" s="9">
        <f>if('Point Intercept 1'!B26 = 'Point Intercept 2'!B26, 'Point Intercept 1'!B26, "ERROR")</f>
        <v>2025</v>
      </c>
      <c r="C26" s="13">
        <f>if('Point Intercept 1'!C26 = 'Point Intercept 2'!C26, 'Point Intercept 1'!C26, "ERROR")</f>
        <v>45764</v>
      </c>
      <c r="D26" s="9" t="str">
        <f>if('Point Intercept 1'!D26 = 'Point Intercept 2'!D26, 'Point Intercept 1'!D26, "ERROR")</f>
        <v>TL, CG, BN</v>
      </c>
      <c r="E26" s="9" t="str">
        <f>if('Point Intercept 1'!E26 = 'Point Intercept 2'!E26, 'Point Intercept 1'!E26, "ERROR")</f>
        <v>VB</v>
      </c>
      <c r="F26" s="9">
        <f>if('Point Intercept 1'!F26 = 'Point Intercept 2'!F26, 'Point Intercept 1'!F26, "ERROR")</f>
        <v>1</v>
      </c>
      <c r="G26" s="9" t="str">
        <f>if('Point Intercept 1'!G26 = 'Point Intercept 2'!G26, 'Point Intercept 1'!G26, "ERROR")</f>
        <v>LS</v>
      </c>
      <c r="H26" s="9">
        <f>if('Point Intercept 1'!I26 = 'Point Intercept 2'!I26, 'Point Intercept 1'!I26, "ERROR")</f>
        <v>7</v>
      </c>
      <c r="I26" s="9">
        <f>if('Point Intercept 1'!H26 = 'Point Intercept 2'!H26, 'Point Intercept 1'!H26, "ERROR")</f>
        <v>1</v>
      </c>
      <c r="J26" s="9">
        <f>if('Point Intercept 1'!J26 = 'Point Intercept 2'!J26, 'Point Intercept 1'!J26, "ERROR")</f>
        <v>3</v>
      </c>
      <c r="K26" s="9" t="str">
        <f>if('Point Intercept 1'!K26 = 'Point Intercept 2'!K26, 'Point Intercept 1'!K26, "ERROR")</f>
        <v>TH</v>
      </c>
      <c r="L26" s="9" t="str">
        <f>if('Point Intercept 1'!L26 = 'Point Intercept 2'!L26, 'Point Intercept 1'!L26, "ERROR")</f>
        <v>Thatch</v>
      </c>
      <c r="M26" s="9" t="str">
        <f>if('Point Intercept 1'!N26 = 'Point Intercept 2'!M26, 'Point Intercept 1'!N26, "ERROR")</f>
        <v/>
      </c>
      <c r="N26" s="9" t="str">
        <f>if('Point Intercept 1'!O26 = 'Point Intercept 2'!N26, 'Point Intercept 1'!O26, "ERROR")</f>
        <v/>
      </c>
      <c r="O26" s="9" t="str">
        <f>if('Point Intercept 1'!P26 = 'Point Intercept 2'!O26, 'Point Intercept 1'!P26, "ERROR")</f>
        <v/>
      </c>
    </row>
    <row r="27">
      <c r="A27" s="9">
        <f>if('Point Intercept 1'!A27 = 'Point Intercept 2'!A27, 'Point Intercept 1'!A27, "ERROR")</f>
        <v>1</v>
      </c>
      <c r="B27" s="9">
        <f>if('Point Intercept 1'!B27 = 'Point Intercept 2'!B27, 'Point Intercept 1'!B27, "ERROR")</f>
        <v>2025</v>
      </c>
      <c r="C27" s="13">
        <f>if('Point Intercept 1'!C27 = 'Point Intercept 2'!C27, 'Point Intercept 1'!C27, "ERROR")</f>
        <v>45764</v>
      </c>
      <c r="D27" s="9" t="str">
        <f>if('Point Intercept 1'!D27 = 'Point Intercept 2'!D27, 'Point Intercept 1'!D27, "ERROR")</f>
        <v>TL, CG, BN</v>
      </c>
      <c r="E27" s="9" t="str">
        <f>if('Point Intercept 1'!E27 = 'Point Intercept 2'!E27, 'Point Intercept 1'!E27, "ERROR")</f>
        <v>VB</v>
      </c>
      <c r="F27" s="9">
        <f>if('Point Intercept 1'!F27 = 'Point Intercept 2'!F27, 'Point Intercept 1'!F27, "ERROR")</f>
        <v>1</v>
      </c>
      <c r="G27" s="9" t="str">
        <f>if('Point Intercept 1'!G27 = 'Point Intercept 2'!G27, 'Point Intercept 1'!G27, "ERROR")</f>
        <v>LS</v>
      </c>
      <c r="H27" s="9">
        <f>if('Point Intercept 1'!I27 = 'Point Intercept 2'!I27, 'Point Intercept 1'!I27, "ERROR")</f>
        <v>7</v>
      </c>
      <c r="I27" s="9">
        <f>if('Point Intercept 1'!H27 = 'Point Intercept 2'!H27, 'Point Intercept 1'!H27, "ERROR")</f>
        <v>1</v>
      </c>
      <c r="J27" s="9">
        <f>if('Point Intercept 1'!J27 = 'Point Intercept 2'!J27, 'Point Intercept 1'!J27, "ERROR")</f>
        <v>3</v>
      </c>
      <c r="K27" s="9" t="str">
        <f>if('Point Intercept 1'!K27 = 'Point Intercept 2'!K27, 'Point Intercept 1'!K27, "ERROR")</f>
        <v>FESMYU</v>
      </c>
      <c r="L27" s="9" t="str">
        <f>if('Point Intercept 1'!L27 = 'Point Intercept 2'!L27, 'Point Intercept 1'!L27, "ERROR")</f>
        <v>Festuca myuros</v>
      </c>
      <c r="M27" s="9" t="str">
        <f>if('Point Intercept 1'!N27 = 'Point Intercept 2'!M27, 'Point Intercept 1'!N27, "ERROR")</f>
        <v/>
      </c>
      <c r="N27" s="9" t="str">
        <f>if('Point Intercept 1'!O27 = 'Point Intercept 2'!N27, 'Point Intercept 1'!O27, "ERROR")</f>
        <v/>
      </c>
      <c r="O27" s="9" t="str">
        <f>if('Point Intercept 1'!P27 = 'Point Intercept 2'!O27, 'Point Intercept 1'!P27, "ERROR")</f>
        <v/>
      </c>
    </row>
    <row r="28">
      <c r="A28" s="9">
        <f>if('Point Intercept 1'!A28 = 'Point Intercept 2'!A28, 'Point Intercept 1'!A28, "ERROR")</f>
        <v>1</v>
      </c>
      <c r="B28" s="9">
        <f>if('Point Intercept 1'!B28 = 'Point Intercept 2'!B28, 'Point Intercept 1'!B28, "ERROR")</f>
        <v>2025</v>
      </c>
      <c r="C28" s="13">
        <f>if('Point Intercept 1'!C28 = 'Point Intercept 2'!C28, 'Point Intercept 1'!C28, "ERROR")</f>
        <v>45764</v>
      </c>
      <c r="D28" s="9" t="str">
        <f>if('Point Intercept 1'!D28 = 'Point Intercept 2'!D28, 'Point Intercept 1'!D28, "ERROR")</f>
        <v>TL, CG, BN</v>
      </c>
      <c r="E28" s="9" t="str">
        <f>if('Point Intercept 1'!E28 = 'Point Intercept 2'!E28, 'Point Intercept 1'!E28, "ERROR")</f>
        <v>VB</v>
      </c>
      <c r="F28" s="9">
        <f>if('Point Intercept 1'!F28 = 'Point Intercept 2'!F28, 'Point Intercept 1'!F28, "ERROR")</f>
        <v>1</v>
      </c>
      <c r="G28" s="9" t="str">
        <f>if('Point Intercept 1'!G28 = 'Point Intercept 2'!G28, 'Point Intercept 1'!G28, "ERROR")</f>
        <v>LS</v>
      </c>
      <c r="H28" s="9">
        <f>if('Point Intercept 1'!I28 = 'Point Intercept 2'!I28, 'Point Intercept 1'!I28, "ERROR")</f>
        <v>8</v>
      </c>
      <c r="I28" s="9">
        <f>if('Point Intercept 1'!H28 = 'Point Intercept 2'!H28, 'Point Intercept 1'!H28, "ERROR")</f>
        <v>1</v>
      </c>
      <c r="J28" s="9">
        <f>if('Point Intercept 1'!J28 = 'Point Intercept 2'!J28, 'Point Intercept 1'!J28, "ERROR")</f>
        <v>3.5</v>
      </c>
      <c r="K28" s="9" t="str">
        <f>if('Point Intercept 1'!K28 = 'Point Intercept 2'!K28, 'Point Intercept 1'!K28, "ERROR")</f>
        <v>TH</v>
      </c>
      <c r="L28" s="9" t="str">
        <f>if('Point Intercept 1'!L28 = 'Point Intercept 2'!L28, 'Point Intercept 1'!L28, "ERROR")</f>
        <v>Thatch</v>
      </c>
      <c r="M28" s="9" t="str">
        <f>if('Point Intercept 1'!N28 = 'Point Intercept 2'!M28, 'Point Intercept 1'!N28, "ERROR")</f>
        <v/>
      </c>
      <c r="N28" s="9" t="str">
        <f>if('Point Intercept 1'!O28 = 'Point Intercept 2'!N28, 'Point Intercept 1'!O28, "ERROR")</f>
        <v/>
      </c>
      <c r="O28" s="9" t="str">
        <f>if('Point Intercept 1'!P28 = 'Point Intercept 2'!O28, 'Point Intercept 1'!P28, "ERROR")</f>
        <v/>
      </c>
    </row>
    <row r="29">
      <c r="A29" s="9">
        <f>if('Point Intercept 1'!A29 = 'Point Intercept 2'!A29, 'Point Intercept 1'!A29, "ERROR")</f>
        <v>1</v>
      </c>
      <c r="B29" s="9">
        <f>if('Point Intercept 1'!B29 = 'Point Intercept 2'!B29, 'Point Intercept 1'!B29, "ERROR")</f>
        <v>2025</v>
      </c>
      <c r="C29" s="13">
        <f>if('Point Intercept 1'!C29 = 'Point Intercept 2'!C29, 'Point Intercept 1'!C29, "ERROR")</f>
        <v>45764</v>
      </c>
      <c r="D29" s="9" t="str">
        <f>if('Point Intercept 1'!D29 = 'Point Intercept 2'!D29, 'Point Intercept 1'!D29, "ERROR")</f>
        <v>TL, CG, BN</v>
      </c>
      <c r="E29" s="9" t="str">
        <f>if('Point Intercept 1'!E29 = 'Point Intercept 2'!E29, 'Point Intercept 1'!E29, "ERROR")</f>
        <v>VB</v>
      </c>
      <c r="F29" s="9">
        <f>if('Point Intercept 1'!F29 = 'Point Intercept 2'!F29, 'Point Intercept 1'!F29, "ERROR")</f>
        <v>1</v>
      </c>
      <c r="G29" s="9" t="str">
        <f>if('Point Intercept 1'!G29 = 'Point Intercept 2'!G29, 'Point Intercept 1'!G29, "ERROR")</f>
        <v>LS</v>
      </c>
      <c r="H29" s="9">
        <f>if('Point Intercept 1'!I29 = 'Point Intercept 2'!I29, 'Point Intercept 1'!I29, "ERROR")</f>
        <v>8</v>
      </c>
      <c r="I29" s="9">
        <f>if('Point Intercept 1'!H29 = 'Point Intercept 2'!H29, 'Point Intercept 1'!H29, "ERROR")</f>
        <v>1</v>
      </c>
      <c r="J29" s="9">
        <f>if('Point Intercept 1'!J29 = 'Point Intercept 2'!J29, 'Point Intercept 1'!J29, "ERROR")</f>
        <v>3.5</v>
      </c>
      <c r="K29" s="9" t="str">
        <f>if('Point Intercept 1'!K29 = 'Point Intercept 2'!K29, 'Point Intercept 1'!K29, "ERROR")</f>
        <v>EROMOS</v>
      </c>
      <c r="L29" s="9" t="str">
        <f>if('Point Intercept 1'!L29 = 'Point Intercept 2'!L29, 'Point Intercept 1'!L29, "ERROR")</f>
        <v>Erodium moschatum</v>
      </c>
      <c r="M29" s="9" t="str">
        <f>if('Point Intercept 1'!N29 = 'Point Intercept 2'!M29, 'Point Intercept 1'!N29, "ERROR")</f>
        <v/>
      </c>
      <c r="N29" s="9" t="str">
        <f>if('Point Intercept 1'!O29 = 'Point Intercept 2'!N29, 'Point Intercept 1'!O29, "ERROR")</f>
        <v/>
      </c>
      <c r="O29" s="9" t="str">
        <f>if('Point Intercept 1'!P29 = 'Point Intercept 2'!O29, 'Point Intercept 1'!P29, "ERROR")</f>
        <v/>
      </c>
    </row>
    <row r="30">
      <c r="A30" s="9">
        <f>if('Point Intercept 1'!A30 = 'Point Intercept 2'!A30, 'Point Intercept 1'!A30, "ERROR")</f>
        <v>1</v>
      </c>
      <c r="B30" s="9">
        <f>if('Point Intercept 1'!B30 = 'Point Intercept 2'!B30, 'Point Intercept 1'!B30, "ERROR")</f>
        <v>2025</v>
      </c>
      <c r="C30" s="13">
        <f>if('Point Intercept 1'!C30 = 'Point Intercept 2'!C30, 'Point Intercept 1'!C30, "ERROR")</f>
        <v>45764</v>
      </c>
      <c r="D30" s="9" t="str">
        <f>if('Point Intercept 1'!D30 = 'Point Intercept 2'!D30, 'Point Intercept 1'!D30, "ERROR")</f>
        <v>TL, CG, BN</v>
      </c>
      <c r="E30" s="9" t="str">
        <f>if('Point Intercept 1'!E30 = 'Point Intercept 2'!E30, 'Point Intercept 1'!E30, "ERROR")</f>
        <v>VB</v>
      </c>
      <c r="F30" s="9">
        <f>if('Point Intercept 1'!F30 = 'Point Intercept 2'!F30, 'Point Intercept 1'!F30, "ERROR")</f>
        <v>1</v>
      </c>
      <c r="G30" s="9" t="str">
        <f>if('Point Intercept 1'!G30 = 'Point Intercept 2'!G30, 'Point Intercept 1'!G30, "ERROR")</f>
        <v>LS</v>
      </c>
      <c r="H30" s="9">
        <f>if('Point Intercept 1'!I30 = 'Point Intercept 2'!I30, 'Point Intercept 1'!I30, "ERROR")</f>
        <v>9</v>
      </c>
      <c r="I30" s="9">
        <f>if('Point Intercept 1'!H30 = 'Point Intercept 2'!H30, 'Point Intercept 1'!H30, "ERROR")</f>
        <v>1</v>
      </c>
      <c r="J30" s="9">
        <f>if('Point Intercept 1'!J30 = 'Point Intercept 2'!J30, 'Point Intercept 1'!J30, "ERROR")</f>
        <v>4</v>
      </c>
      <c r="K30" s="9" t="str">
        <f>if('Point Intercept 1'!K30 = 'Point Intercept 2'!K30, 'Point Intercept 1'!K30, "ERROR")</f>
        <v>TH</v>
      </c>
      <c r="L30" s="9" t="str">
        <f>if('Point Intercept 1'!L30 = 'Point Intercept 2'!L30, 'Point Intercept 1'!L30, "ERROR")</f>
        <v>Thatch</v>
      </c>
      <c r="M30" s="9" t="str">
        <f>if('Point Intercept 1'!N30 = 'Point Intercept 2'!M30, 'Point Intercept 1'!N30, "ERROR")</f>
        <v/>
      </c>
      <c r="N30" s="9" t="str">
        <f>if('Point Intercept 1'!O30 = 'Point Intercept 2'!N30, 'Point Intercept 1'!O30, "ERROR")</f>
        <v/>
      </c>
      <c r="O30" s="9" t="str">
        <f>if('Point Intercept 1'!P30 = 'Point Intercept 2'!O30, 'Point Intercept 1'!P30, "ERROR")</f>
        <v/>
      </c>
    </row>
    <row r="31">
      <c r="A31" s="9">
        <f>if('Point Intercept 1'!A31 = 'Point Intercept 2'!A31, 'Point Intercept 1'!A31, "ERROR")</f>
        <v>1</v>
      </c>
      <c r="B31" s="9">
        <f>if('Point Intercept 1'!B31 = 'Point Intercept 2'!B31, 'Point Intercept 1'!B31, "ERROR")</f>
        <v>2025</v>
      </c>
      <c r="C31" s="13">
        <f>if('Point Intercept 1'!C31 = 'Point Intercept 2'!C31, 'Point Intercept 1'!C31, "ERROR")</f>
        <v>45764</v>
      </c>
      <c r="D31" s="9" t="str">
        <f>if('Point Intercept 1'!D31 = 'Point Intercept 2'!D31, 'Point Intercept 1'!D31, "ERROR")</f>
        <v>TL, CG, BN</v>
      </c>
      <c r="E31" s="9" t="str">
        <f>if('Point Intercept 1'!E31 = 'Point Intercept 2'!E31, 'Point Intercept 1'!E31, "ERROR")</f>
        <v>VB</v>
      </c>
      <c r="F31" s="9">
        <f>if('Point Intercept 1'!F31 = 'Point Intercept 2'!F31, 'Point Intercept 1'!F31, "ERROR")</f>
        <v>1</v>
      </c>
      <c r="G31" s="9" t="str">
        <f>if('Point Intercept 1'!G31 = 'Point Intercept 2'!G31, 'Point Intercept 1'!G31, "ERROR")</f>
        <v>LS</v>
      </c>
      <c r="H31" s="9">
        <f>if('Point Intercept 1'!I31 = 'Point Intercept 2'!I31, 'Point Intercept 1'!I31, "ERROR")</f>
        <v>9</v>
      </c>
      <c r="I31" s="9">
        <f>if('Point Intercept 1'!H31 = 'Point Intercept 2'!H31, 'Point Intercept 1'!H31, "ERROR")</f>
        <v>1</v>
      </c>
      <c r="J31" s="9">
        <f>if('Point Intercept 1'!J31 = 'Point Intercept 2'!J31, 'Point Intercept 1'!J31, "ERROR")</f>
        <v>4</v>
      </c>
      <c r="K31" s="9" t="str">
        <f>if('Point Intercept 1'!K31 = 'Point Intercept 2'!K31, 'Point Intercept 1'!K31, "ERROR")</f>
        <v>EROMOS</v>
      </c>
      <c r="L31" s="9" t="str">
        <f>if('Point Intercept 1'!L31 = 'Point Intercept 2'!L31, 'Point Intercept 1'!L31, "ERROR")</f>
        <v>Erodium moschatum</v>
      </c>
      <c r="M31" s="9" t="str">
        <f>if('Point Intercept 1'!N31 = 'Point Intercept 2'!M31, 'Point Intercept 1'!N31, "ERROR")</f>
        <v/>
      </c>
      <c r="N31" s="9" t="str">
        <f>if('Point Intercept 1'!O31 = 'Point Intercept 2'!N31, 'Point Intercept 1'!O31, "ERROR")</f>
        <v/>
      </c>
      <c r="O31" s="9" t="str">
        <f>if('Point Intercept 1'!P31 = 'Point Intercept 2'!O31, 'Point Intercept 1'!P31, "ERROR")</f>
        <v/>
      </c>
    </row>
    <row r="32">
      <c r="A32" s="9">
        <f>if('Point Intercept 1'!A32 = 'Point Intercept 2'!A32, 'Point Intercept 1'!A32, "ERROR")</f>
        <v>1</v>
      </c>
      <c r="B32" s="9">
        <f>if('Point Intercept 1'!B32 = 'Point Intercept 2'!B32, 'Point Intercept 1'!B32, "ERROR")</f>
        <v>2025</v>
      </c>
      <c r="C32" s="13">
        <f>if('Point Intercept 1'!C32 = 'Point Intercept 2'!C32, 'Point Intercept 1'!C32, "ERROR")</f>
        <v>45764</v>
      </c>
      <c r="D32" s="9" t="str">
        <f>if('Point Intercept 1'!D32 = 'Point Intercept 2'!D32, 'Point Intercept 1'!D32, "ERROR")</f>
        <v>TL, CG, BN</v>
      </c>
      <c r="E32" s="9" t="str">
        <f>if('Point Intercept 1'!E32 = 'Point Intercept 2'!E32, 'Point Intercept 1'!E32, "ERROR")</f>
        <v>VB</v>
      </c>
      <c r="F32" s="9">
        <f>if('Point Intercept 1'!F32 = 'Point Intercept 2'!F32, 'Point Intercept 1'!F32, "ERROR")</f>
        <v>1</v>
      </c>
      <c r="G32" s="9" t="str">
        <f>if('Point Intercept 1'!G32 = 'Point Intercept 2'!G32, 'Point Intercept 1'!G32, "ERROR")</f>
        <v>LS</v>
      </c>
      <c r="H32" s="9">
        <f>if('Point Intercept 1'!I32 = 'Point Intercept 2'!I32, 'Point Intercept 1'!I32, "ERROR")</f>
        <v>9</v>
      </c>
      <c r="I32" s="9">
        <f>if('Point Intercept 1'!H32 = 'Point Intercept 2'!H32, 'Point Intercept 1'!H32, "ERROR")</f>
        <v>1</v>
      </c>
      <c r="J32" s="9">
        <f>if('Point Intercept 1'!J32 = 'Point Intercept 2'!J32, 'Point Intercept 1'!J32, "ERROR")</f>
        <v>4</v>
      </c>
      <c r="K32" s="9" t="str">
        <f>if('Point Intercept 1'!K32 = 'Point Intercept 2'!K32, 'Point Intercept 1'!K32, "ERROR")</f>
        <v>SONOLE</v>
      </c>
      <c r="L32" s="9" t="str">
        <f>if('Point Intercept 1'!L32 = 'Point Intercept 2'!L32, 'Point Intercept 1'!L32, "ERROR")</f>
        <v>Sonchus oleraceus</v>
      </c>
      <c r="M32" s="9" t="str">
        <f>if('Point Intercept 1'!N32 = 'Point Intercept 2'!M32, 'Point Intercept 1'!N32, "ERROR")</f>
        <v/>
      </c>
      <c r="N32" s="9" t="str">
        <f>if('Point Intercept 1'!O32 = 'Point Intercept 2'!N32, 'Point Intercept 1'!O32, "ERROR")</f>
        <v/>
      </c>
      <c r="O32" s="9" t="str">
        <f>if('Point Intercept 1'!P32 = 'Point Intercept 2'!O32, 'Point Intercept 1'!P32, "ERROR")</f>
        <v/>
      </c>
    </row>
    <row r="33">
      <c r="A33" s="9">
        <f>if('Point Intercept 1'!A33 = 'Point Intercept 2'!A33, 'Point Intercept 1'!A33, "ERROR")</f>
        <v>1</v>
      </c>
      <c r="B33" s="9">
        <f>if('Point Intercept 1'!B33 = 'Point Intercept 2'!B33, 'Point Intercept 1'!B33, "ERROR")</f>
        <v>2025</v>
      </c>
      <c r="C33" s="13">
        <f>if('Point Intercept 1'!C33 = 'Point Intercept 2'!C33, 'Point Intercept 1'!C33, "ERROR")</f>
        <v>45764</v>
      </c>
      <c r="D33" s="9" t="str">
        <f>if('Point Intercept 1'!D33 = 'Point Intercept 2'!D33, 'Point Intercept 1'!D33, "ERROR")</f>
        <v>TL, CG, BN</v>
      </c>
      <c r="E33" s="9" t="str">
        <f>if('Point Intercept 1'!E33 = 'Point Intercept 2'!E33, 'Point Intercept 1'!E33, "ERROR")</f>
        <v>VB</v>
      </c>
      <c r="F33" s="9">
        <f>if('Point Intercept 1'!F33 = 'Point Intercept 2'!F33, 'Point Intercept 1'!F33, "ERROR")</f>
        <v>1</v>
      </c>
      <c r="G33" s="9" t="str">
        <f>if('Point Intercept 1'!G33 = 'Point Intercept 2'!G33, 'Point Intercept 1'!G33, "ERROR")</f>
        <v>LS</v>
      </c>
      <c r="H33" s="9">
        <f>if('Point Intercept 1'!I33 = 'Point Intercept 2'!I33, 'Point Intercept 1'!I33, "ERROR")</f>
        <v>9</v>
      </c>
      <c r="I33" s="9">
        <f>if('Point Intercept 1'!H33 = 'Point Intercept 2'!H33, 'Point Intercept 1'!H33, "ERROR")</f>
        <v>1</v>
      </c>
      <c r="J33" s="9">
        <f>if('Point Intercept 1'!J33 = 'Point Intercept 2'!J33, 'Point Intercept 1'!J33, "ERROR")</f>
        <v>4</v>
      </c>
      <c r="K33" s="9" t="str">
        <f>if('Point Intercept 1'!K33 = 'Point Intercept 2'!K33, 'Point Intercept 1'!K33, "ERROR")</f>
        <v>STEDIE</v>
      </c>
      <c r="L33" s="9" t="str">
        <f>if('Point Intercept 1'!L33 = 'Point Intercept 2'!L33, 'Point Intercept 1'!L33, "ERROR")</f>
        <v>Stephanomeria diegensis</v>
      </c>
      <c r="M33" s="9" t="str">
        <f>if('Point Intercept 1'!N33 = 'Point Intercept 2'!M33, 'Point Intercept 1'!N33, "ERROR")</f>
        <v/>
      </c>
      <c r="N33" s="9" t="str">
        <f>if('Point Intercept 1'!O33 = 'Point Intercept 2'!N33, 'Point Intercept 1'!O33, "ERROR")</f>
        <v/>
      </c>
      <c r="O33" s="9" t="str">
        <f>if('Point Intercept 1'!P33 = 'Point Intercept 2'!O33, 'Point Intercept 1'!P33, "ERROR")</f>
        <v/>
      </c>
    </row>
    <row r="34">
      <c r="A34" s="9">
        <f>if('Point Intercept 1'!A34 = 'Point Intercept 2'!A34, 'Point Intercept 1'!A34, "ERROR")</f>
        <v>1</v>
      </c>
      <c r="B34" s="9">
        <f>if('Point Intercept 1'!B34 = 'Point Intercept 2'!B34, 'Point Intercept 1'!B34, "ERROR")</f>
        <v>2025</v>
      </c>
      <c r="C34" s="13">
        <f>if('Point Intercept 1'!C34 = 'Point Intercept 2'!C34, 'Point Intercept 1'!C34, "ERROR")</f>
        <v>45764</v>
      </c>
      <c r="D34" s="9" t="str">
        <f>if('Point Intercept 1'!D34 = 'Point Intercept 2'!D34, 'Point Intercept 1'!D34, "ERROR")</f>
        <v>TL, CG, BN</v>
      </c>
      <c r="E34" s="9" t="str">
        <f>if('Point Intercept 1'!E34 = 'Point Intercept 2'!E34, 'Point Intercept 1'!E34, "ERROR")</f>
        <v>VB</v>
      </c>
      <c r="F34" s="9">
        <f>if('Point Intercept 1'!F34 = 'Point Intercept 2'!F34, 'Point Intercept 1'!F34, "ERROR")</f>
        <v>1</v>
      </c>
      <c r="G34" s="9" t="str">
        <f>if('Point Intercept 1'!G34 = 'Point Intercept 2'!G34, 'Point Intercept 1'!G34, "ERROR")</f>
        <v>LS</v>
      </c>
      <c r="H34" s="9">
        <f>if('Point Intercept 1'!I34 = 'Point Intercept 2'!I34, 'Point Intercept 1'!I34, "ERROR")</f>
        <v>10</v>
      </c>
      <c r="I34" s="9">
        <f>if('Point Intercept 1'!H34 = 'Point Intercept 2'!H34, 'Point Intercept 1'!H34, "ERROR")</f>
        <v>1</v>
      </c>
      <c r="J34" s="9">
        <f>if('Point Intercept 1'!J34 = 'Point Intercept 2'!J34, 'Point Intercept 1'!J34, "ERROR")</f>
        <v>4.5</v>
      </c>
      <c r="K34" s="9" t="str">
        <f>if('Point Intercept 1'!K34 = 'Point Intercept 2'!K34, 'Point Intercept 1'!K34, "ERROR")</f>
        <v>TH</v>
      </c>
      <c r="L34" s="9" t="str">
        <f>if('Point Intercept 1'!L34 = 'Point Intercept 2'!L34, 'Point Intercept 1'!L34, "ERROR")</f>
        <v>Thatch</v>
      </c>
      <c r="M34" s="9" t="str">
        <f>if('Point Intercept 1'!N34 = 'Point Intercept 2'!M34, 'Point Intercept 1'!N34, "ERROR")</f>
        <v/>
      </c>
      <c r="N34" s="9" t="str">
        <f>if('Point Intercept 1'!O34 = 'Point Intercept 2'!N34, 'Point Intercept 1'!O34, "ERROR")</f>
        <v/>
      </c>
      <c r="O34" s="9" t="str">
        <f>if('Point Intercept 1'!P34 = 'Point Intercept 2'!O34, 'Point Intercept 1'!P34, "ERROR")</f>
        <v/>
      </c>
    </row>
    <row r="35">
      <c r="A35" s="9">
        <f>if('Point Intercept 1'!A35 = 'Point Intercept 2'!A35, 'Point Intercept 1'!A35, "ERROR")</f>
        <v>1</v>
      </c>
      <c r="B35" s="9">
        <f>if('Point Intercept 1'!B35 = 'Point Intercept 2'!B35, 'Point Intercept 1'!B35, "ERROR")</f>
        <v>2025</v>
      </c>
      <c r="C35" s="13">
        <f>if('Point Intercept 1'!C35 = 'Point Intercept 2'!C35, 'Point Intercept 1'!C35, "ERROR")</f>
        <v>45764</v>
      </c>
      <c r="D35" s="9" t="str">
        <f>if('Point Intercept 1'!D35 = 'Point Intercept 2'!D35, 'Point Intercept 1'!D35, "ERROR")</f>
        <v>TL, CG, BN</v>
      </c>
      <c r="E35" s="9" t="str">
        <f>if('Point Intercept 1'!E35 = 'Point Intercept 2'!E35, 'Point Intercept 1'!E35, "ERROR")</f>
        <v>VB</v>
      </c>
      <c r="F35" s="9">
        <f>if('Point Intercept 1'!F35 = 'Point Intercept 2'!F35, 'Point Intercept 1'!F35, "ERROR")</f>
        <v>1</v>
      </c>
      <c r="G35" s="9" t="str">
        <f>if('Point Intercept 1'!G35 = 'Point Intercept 2'!G35, 'Point Intercept 1'!G35, "ERROR")</f>
        <v>LS</v>
      </c>
      <c r="H35" s="9">
        <f>if('Point Intercept 1'!I35 = 'Point Intercept 2'!I35, 'Point Intercept 1'!I35, "ERROR")</f>
        <v>10</v>
      </c>
      <c r="I35" s="9">
        <f>if('Point Intercept 1'!H35 = 'Point Intercept 2'!H35, 'Point Intercept 1'!H35, "ERROR")</f>
        <v>1</v>
      </c>
      <c r="J35" s="9">
        <f>if('Point Intercept 1'!J35 = 'Point Intercept 2'!J35, 'Point Intercept 1'!J35, "ERROR")</f>
        <v>4.5</v>
      </c>
      <c r="K35" s="9" t="str">
        <f>if('Point Intercept 1'!K35 = 'Point Intercept 2'!K35, 'Point Intercept 1'!K35, "ERROR")</f>
        <v>BROMAD</v>
      </c>
      <c r="L35" s="9" t="str">
        <f>if('Point Intercept 1'!L35 = 'Point Intercept 2'!L35, 'Point Intercept 1'!L35, "ERROR")</f>
        <v>Bromus madritensis</v>
      </c>
      <c r="M35" s="9" t="str">
        <f>if('Point Intercept 1'!N35 = 'Point Intercept 2'!M35, 'Point Intercept 1'!N35, "ERROR")</f>
        <v/>
      </c>
      <c r="N35" s="9" t="str">
        <f>if('Point Intercept 1'!O35 = 'Point Intercept 2'!N35, 'Point Intercept 1'!O35, "ERROR")</f>
        <v/>
      </c>
      <c r="O35" s="9" t="str">
        <f>if('Point Intercept 1'!P35 = 'Point Intercept 2'!O35, 'Point Intercept 1'!P35, "ERROR")</f>
        <v/>
      </c>
    </row>
    <row r="36">
      <c r="A36" s="9">
        <f>if('Point Intercept 1'!A36 = 'Point Intercept 2'!A36, 'Point Intercept 1'!A36, "ERROR")</f>
        <v>1</v>
      </c>
      <c r="B36" s="9">
        <f>if('Point Intercept 1'!B36 = 'Point Intercept 2'!B36, 'Point Intercept 1'!B36, "ERROR")</f>
        <v>2025</v>
      </c>
      <c r="C36" s="13">
        <f>if('Point Intercept 1'!C36 = 'Point Intercept 2'!C36, 'Point Intercept 1'!C36, "ERROR")</f>
        <v>45764</v>
      </c>
      <c r="D36" s="9" t="str">
        <f>if('Point Intercept 1'!D36 = 'Point Intercept 2'!D36, 'Point Intercept 1'!D36, "ERROR")</f>
        <v>TL, CG, BN</v>
      </c>
      <c r="E36" s="9" t="str">
        <f>if('Point Intercept 1'!E36 = 'Point Intercept 2'!E36, 'Point Intercept 1'!E36, "ERROR")</f>
        <v>VB</v>
      </c>
      <c r="F36" s="9">
        <f>if('Point Intercept 1'!F36 = 'Point Intercept 2'!F36, 'Point Intercept 1'!F36, "ERROR")</f>
        <v>1</v>
      </c>
      <c r="G36" s="9" t="str">
        <f>if('Point Intercept 1'!G36 = 'Point Intercept 2'!G36, 'Point Intercept 1'!G36, "ERROR")</f>
        <v>LS</v>
      </c>
      <c r="H36" s="9">
        <f>if('Point Intercept 1'!I36 = 'Point Intercept 2'!I36, 'Point Intercept 1'!I36, "ERROR")</f>
        <v>10</v>
      </c>
      <c r="I36" s="9">
        <f>if('Point Intercept 1'!H36 = 'Point Intercept 2'!H36, 'Point Intercept 1'!H36, "ERROR")</f>
        <v>1</v>
      </c>
      <c r="J36" s="9">
        <f>if('Point Intercept 1'!J36 = 'Point Intercept 2'!J36, 'Point Intercept 1'!J36, "ERROR")</f>
        <v>4.5</v>
      </c>
      <c r="K36" s="9" t="str">
        <f>if('Point Intercept 1'!K36 = 'Point Intercept 2'!K36, 'Point Intercept 1'!K36, "ERROR")</f>
        <v>EROMOS</v>
      </c>
      <c r="L36" s="9" t="str">
        <f>if('Point Intercept 1'!L36 = 'Point Intercept 2'!L36, 'Point Intercept 1'!L36, "ERROR")</f>
        <v>Erodium moschatum</v>
      </c>
      <c r="M36" s="9" t="str">
        <f>if('Point Intercept 1'!N36 = 'Point Intercept 2'!M36, 'Point Intercept 1'!N36, "ERROR")</f>
        <v/>
      </c>
      <c r="N36" s="9" t="str">
        <f>if('Point Intercept 1'!O36 = 'Point Intercept 2'!N36, 'Point Intercept 1'!O36, "ERROR")</f>
        <v/>
      </c>
      <c r="O36" s="9" t="str">
        <f>if('Point Intercept 1'!P36 = 'Point Intercept 2'!O36, 'Point Intercept 1'!P36, "ERROR")</f>
        <v/>
      </c>
    </row>
    <row r="37">
      <c r="A37" s="9">
        <f>if('Point Intercept 1'!A37 = 'Point Intercept 2'!A37, 'Point Intercept 1'!A37, "ERROR")</f>
        <v>1</v>
      </c>
      <c r="B37" s="9">
        <f>if('Point Intercept 1'!B37 = 'Point Intercept 2'!B37, 'Point Intercept 1'!B37, "ERROR")</f>
        <v>2025</v>
      </c>
      <c r="C37" s="13">
        <f>if('Point Intercept 1'!C37 = 'Point Intercept 2'!C37, 'Point Intercept 1'!C37, "ERROR")</f>
        <v>45764</v>
      </c>
      <c r="D37" s="9" t="str">
        <f>if('Point Intercept 1'!D37 = 'Point Intercept 2'!D37, 'Point Intercept 1'!D37, "ERROR")</f>
        <v>TL, CG, BN</v>
      </c>
      <c r="E37" s="9" t="str">
        <f>if('Point Intercept 1'!E37 = 'Point Intercept 2'!E37, 'Point Intercept 1'!E37, "ERROR")</f>
        <v>VB</v>
      </c>
      <c r="F37" s="9">
        <f>if('Point Intercept 1'!F37 = 'Point Intercept 2'!F37, 'Point Intercept 1'!F37, "ERROR")</f>
        <v>1</v>
      </c>
      <c r="G37" s="9" t="str">
        <f>if('Point Intercept 1'!G37 = 'Point Intercept 2'!G37, 'Point Intercept 1'!G37, "ERROR")</f>
        <v>LS</v>
      </c>
      <c r="H37" s="9">
        <f>if('Point Intercept 1'!I37 = 'Point Intercept 2'!I37, 'Point Intercept 1'!I37, "ERROR")</f>
        <v>11</v>
      </c>
      <c r="I37" s="9">
        <f>if('Point Intercept 1'!H37 = 'Point Intercept 2'!H37, 'Point Intercept 1'!H37, "ERROR")</f>
        <v>1</v>
      </c>
      <c r="J37" s="9">
        <f>if('Point Intercept 1'!J37 = 'Point Intercept 2'!J37, 'Point Intercept 1'!J37, "ERROR")</f>
        <v>5</v>
      </c>
      <c r="K37" s="9" t="str">
        <f>if('Point Intercept 1'!K37 = 'Point Intercept 2'!K37, 'Point Intercept 1'!K37, "ERROR")</f>
        <v>TH</v>
      </c>
      <c r="L37" s="9" t="str">
        <f>if('Point Intercept 1'!L37 = 'Point Intercept 2'!L37, 'Point Intercept 1'!L37, "ERROR")</f>
        <v>Thatch</v>
      </c>
      <c r="M37" s="9" t="str">
        <f>if('Point Intercept 1'!N37 = 'Point Intercept 2'!M37, 'Point Intercept 1'!N37, "ERROR")</f>
        <v/>
      </c>
      <c r="N37" s="9" t="str">
        <f>if('Point Intercept 1'!O37 = 'Point Intercept 2'!N37, 'Point Intercept 1'!O37, "ERROR")</f>
        <v/>
      </c>
      <c r="O37" s="9" t="str">
        <f>if('Point Intercept 1'!P37 = 'Point Intercept 2'!O37, 'Point Intercept 1'!P37, "ERROR")</f>
        <v/>
      </c>
    </row>
    <row r="38">
      <c r="A38" s="9">
        <f>if('Point Intercept 1'!A38 = 'Point Intercept 2'!A38, 'Point Intercept 1'!A38, "ERROR")</f>
        <v>1</v>
      </c>
      <c r="B38" s="9">
        <f>if('Point Intercept 1'!B38 = 'Point Intercept 2'!B38, 'Point Intercept 1'!B38, "ERROR")</f>
        <v>2025</v>
      </c>
      <c r="C38" s="13">
        <f>if('Point Intercept 1'!C38 = 'Point Intercept 2'!C38, 'Point Intercept 1'!C38, "ERROR")</f>
        <v>45764</v>
      </c>
      <c r="D38" s="9" t="str">
        <f>if('Point Intercept 1'!D38 = 'Point Intercept 2'!D38, 'Point Intercept 1'!D38, "ERROR")</f>
        <v>TL, CG, BN</v>
      </c>
      <c r="E38" s="9" t="str">
        <f>if('Point Intercept 1'!E38 = 'Point Intercept 2'!E38, 'Point Intercept 1'!E38, "ERROR")</f>
        <v>VB</v>
      </c>
      <c r="F38" s="9">
        <f>if('Point Intercept 1'!F38 = 'Point Intercept 2'!F38, 'Point Intercept 1'!F38, "ERROR")</f>
        <v>1</v>
      </c>
      <c r="G38" s="9" t="str">
        <f>if('Point Intercept 1'!G38 = 'Point Intercept 2'!G38, 'Point Intercept 1'!G38, "ERROR")</f>
        <v>LS</v>
      </c>
      <c r="H38" s="9">
        <f>if('Point Intercept 1'!I38 = 'Point Intercept 2'!I38, 'Point Intercept 1'!I38, "ERROR")</f>
        <v>11</v>
      </c>
      <c r="I38" s="9">
        <f>if('Point Intercept 1'!H38 = 'Point Intercept 2'!H38, 'Point Intercept 1'!H38, "ERROR")</f>
        <v>1</v>
      </c>
      <c r="J38" s="9">
        <f>if('Point Intercept 1'!J38 = 'Point Intercept 2'!J38, 'Point Intercept 1'!J38, "ERROR")</f>
        <v>5</v>
      </c>
      <c r="K38" s="9" t="str">
        <f>if('Point Intercept 1'!K38 = 'Point Intercept 2'!K38, 'Point Intercept 1'!K38, "ERROR")</f>
        <v>DEIFAS</v>
      </c>
      <c r="L38" s="9" t="str">
        <f>if('Point Intercept 1'!L38 = 'Point Intercept 2'!L38, 'Point Intercept 1'!L38, "ERROR")</f>
        <v>Deinandra fasciculata</v>
      </c>
      <c r="M38" s="9" t="str">
        <f>if('Point Intercept 1'!N38 = 'Point Intercept 2'!M38, 'Point Intercept 1'!N38, "ERROR")</f>
        <v/>
      </c>
      <c r="N38" s="9" t="str">
        <f>if('Point Intercept 1'!O38 = 'Point Intercept 2'!N38, 'Point Intercept 1'!O38, "ERROR")</f>
        <v/>
      </c>
      <c r="O38" s="9" t="str">
        <f>if('Point Intercept 1'!P38 = 'Point Intercept 2'!O38, 'Point Intercept 1'!P38, "ERROR")</f>
        <v/>
      </c>
    </row>
    <row r="39">
      <c r="A39" s="9">
        <f>if('Point Intercept 1'!A39 = 'Point Intercept 2'!A39, 'Point Intercept 1'!A39, "ERROR")</f>
        <v>1</v>
      </c>
      <c r="B39" s="9">
        <f>if('Point Intercept 1'!B39 = 'Point Intercept 2'!B39, 'Point Intercept 1'!B39, "ERROR")</f>
        <v>2025</v>
      </c>
      <c r="C39" s="13">
        <f>if('Point Intercept 1'!C39 = 'Point Intercept 2'!C39, 'Point Intercept 1'!C39, "ERROR")</f>
        <v>45764</v>
      </c>
      <c r="D39" s="9" t="str">
        <f>if('Point Intercept 1'!D39 = 'Point Intercept 2'!D39, 'Point Intercept 1'!D39, "ERROR")</f>
        <v>TL, CG, BN</v>
      </c>
      <c r="E39" s="9" t="str">
        <f>if('Point Intercept 1'!E39 = 'Point Intercept 2'!E39, 'Point Intercept 1'!E39, "ERROR")</f>
        <v>VB</v>
      </c>
      <c r="F39" s="9">
        <f>if('Point Intercept 1'!F39 = 'Point Intercept 2'!F39, 'Point Intercept 1'!F39, "ERROR")</f>
        <v>1</v>
      </c>
      <c r="G39" s="9" t="str">
        <f>if('Point Intercept 1'!G39 = 'Point Intercept 2'!G39, 'Point Intercept 1'!G39, "ERROR")</f>
        <v>LS</v>
      </c>
      <c r="H39" s="9">
        <f>if('Point Intercept 1'!I39 = 'Point Intercept 2'!I39, 'Point Intercept 1'!I39, "ERROR")</f>
        <v>11</v>
      </c>
      <c r="I39" s="9">
        <f>if('Point Intercept 1'!H39 = 'Point Intercept 2'!H39, 'Point Intercept 1'!H39, "ERROR")</f>
        <v>1</v>
      </c>
      <c r="J39" s="9">
        <f>if('Point Intercept 1'!J39 = 'Point Intercept 2'!J39, 'Point Intercept 1'!J39, "ERROR")</f>
        <v>5</v>
      </c>
      <c r="K39" s="9" t="str">
        <f>if('Point Intercept 1'!K39 = 'Point Intercept 2'!K39, 'Point Intercept 1'!K39, "ERROR")</f>
        <v>SONOLE</v>
      </c>
      <c r="L39" s="9" t="str">
        <f>if('Point Intercept 1'!L39 = 'Point Intercept 2'!L39, 'Point Intercept 1'!L39, "ERROR")</f>
        <v>Sonchus oleraceus</v>
      </c>
      <c r="M39" s="9" t="str">
        <f>if('Point Intercept 1'!N39 = 'Point Intercept 2'!M39, 'Point Intercept 1'!N39, "ERROR")</f>
        <v/>
      </c>
      <c r="N39" s="9" t="str">
        <f>if('Point Intercept 1'!O39 = 'Point Intercept 2'!N39, 'Point Intercept 1'!O39, "ERROR")</f>
        <v/>
      </c>
      <c r="O39" s="9" t="str">
        <f>if('Point Intercept 1'!P39 = 'Point Intercept 2'!O39, 'Point Intercept 1'!P39, "ERROR")</f>
        <v/>
      </c>
    </row>
    <row r="40">
      <c r="A40" s="9">
        <f>if('Point Intercept 1'!A40 = 'Point Intercept 2'!A40, 'Point Intercept 1'!A40, "ERROR")</f>
        <v>1</v>
      </c>
      <c r="B40" s="9">
        <f>if('Point Intercept 1'!B40 = 'Point Intercept 2'!B40, 'Point Intercept 1'!B40, "ERROR")</f>
        <v>2025</v>
      </c>
      <c r="C40" s="13">
        <f>if('Point Intercept 1'!C40 = 'Point Intercept 2'!C40, 'Point Intercept 1'!C40, "ERROR")</f>
        <v>45764</v>
      </c>
      <c r="D40" s="9" t="str">
        <f>if('Point Intercept 1'!D40 = 'Point Intercept 2'!D40, 'Point Intercept 1'!D40, "ERROR")</f>
        <v>TL, CG, BN</v>
      </c>
      <c r="E40" s="9" t="str">
        <f>if('Point Intercept 1'!E40 = 'Point Intercept 2'!E40, 'Point Intercept 1'!E40, "ERROR")</f>
        <v>VB</v>
      </c>
      <c r="F40" s="9">
        <f>if('Point Intercept 1'!F40 = 'Point Intercept 2'!F40, 'Point Intercept 1'!F40, "ERROR")</f>
        <v>1</v>
      </c>
      <c r="G40" s="9" t="str">
        <f>if('Point Intercept 1'!G40 = 'Point Intercept 2'!G40, 'Point Intercept 1'!G40, "ERROR")</f>
        <v>LS</v>
      </c>
      <c r="H40" s="9">
        <f>if('Point Intercept 1'!I40 = 'Point Intercept 2'!I40, 'Point Intercept 1'!I40, "ERROR")</f>
        <v>11</v>
      </c>
      <c r="I40" s="9">
        <f>if('Point Intercept 1'!H40 = 'Point Intercept 2'!H40, 'Point Intercept 1'!H40, "ERROR")</f>
        <v>1</v>
      </c>
      <c r="J40" s="9">
        <f>if('Point Intercept 1'!J40 = 'Point Intercept 2'!J40, 'Point Intercept 1'!J40, "ERROR")</f>
        <v>5</v>
      </c>
      <c r="K40" s="9" t="str">
        <f>if('Point Intercept 1'!K40 = 'Point Intercept 2'!K40, 'Point Intercept 1'!K40, "ERROR")</f>
        <v>FESMYU</v>
      </c>
      <c r="L40" s="9" t="str">
        <f>if('Point Intercept 1'!L40 = 'Point Intercept 2'!L40, 'Point Intercept 1'!L40, "ERROR")</f>
        <v>Festuca myuros</v>
      </c>
      <c r="M40" s="9" t="str">
        <f>if('Point Intercept 1'!N40 = 'Point Intercept 2'!M40, 'Point Intercept 1'!N40, "ERROR")</f>
        <v/>
      </c>
      <c r="N40" s="9" t="str">
        <f>if('Point Intercept 1'!O40 = 'Point Intercept 2'!N40, 'Point Intercept 1'!O40, "ERROR")</f>
        <v/>
      </c>
      <c r="O40" s="9" t="str">
        <f>if('Point Intercept 1'!P40 = 'Point Intercept 2'!O40, 'Point Intercept 1'!P40, "ERROR")</f>
        <v/>
      </c>
    </row>
    <row r="41">
      <c r="A41" s="9">
        <f>if('Point Intercept 1'!A41 = 'Point Intercept 2'!A41, 'Point Intercept 1'!A41, "ERROR")</f>
        <v>1</v>
      </c>
      <c r="B41" s="9">
        <f>if('Point Intercept 1'!B41 = 'Point Intercept 2'!B41, 'Point Intercept 1'!B41, "ERROR")</f>
        <v>2025</v>
      </c>
      <c r="C41" s="13">
        <f>if('Point Intercept 1'!C41 = 'Point Intercept 2'!C41, 'Point Intercept 1'!C41, "ERROR")</f>
        <v>45764</v>
      </c>
      <c r="D41" s="9" t="str">
        <f>if('Point Intercept 1'!D41 = 'Point Intercept 2'!D41, 'Point Intercept 1'!D41, "ERROR")</f>
        <v>TL, CG, BN</v>
      </c>
      <c r="E41" s="9" t="str">
        <f>if('Point Intercept 1'!E41 = 'Point Intercept 2'!E41, 'Point Intercept 1'!E41, "ERROR")</f>
        <v>VB</v>
      </c>
      <c r="F41" s="9">
        <f>if('Point Intercept 1'!F41 = 'Point Intercept 2'!F41, 'Point Intercept 1'!F41, "ERROR")</f>
        <v>1</v>
      </c>
      <c r="G41" s="9" t="str">
        <f>if('Point Intercept 1'!G41 = 'Point Intercept 2'!G41, 'Point Intercept 1'!G41, "ERROR")</f>
        <v>LS</v>
      </c>
      <c r="H41" s="9">
        <f>if('Point Intercept 1'!I41 = 'Point Intercept 2'!I41, 'Point Intercept 1'!I41, "ERROR")</f>
        <v>12</v>
      </c>
      <c r="I41" s="9">
        <f>if('Point Intercept 1'!H41 = 'Point Intercept 2'!H41, 'Point Intercept 1'!H41, "ERROR")</f>
        <v>1</v>
      </c>
      <c r="J41" s="9">
        <f>if('Point Intercept 1'!J41 = 'Point Intercept 2'!J41, 'Point Intercept 1'!J41, "ERROR")</f>
        <v>5.5</v>
      </c>
      <c r="K41" s="9" t="str">
        <f>if('Point Intercept 1'!K41 = 'Point Intercept 2'!K41, 'Point Intercept 1'!K41, "ERROR")</f>
        <v>TH</v>
      </c>
      <c r="L41" s="9" t="str">
        <f>if('Point Intercept 1'!L41 = 'Point Intercept 2'!L41, 'Point Intercept 1'!L41, "ERROR")</f>
        <v>Thatch</v>
      </c>
      <c r="M41" s="9" t="str">
        <f>if('Point Intercept 1'!N41 = 'Point Intercept 2'!M41, 'Point Intercept 1'!N41, "ERROR")</f>
        <v/>
      </c>
      <c r="N41" s="9" t="str">
        <f>if('Point Intercept 1'!O41 = 'Point Intercept 2'!N41, 'Point Intercept 1'!O41, "ERROR")</f>
        <v/>
      </c>
      <c r="O41" s="9" t="str">
        <f>if('Point Intercept 1'!P41 = 'Point Intercept 2'!O41, 'Point Intercept 1'!P41, "ERROR")</f>
        <v/>
      </c>
    </row>
    <row r="42">
      <c r="A42" s="9">
        <f>if('Point Intercept 1'!A42 = 'Point Intercept 2'!A42, 'Point Intercept 1'!A42, "ERROR")</f>
        <v>1</v>
      </c>
      <c r="B42" s="9">
        <f>if('Point Intercept 1'!B42 = 'Point Intercept 2'!B42, 'Point Intercept 1'!B42, "ERROR")</f>
        <v>2025</v>
      </c>
      <c r="C42" s="13">
        <f>if('Point Intercept 1'!C42 = 'Point Intercept 2'!C42, 'Point Intercept 1'!C42, "ERROR")</f>
        <v>45764</v>
      </c>
      <c r="D42" s="9" t="str">
        <f>if('Point Intercept 1'!D42 = 'Point Intercept 2'!D42, 'Point Intercept 1'!D42, "ERROR")</f>
        <v>TL, CG, BN</v>
      </c>
      <c r="E42" s="9" t="str">
        <f>if('Point Intercept 1'!E42 = 'Point Intercept 2'!E42, 'Point Intercept 1'!E42, "ERROR")</f>
        <v>VB</v>
      </c>
      <c r="F42" s="9">
        <f>if('Point Intercept 1'!F42 = 'Point Intercept 2'!F42, 'Point Intercept 1'!F42, "ERROR")</f>
        <v>1</v>
      </c>
      <c r="G42" s="9" t="str">
        <f>if('Point Intercept 1'!G42 = 'Point Intercept 2'!G42, 'Point Intercept 1'!G42, "ERROR")</f>
        <v>LS</v>
      </c>
      <c r="H42" s="9">
        <f>if('Point Intercept 1'!I42 = 'Point Intercept 2'!I42, 'Point Intercept 1'!I42, "ERROR")</f>
        <v>12</v>
      </c>
      <c r="I42" s="9">
        <f>if('Point Intercept 1'!H42 = 'Point Intercept 2'!H42, 'Point Intercept 1'!H42, "ERROR")</f>
        <v>1</v>
      </c>
      <c r="J42" s="9">
        <f>if('Point Intercept 1'!J42 = 'Point Intercept 2'!J42, 'Point Intercept 1'!J42, "ERROR")</f>
        <v>5.5</v>
      </c>
      <c r="K42" s="9" t="str">
        <f>if('Point Intercept 1'!K42 = 'Point Intercept 2'!K42, 'Point Intercept 1'!K42, "ERROR")</f>
        <v>OPULIT</v>
      </c>
      <c r="L42" s="9" t="str">
        <f>if('Point Intercept 1'!L42 = 'Point Intercept 2'!L42, 'Point Intercept 1'!L42, "ERROR")</f>
        <v>Opuntia littoralis</v>
      </c>
      <c r="M42" s="9" t="str">
        <f>if('Point Intercept 1'!N42 = 'Point Intercept 2'!M42, 'Point Intercept 1'!N42, "ERROR")</f>
        <v/>
      </c>
      <c r="N42" s="9" t="str">
        <f>if('Point Intercept 1'!O42 = 'Point Intercept 2'!N42, 'Point Intercept 1'!O42, "ERROR")</f>
        <v/>
      </c>
      <c r="O42" s="9" t="str">
        <f>if('Point Intercept 1'!P42 = 'Point Intercept 2'!O42, 'Point Intercept 1'!P42, "ERROR")</f>
        <v/>
      </c>
    </row>
    <row r="43">
      <c r="A43" s="9">
        <f>if('Point Intercept 1'!A43 = 'Point Intercept 2'!A43, 'Point Intercept 1'!A43, "ERROR")</f>
        <v>1</v>
      </c>
      <c r="B43" s="9">
        <f>if('Point Intercept 1'!B43 = 'Point Intercept 2'!B43, 'Point Intercept 1'!B43, "ERROR")</f>
        <v>2025</v>
      </c>
      <c r="C43" s="13">
        <f>if('Point Intercept 1'!C43 = 'Point Intercept 2'!C43, 'Point Intercept 1'!C43, "ERROR")</f>
        <v>45764</v>
      </c>
      <c r="D43" s="9" t="str">
        <f>if('Point Intercept 1'!D43 = 'Point Intercept 2'!D43, 'Point Intercept 1'!D43, "ERROR")</f>
        <v>TL, CG, BN</v>
      </c>
      <c r="E43" s="9" t="str">
        <f>if('Point Intercept 1'!E43 = 'Point Intercept 2'!E43, 'Point Intercept 1'!E43, "ERROR")</f>
        <v>VB</v>
      </c>
      <c r="F43" s="9">
        <f>if('Point Intercept 1'!F43 = 'Point Intercept 2'!F43, 'Point Intercept 1'!F43, "ERROR")</f>
        <v>1</v>
      </c>
      <c r="G43" s="9" t="str">
        <f>if('Point Intercept 1'!G43 = 'Point Intercept 2'!G43, 'Point Intercept 1'!G43, "ERROR")</f>
        <v>LS</v>
      </c>
      <c r="H43" s="9">
        <f>if('Point Intercept 1'!I43 = 'Point Intercept 2'!I43, 'Point Intercept 1'!I43, "ERROR")</f>
        <v>12</v>
      </c>
      <c r="I43" s="9">
        <f>if('Point Intercept 1'!H43 = 'Point Intercept 2'!H43, 'Point Intercept 1'!H43, "ERROR")</f>
        <v>1</v>
      </c>
      <c r="J43" s="9">
        <f>if('Point Intercept 1'!J43 = 'Point Intercept 2'!J43, 'Point Intercept 1'!J43, "ERROR")</f>
        <v>5.5</v>
      </c>
      <c r="K43" s="9" t="str">
        <f>if('Point Intercept 1'!K43 = 'Point Intercept 2'!K43, 'Point Intercept 1'!K43, "ERROR")</f>
        <v>EROMOS</v>
      </c>
      <c r="L43" s="9" t="str">
        <f>if('Point Intercept 1'!L43 = 'Point Intercept 2'!L43, 'Point Intercept 1'!L43, "ERROR")</f>
        <v>Erodium moschatum</v>
      </c>
      <c r="M43" s="9" t="str">
        <f>if('Point Intercept 1'!N43 = 'Point Intercept 2'!M43, 'Point Intercept 1'!N43, "ERROR")</f>
        <v/>
      </c>
      <c r="N43" s="9" t="str">
        <f>if('Point Intercept 1'!O43 = 'Point Intercept 2'!N43, 'Point Intercept 1'!O43, "ERROR")</f>
        <v/>
      </c>
      <c r="O43" s="9" t="str">
        <f>if('Point Intercept 1'!P43 = 'Point Intercept 2'!O43, 'Point Intercept 1'!P43, "ERROR")</f>
        <v/>
      </c>
    </row>
    <row r="44">
      <c r="A44" s="9">
        <f>if('Point Intercept 1'!A44 = 'Point Intercept 2'!A44, 'Point Intercept 1'!A44, "ERROR")</f>
        <v>1</v>
      </c>
      <c r="B44" s="9">
        <f>if('Point Intercept 1'!B44 = 'Point Intercept 2'!B44, 'Point Intercept 1'!B44, "ERROR")</f>
        <v>2025</v>
      </c>
      <c r="C44" s="13">
        <f>if('Point Intercept 1'!C44 = 'Point Intercept 2'!C44, 'Point Intercept 1'!C44, "ERROR")</f>
        <v>45764</v>
      </c>
      <c r="D44" s="9" t="str">
        <f>if('Point Intercept 1'!D44 = 'Point Intercept 2'!D44, 'Point Intercept 1'!D44, "ERROR")</f>
        <v>TL, CG, BN</v>
      </c>
      <c r="E44" s="9" t="str">
        <f>if('Point Intercept 1'!E44 = 'Point Intercept 2'!E44, 'Point Intercept 1'!E44, "ERROR")</f>
        <v>VB</v>
      </c>
      <c r="F44" s="9">
        <f>if('Point Intercept 1'!F44 = 'Point Intercept 2'!F44, 'Point Intercept 1'!F44, "ERROR")</f>
        <v>1</v>
      </c>
      <c r="G44" s="9" t="str">
        <f>if('Point Intercept 1'!G44 = 'Point Intercept 2'!G44, 'Point Intercept 1'!G44, "ERROR")</f>
        <v>LS</v>
      </c>
      <c r="H44" s="9">
        <f>if('Point Intercept 1'!I44 = 'Point Intercept 2'!I44, 'Point Intercept 1'!I44, "ERROR")</f>
        <v>12</v>
      </c>
      <c r="I44" s="9">
        <f>if('Point Intercept 1'!H44 = 'Point Intercept 2'!H44, 'Point Intercept 1'!H44, "ERROR")</f>
        <v>1</v>
      </c>
      <c r="J44" s="9">
        <f>if('Point Intercept 1'!J44 = 'Point Intercept 2'!J44, 'Point Intercept 1'!J44, "ERROR")</f>
        <v>5.5</v>
      </c>
      <c r="K44" s="9" t="str">
        <f>if('Point Intercept 1'!K44 = 'Point Intercept 2'!K44, 'Point Intercept 1'!K44, "ERROR")</f>
        <v>SONOLE</v>
      </c>
      <c r="L44" s="9" t="str">
        <f>if('Point Intercept 1'!L44 = 'Point Intercept 2'!L44, 'Point Intercept 1'!L44, "ERROR")</f>
        <v>Sonchus oleraceus</v>
      </c>
      <c r="M44" s="9" t="str">
        <f>if('Point Intercept 1'!N44 = 'Point Intercept 2'!M44, 'Point Intercept 1'!N44, "ERROR")</f>
        <v/>
      </c>
      <c r="N44" s="9" t="str">
        <f>if('Point Intercept 1'!O44 = 'Point Intercept 2'!N44, 'Point Intercept 1'!O44, "ERROR")</f>
        <v/>
      </c>
      <c r="O44" s="9" t="str">
        <f>if('Point Intercept 1'!P44 = 'Point Intercept 2'!O44, 'Point Intercept 1'!P44, "ERROR")</f>
        <v/>
      </c>
    </row>
    <row r="45">
      <c r="A45" s="9">
        <f>if('Point Intercept 1'!A45 = 'Point Intercept 2'!A45, 'Point Intercept 1'!A45, "ERROR")</f>
        <v>1</v>
      </c>
      <c r="B45" s="9">
        <f>if('Point Intercept 1'!B45 = 'Point Intercept 2'!B45, 'Point Intercept 1'!B45, "ERROR")</f>
        <v>2025</v>
      </c>
      <c r="C45" s="13">
        <f>if('Point Intercept 1'!C45 = 'Point Intercept 2'!C45, 'Point Intercept 1'!C45, "ERROR")</f>
        <v>45764</v>
      </c>
      <c r="D45" s="9" t="str">
        <f>if('Point Intercept 1'!D45 = 'Point Intercept 2'!D45, 'Point Intercept 1'!D45, "ERROR")</f>
        <v>TL, CG, BN</v>
      </c>
      <c r="E45" s="9" t="str">
        <f>if('Point Intercept 1'!E45 = 'Point Intercept 2'!E45, 'Point Intercept 1'!E45, "ERROR")</f>
        <v>VB</v>
      </c>
      <c r="F45" s="9">
        <f>if('Point Intercept 1'!F45 = 'Point Intercept 2'!F45, 'Point Intercept 1'!F45, "ERROR")</f>
        <v>1</v>
      </c>
      <c r="G45" s="9" t="str">
        <f>if('Point Intercept 1'!G45 = 'Point Intercept 2'!G45, 'Point Intercept 1'!G45, "ERROR")</f>
        <v>LS</v>
      </c>
      <c r="H45" s="9">
        <f>if('Point Intercept 1'!I45 = 'Point Intercept 2'!I45, 'Point Intercept 1'!I45, "ERROR")</f>
        <v>13</v>
      </c>
      <c r="I45" s="9">
        <f>if('Point Intercept 1'!H45 = 'Point Intercept 2'!H45, 'Point Intercept 1'!H45, "ERROR")</f>
        <v>1</v>
      </c>
      <c r="J45" s="9">
        <f>if('Point Intercept 1'!J45 = 'Point Intercept 2'!J45, 'Point Intercept 1'!J45, "ERROR")</f>
        <v>6.5</v>
      </c>
      <c r="K45" s="9" t="str">
        <f>if('Point Intercept 1'!K45 = 'Point Intercept 2'!K45, 'Point Intercept 1'!K45, "ERROR")</f>
        <v>L</v>
      </c>
      <c r="L45" s="9" t="str">
        <f>if('Point Intercept 1'!L45 = 'Point Intercept 2'!L45, 'Point Intercept 1'!L45, "ERROR")</f>
        <v>Litter</v>
      </c>
      <c r="M45" s="9" t="str">
        <f>if('Point Intercept 1'!N45 = 'Point Intercept 2'!M45, 'Point Intercept 1'!N45, "ERROR")</f>
        <v/>
      </c>
      <c r="N45" s="9" t="str">
        <f>if('Point Intercept 1'!O45 = 'Point Intercept 2'!N45, 'Point Intercept 1'!O45, "ERROR")</f>
        <v/>
      </c>
      <c r="O45" s="9" t="str">
        <f>if('Point Intercept 1'!P45 = 'Point Intercept 2'!O45, 'Point Intercept 1'!P45, "ERROR")</f>
        <v/>
      </c>
    </row>
    <row r="46">
      <c r="A46" s="9">
        <f>if('Point Intercept 1'!A46 = 'Point Intercept 2'!A46, 'Point Intercept 1'!A46, "ERROR")</f>
        <v>1</v>
      </c>
      <c r="B46" s="9">
        <f>if('Point Intercept 1'!B46 = 'Point Intercept 2'!B46, 'Point Intercept 1'!B46, "ERROR")</f>
        <v>2025</v>
      </c>
      <c r="C46" s="13">
        <f>if('Point Intercept 1'!C46 = 'Point Intercept 2'!C46, 'Point Intercept 1'!C46, "ERROR")</f>
        <v>45764</v>
      </c>
      <c r="D46" s="9" t="str">
        <f>if('Point Intercept 1'!D46 = 'Point Intercept 2'!D46, 'Point Intercept 1'!D46, "ERROR")</f>
        <v>TL, CG, BN</v>
      </c>
      <c r="E46" s="9" t="str">
        <f>if('Point Intercept 1'!E46 = 'Point Intercept 2'!E46, 'Point Intercept 1'!E46, "ERROR")</f>
        <v>VB</v>
      </c>
      <c r="F46" s="9">
        <f>if('Point Intercept 1'!F46 = 'Point Intercept 2'!F46, 'Point Intercept 1'!F46, "ERROR")</f>
        <v>1</v>
      </c>
      <c r="G46" s="9" t="str">
        <f>if('Point Intercept 1'!G46 = 'Point Intercept 2'!G46, 'Point Intercept 1'!G46, "ERROR")</f>
        <v>LS</v>
      </c>
      <c r="H46" s="9">
        <f>if('Point Intercept 1'!I46 = 'Point Intercept 2'!I46, 'Point Intercept 1'!I46, "ERROR")</f>
        <v>13</v>
      </c>
      <c r="I46" s="9">
        <f>if('Point Intercept 1'!H46 = 'Point Intercept 2'!H46, 'Point Intercept 1'!H46, "ERROR")</f>
        <v>1</v>
      </c>
      <c r="J46" s="9">
        <f>if('Point Intercept 1'!J46 = 'Point Intercept 2'!J46, 'Point Intercept 1'!J46, "ERROR")</f>
        <v>6.5</v>
      </c>
      <c r="K46" s="9" t="str">
        <f>if('Point Intercept 1'!K46 = 'Point Intercept 2'!K46, 'Point Intercept 1'!K46, "ERROR")</f>
        <v>CYLPRO</v>
      </c>
      <c r="L46" s="9" t="str">
        <f>if('Point Intercept 1'!L46 = 'Point Intercept 2'!L46, 'Point Intercept 1'!L46, "ERROR")</f>
        <v>Cylindropuntia prolifera</v>
      </c>
      <c r="M46" s="9" t="str">
        <f>if('Point Intercept 1'!N46 = 'Point Intercept 2'!M46, 'Point Intercept 1'!N46, "ERROR")</f>
        <v/>
      </c>
      <c r="N46" s="9" t="str">
        <f>if('Point Intercept 1'!O46 = 'Point Intercept 2'!N46, 'Point Intercept 1'!O46, "ERROR")</f>
        <v/>
      </c>
      <c r="O46" s="9" t="str">
        <f>if('Point Intercept 1'!P46 = 'Point Intercept 2'!O46, 'Point Intercept 1'!P46, "ERROR")</f>
        <v/>
      </c>
    </row>
    <row r="47">
      <c r="A47" s="9">
        <f>if('Point Intercept 1'!A47 = 'Point Intercept 2'!A47, 'Point Intercept 1'!A47, "ERROR")</f>
        <v>1</v>
      </c>
      <c r="B47" s="9">
        <f>if('Point Intercept 1'!B47 = 'Point Intercept 2'!B47, 'Point Intercept 1'!B47, "ERROR")</f>
        <v>2025</v>
      </c>
      <c r="C47" s="13">
        <f>if('Point Intercept 1'!C47 = 'Point Intercept 2'!C47, 'Point Intercept 1'!C47, "ERROR")</f>
        <v>45764</v>
      </c>
      <c r="D47" s="9" t="str">
        <f>if('Point Intercept 1'!D47 = 'Point Intercept 2'!D47, 'Point Intercept 1'!D47, "ERROR")</f>
        <v>TL, CG, BN</v>
      </c>
      <c r="E47" s="9" t="str">
        <f>if('Point Intercept 1'!E47 = 'Point Intercept 2'!E47, 'Point Intercept 1'!E47, "ERROR")</f>
        <v>VB</v>
      </c>
      <c r="F47" s="9">
        <f>if('Point Intercept 1'!F47 = 'Point Intercept 2'!F47, 'Point Intercept 1'!F47, "ERROR")</f>
        <v>1</v>
      </c>
      <c r="G47" s="9" t="str">
        <f>if('Point Intercept 1'!G47 = 'Point Intercept 2'!G47, 'Point Intercept 1'!G47, "ERROR")</f>
        <v>LS</v>
      </c>
      <c r="H47" s="9">
        <f>if('Point Intercept 1'!I47 = 'Point Intercept 2'!I47, 'Point Intercept 1'!I47, "ERROR")</f>
        <v>13</v>
      </c>
      <c r="I47" s="9">
        <f>if('Point Intercept 1'!H47 = 'Point Intercept 2'!H47, 'Point Intercept 1'!H47, "ERROR")</f>
        <v>1</v>
      </c>
      <c r="J47" s="9">
        <f>if('Point Intercept 1'!J47 = 'Point Intercept 2'!J47, 'Point Intercept 1'!J47, "ERROR")</f>
        <v>6.5</v>
      </c>
      <c r="K47" s="9" t="str">
        <f>if('Point Intercept 1'!K47 = 'Point Intercept 2'!K47, 'Point Intercept 1'!K47, "ERROR")</f>
        <v>MEDPOL</v>
      </c>
      <c r="L47" s="9" t="str">
        <f>if('Point Intercept 1'!L47 = 'Point Intercept 2'!L47, 'Point Intercept 1'!L47, "ERROR")</f>
        <v>Medicago polymorpha</v>
      </c>
      <c r="M47" s="9" t="str">
        <f>if('Point Intercept 1'!N47 = 'Point Intercept 2'!M47, 'Point Intercept 1'!N47, "ERROR")</f>
        <v/>
      </c>
      <c r="N47" s="9" t="str">
        <f>if('Point Intercept 1'!O47 = 'Point Intercept 2'!N47, 'Point Intercept 1'!O47, "ERROR")</f>
        <v/>
      </c>
      <c r="O47" s="9" t="str">
        <f>if('Point Intercept 1'!P47 = 'Point Intercept 2'!O47, 'Point Intercept 1'!P47, "ERROR")</f>
        <v/>
      </c>
    </row>
    <row r="48">
      <c r="A48" s="9">
        <f>if('Point Intercept 1'!A48 = 'Point Intercept 2'!A48, 'Point Intercept 1'!A48, "ERROR")</f>
        <v>1</v>
      </c>
      <c r="B48" s="9">
        <f>if('Point Intercept 1'!B48 = 'Point Intercept 2'!B48, 'Point Intercept 1'!B48, "ERROR")</f>
        <v>2025</v>
      </c>
      <c r="C48" s="13">
        <f>if('Point Intercept 1'!C48 = 'Point Intercept 2'!C48, 'Point Intercept 1'!C48, "ERROR")</f>
        <v>45764</v>
      </c>
      <c r="D48" s="9" t="str">
        <f>if('Point Intercept 1'!D48 = 'Point Intercept 2'!D48, 'Point Intercept 1'!D48, "ERROR")</f>
        <v>TL, CG, BN</v>
      </c>
      <c r="E48" s="9" t="str">
        <f>if('Point Intercept 1'!E48 = 'Point Intercept 2'!E48, 'Point Intercept 1'!E48, "ERROR")</f>
        <v>VB</v>
      </c>
      <c r="F48" s="9">
        <f>if('Point Intercept 1'!F48 = 'Point Intercept 2'!F48, 'Point Intercept 1'!F48, "ERROR")</f>
        <v>1</v>
      </c>
      <c r="G48" s="9" t="str">
        <f>if('Point Intercept 1'!G48 = 'Point Intercept 2'!G48, 'Point Intercept 1'!G48, "ERROR")</f>
        <v>LS</v>
      </c>
      <c r="H48" s="9">
        <f>if('Point Intercept 1'!I48 = 'Point Intercept 2'!I48, 'Point Intercept 1'!I48, "ERROR")</f>
        <v>14</v>
      </c>
      <c r="I48" s="9">
        <f>if('Point Intercept 1'!H48 = 'Point Intercept 2'!H48, 'Point Intercept 1'!H48, "ERROR")</f>
        <v>1</v>
      </c>
      <c r="J48" s="9">
        <f>if('Point Intercept 1'!J48 = 'Point Intercept 2'!J48, 'Point Intercept 1'!J48, "ERROR")</f>
        <v>7</v>
      </c>
      <c r="K48" s="9" t="str">
        <f>if('Point Intercept 1'!K48 = 'Point Intercept 2'!K48, 'Point Intercept 1'!K48, "ERROR")</f>
        <v>S</v>
      </c>
      <c r="L48" s="9" t="str">
        <f>if('Point Intercept 1'!L48 = 'Point Intercept 2'!L48, 'Point Intercept 1'!L48, "ERROR")</f>
        <v>Stem</v>
      </c>
      <c r="M48" s="9" t="str">
        <f>if('Point Intercept 1'!N48 = 'Point Intercept 2'!M48, 'Point Intercept 1'!N48, "ERROR")</f>
        <v/>
      </c>
      <c r="N48" s="9" t="str">
        <f>if('Point Intercept 1'!O48 = 'Point Intercept 2'!N48, 'Point Intercept 1'!O48, "ERROR")</f>
        <v/>
      </c>
      <c r="O48" s="9" t="str">
        <f>if('Point Intercept 1'!P48 = 'Point Intercept 2'!O48, 'Point Intercept 1'!P48, "ERROR")</f>
        <v/>
      </c>
    </row>
    <row r="49">
      <c r="A49" s="9">
        <f>if('Point Intercept 1'!A49 = 'Point Intercept 2'!A49, 'Point Intercept 1'!A49, "ERROR")</f>
        <v>1</v>
      </c>
      <c r="B49" s="9">
        <f>if('Point Intercept 1'!B49 = 'Point Intercept 2'!B49, 'Point Intercept 1'!B49, "ERROR")</f>
        <v>2025</v>
      </c>
      <c r="C49" s="13">
        <f>if('Point Intercept 1'!C49 = 'Point Intercept 2'!C49, 'Point Intercept 1'!C49, "ERROR")</f>
        <v>45764</v>
      </c>
      <c r="D49" s="9" t="str">
        <f>if('Point Intercept 1'!D49 = 'Point Intercept 2'!D49, 'Point Intercept 1'!D49, "ERROR")</f>
        <v>TL, CG, BN</v>
      </c>
      <c r="E49" s="9" t="str">
        <f>if('Point Intercept 1'!E49 = 'Point Intercept 2'!E49, 'Point Intercept 1'!E49, "ERROR")</f>
        <v>VB</v>
      </c>
      <c r="F49" s="9">
        <f>if('Point Intercept 1'!F49 = 'Point Intercept 2'!F49, 'Point Intercept 1'!F49, "ERROR")</f>
        <v>1</v>
      </c>
      <c r="G49" s="9" t="str">
        <f>if('Point Intercept 1'!G49 = 'Point Intercept 2'!G49, 'Point Intercept 1'!G49, "ERROR")</f>
        <v>LS</v>
      </c>
      <c r="H49" s="9">
        <f>if('Point Intercept 1'!I49 = 'Point Intercept 2'!I49, 'Point Intercept 1'!I49, "ERROR")</f>
        <v>14</v>
      </c>
      <c r="I49" s="9">
        <f>if('Point Intercept 1'!H49 = 'Point Intercept 2'!H49, 'Point Intercept 1'!H49, "ERROR")</f>
        <v>1</v>
      </c>
      <c r="J49" s="9">
        <f>if('Point Intercept 1'!J49 = 'Point Intercept 2'!J49, 'Point Intercept 1'!J49, "ERROR")</f>
        <v>7</v>
      </c>
      <c r="K49" s="9" t="str">
        <f>if('Point Intercept 1'!K49 = 'Point Intercept 2'!K49, 'Point Intercept 1'!K49, "ERROR")</f>
        <v>OPULIT</v>
      </c>
      <c r="L49" s="9" t="str">
        <f>if('Point Intercept 1'!L49 = 'Point Intercept 2'!L49, 'Point Intercept 1'!L49, "ERROR")</f>
        <v>Opuntia littoralis</v>
      </c>
      <c r="M49" s="9" t="str">
        <f>if('Point Intercept 1'!N49 = 'Point Intercept 2'!M49, 'Point Intercept 1'!N49, "ERROR")</f>
        <v/>
      </c>
      <c r="N49" s="9" t="str">
        <f>if('Point Intercept 1'!O49 = 'Point Intercept 2'!N49, 'Point Intercept 1'!O49, "ERROR")</f>
        <v/>
      </c>
      <c r="O49" s="9" t="str">
        <f>if('Point Intercept 1'!P49 = 'Point Intercept 2'!O49, 'Point Intercept 1'!P49, "ERROR")</f>
        <v/>
      </c>
    </row>
    <row r="50">
      <c r="A50" s="9">
        <f>if('Point Intercept 1'!A50 = 'Point Intercept 2'!A50, 'Point Intercept 1'!A50, "ERROR")</f>
        <v>1</v>
      </c>
      <c r="B50" s="9">
        <f>if('Point Intercept 1'!B50 = 'Point Intercept 2'!B50, 'Point Intercept 1'!B50, "ERROR")</f>
        <v>2025</v>
      </c>
      <c r="C50" s="13">
        <f>if('Point Intercept 1'!C50 = 'Point Intercept 2'!C50, 'Point Intercept 1'!C50, "ERROR")</f>
        <v>45764</v>
      </c>
      <c r="D50" s="9" t="str">
        <f>if('Point Intercept 1'!D50 = 'Point Intercept 2'!D50, 'Point Intercept 1'!D50, "ERROR")</f>
        <v>TL, CG, BN</v>
      </c>
      <c r="E50" s="9" t="str">
        <f>if('Point Intercept 1'!E50 = 'Point Intercept 2'!E50, 'Point Intercept 1'!E50, "ERROR")</f>
        <v>VB</v>
      </c>
      <c r="F50" s="9">
        <f>if('Point Intercept 1'!F50 = 'Point Intercept 2'!F50, 'Point Intercept 1'!F50, "ERROR")</f>
        <v>1</v>
      </c>
      <c r="G50" s="9" t="str">
        <f>if('Point Intercept 1'!G50 = 'Point Intercept 2'!G50, 'Point Intercept 1'!G50, "ERROR")</f>
        <v>LS</v>
      </c>
      <c r="H50" s="9">
        <f>if('Point Intercept 1'!I50 = 'Point Intercept 2'!I50, 'Point Intercept 1'!I50, "ERROR")</f>
        <v>15</v>
      </c>
      <c r="I50" s="9">
        <f>if('Point Intercept 1'!H50 = 'Point Intercept 2'!H50, 'Point Intercept 1'!H50, "ERROR")</f>
        <v>1</v>
      </c>
      <c r="J50" s="9">
        <f>if('Point Intercept 1'!J50 = 'Point Intercept 2'!J50, 'Point Intercept 1'!J50, "ERROR")</f>
        <v>7.5</v>
      </c>
      <c r="K50" s="9" t="str">
        <f>if('Point Intercept 1'!K50 = 'Point Intercept 2'!K50, 'Point Intercept 1'!K50, "ERROR")</f>
        <v>L</v>
      </c>
      <c r="L50" s="9" t="str">
        <f>if('Point Intercept 1'!L50 = 'Point Intercept 2'!L50, 'Point Intercept 1'!L50, "ERROR")</f>
        <v>Litter</v>
      </c>
      <c r="M50" s="9" t="str">
        <f>if('Point Intercept 1'!N50 = 'Point Intercept 2'!M50, 'Point Intercept 1'!N50, "ERROR")</f>
        <v/>
      </c>
      <c r="N50" s="9" t="str">
        <f>if('Point Intercept 1'!O50 = 'Point Intercept 2'!N50, 'Point Intercept 1'!O50, "ERROR")</f>
        <v/>
      </c>
      <c r="O50" s="9" t="str">
        <f>if('Point Intercept 1'!P50 = 'Point Intercept 2'!O50, 'Point Intercept 1'!P50, "ERROR")</f>
        <v/>
      </c>
    </row>
    <row r="51">
      <c r="A51" s="9">
        <f>if('Point Intercept 1'!A51 = 'Point Intercept 2'!A51, 'Point Intercept 1'!A51, "ERROR")</f>
        <v>1</v>
      </c>
      <c r="B51" s="9">
        <f>if('Point Intercept 1'!B51 = 'Point Intercept 2'!B51, 'Point Intercept 1'!B51, "ERROR")</f>
        <v>2025</v>
      </c>
      <c r="C51" s="13">
        <f>if('Point Intercept 1'!C51 = 'Point Intercept 2'!C51, 'Point Intercept 1'!C51, "ERROR")</f>
        <v>45764</v>
      </c>
      <c r="D51" s="9" t="str">
        <f>if('Point Intercept 1'!D51 = 'Point Intercept 2'!D51, 'Point Intercept 1'!D51, "ERROR")</f>
        <v>TL, CG, BN</v>
      </c>
      <c r="E51" s="9" t="str">
        <f>if('Point Intercept 1'!E51 = 'Point Intercept 2'!E51, 'Point Intercept 1'!E51, "ERROR")</f>
        <v>VB</v>
      </c>
      <c r="F51" s="9">
        <f>if('Point Intercept 1'!F51 = 'Point Intercept 2'!F51, 'Point Intercept 1'!F51, "ERROR")</f>
        <v>1</v>
      </c>
      <c r="G51" s="9" t="str">
        <f>if('Point Intercept 1'!G51 = 'Point Intercept 2'!G51, 'Point Intercept 1'!G51, "ERROR")</f>
        <v>LS</v>
      </c>
      <c r="H51" s="9">
        <f>if('Point Intercept 1'!I51 = 'Point Intercept 2'!I51, 'Point Intercept 1'!I51, "ERROR")</f>
        <v>15</v>
      </c>
      <c r="I51" s="9">
        <f>if('Point Intercept 1'!H51 = 'Point Intercept 2'!H51, 'Point Intercept 1'!H51, "ERROR")</f>
        <v>1</v>
      </c>
      <c r="J51" s="9">
        <f>if('Point Intercept 1'!J51 = 'Point Intercept 2'!J51, 'Point Intercept 1'!J51, "ERROR")</f>
        <v>7.5</v>
      </c>
      <c r="K51" s="9" t="str">
        <f>if('Point Intercept 1'!K51 = 'Point Intercept 2'!K51, 'Point Intercept 1'!K51, "ERROR")</f>
        <v>OPULIT</v>
      </c>
      <c r="L51" s="9" t="str">
        <f>if('Point Intercept 1'!L51 = 'Point Intercept 2'!L51, 'Point Intercept 1'!L51, "ERROR")</f>
        <v>Opuntia littoralis</v>
      </c>
      <c r="M51" s="9" t="str">
        <f>if('Point Intercept 1'!N51 = 'Point Intercept 2'!M51, 'Point Intercept 1'!N51, "ERROR")</f>
        <v/>
      </c>
      <c r="N51" s="9" t="str">
        <f>if('Point Intercept 1'!O51 = 'Point Intercept 2'!N51, 'Point Intercept 1'!O51, "ERROR")</f>
        <v/>
      </c>
      <c r="O51" s="9" t="str">
        <f>if('Point Intercept 1'!P51 = 'Point Intercept 2'!O51, 'Point Intercept 1'!P51, "ERROR")</f>
        <v/>
      </c>
    </row>
    <row r="52">
      <c r="A52" s="9">
        <f>if('Point Intercept 1'!A52 = 'Point Intercept 2'!A52, 'Point Intercept 1'!A52, "ERROR")</f>
        <v>1</v>
      </c>
      <c r="B52" s="9">
        <f>if('Point Intercept 1'!B52 = 'Point Intercept 2'!B52, 'Point Intercept 1'!B52, "ERROR")</f>
        <v>2025</v>
      </c>
      <c r="C52" s="13">
        <f>if('Point Intercept 1'!C52 = 'Point Intercept 2'!C52, 'Point Intercept 1'!C52, "ERROR")</f>
        <v>45764</v>
      </c>
      <c r="D52" s="9" t="str">
        <f>if('Point Intercept 1'!D52 = 'Point Intercept 2'!D52, 'Point Intercept 1'!D52, "ERROR")</f>
        <v>TL, CG, BN</v>
      </c>
      <c r="E52" s="9" t="str">
        <f>if('Point Intercept 1'!E52 = 'Point Intercept 2'!E52, 'Point Intercept 1'!E52, "ERROR")</f>
        <v>VB</v>
      </c>
      <c r="F52" s="9">
        <f>if('Point Intercept 1'!F52 = 'Point Intercept 2'!F52, 'Point Intercept 1'!F52, "ERROR")</f>
        <v>1</v>
      </c>
      <c r="G52" s="9" t="str">
        <f>if('Point Intercept 1'!G52 = 'Point Intercept 2'!G52, 'Point Intercept 1'!G52, "ERROR")</f>
        <v>LS</v>
      </c>
      <c r="H52" s="9">
        <f>if('Point Intercept 1'!I52 = 'Point Intercept 2'!I52, 'Point Intercept 1'!I52, "ERROR")</f>
        <v>15</v>
      </c>
      <c r="I52" s="9">
        <f>if('Point Intercept 1'!H52 = 'Point Intercept 2'!H52, 'Point Intercept 1'!H52, "ERROR")</f>
        <v>1</v>
      </c>
      <c r="J52" s="9">
        <f>if('Point Intercept 1'!J52 = 'Point Intercept 2'!J52, 'Point Intercept 1'!J52, "ERROR")</f>
        <v>7.5</v>
      </c>
      <c r="K52" s="9" t="str">
        <f>if('Point Intercept 1'!K52 = 'Point Intercept 2'!K52, 'Point Intercept 1'!K52, "ERROR")</f>
        <v>MEDPOL</v>
      </c>
      <c r="L52" s="9" t="str">
        <f>if('Point Intercept 1'!L52 = 'Point Intercept 2'!L52, 'Point Intercept 1'!L52, "ERROR")</f>
        <v>Medicago polymorpha</v>
      </c>
      <c r="M52" s="9" t="str">
        <f>if('Point Intercept 1'!N52 = 'Point Intercept 2'!M52, 'Point Intercept 1'!N52, "ERROR")</f>
        <v/>
      </c>
      <c r="N52" s="9" t="str">
        <f>if('Point Intercept 1'!O52 = 'Point Intercept 2'!N52, 'Point Intercept 1'!O52, "ERROR")</f>
        <v/>
      </c>
      <c r="O52" s="9" t="str">
        <f>if('Point Intercept 1'!P52 = 'Point Intercept 2'!O52, 'Point Intercept 1'!P52, "ERROR")</f>
        <v/>
      </c>
    </row>
    <row r="53">
      <c r="A53" s="9">
        <f>if('Point Intercept 1'!A53 = 'Point Intercept 2'!A53, 'Point Intercept 1'!A53, "ERROR")</f>
        <v>1</v>
      </c>
      <c r="B53" s="9">
        <f>if('Point Intercept 1'!B53 = 'Point Intercept 2'!B53, 'Point Intercept 1'!B53, "ERROR")</f>
        <v>2025</v>
      </c>
      <c r="C53" s="13">
        <f>if('Point Intercept 1'!C53 = 'Point Intercept 2'!C53, 'Point Intercept 1'!C53, "ERROR")</f>
        <v>45764</v>
      </c>
      <c r="D53" s="9" t="str">
        <f>if('Point Intercept 1'!D53 = 'Point Intercept 2'!D53, 'Point Intercept 1'!D53, "ERROR")</f>
        <v>TL, CG, BN</v>
      </c>
      <c r="E53" s="9" t="str">
        <f>if('Point Intercept 1'!E53 = 'Point Intercept 2'!E53, 'Point Intercept 1'!E53, "ERROR")</f>
        <v>VB</v>
      </c>
      <c r="F53" s="9">
        <f>if('Point Intercept 1'!F53 = 'Point Intercept 2'!F53, 'Point Intercept 1'!F53, "ERROR")</f>
        <v>1</v>
      </c>
      <c r="G53" s="9" t="str">
        <f>if('Point Intercept 1'!G53 = 'Point Intercept 2'!G53, 'Point Intercept 1'!G53, "ERROR")</f>
        <v>LS</v>
      </c>
      <c r="H53" s="9">
        <f>if('Point Intercept 1'!I53 = 'Point Intercept 2'!I53, 'Point Intercept 1'!I53, "ERROR")</f>
        <v>1</v>
      </c>
      <c r="I53" s="9">
        <f>if('Point Intercept 1'!H53 = 'Point Intercept 2'!H53, 'Point Intercept 1'!H53, "ERROR")</f>
        <v>2</v>
      </c>
      <c r="J53" s="9">
        <f>if('Point Intercept 1'!J53 = 'Point Intercept 2'!J53, 'Point Intercept 1'!J53, "ERROR")</f>
        <v>0</v>
      </c>
      <c r="K53" s="9" t="str">
        <f>if('Point Intercept 1'!K53 = 'Point Intercept 2'!K53, 'Point Intercept 1'!K53, "ERROR")</f>
        <v>TH</v>
      </c>
      <c r="L53" s="9" t="str">
        <f>if('Point Intercept 1'!L53 = 'Point Intercept 2'!L53, 'Point Intercept 1'!L53, "ERROR")</f>
        <v>Thatch</v>
      </c>
      <c r="M53" s="9" t="str">
        <f>if('Point Intercept 1'!N53 = 'Point Intercept 2'!M53, 'Point Intercept 1'!N53, "ERROR")</f>
        <v/>
      </c>
      <c r="N53" s="9" t="str">
        <f>if('Point Intercept 1'!O53 = 'Point Intercept 2'!N53, 'Point Intercept 1'!O53, "ERROR")</f>
        <v/>
      </c>
      <c r="O53" s="9" t="str">
        <f>if('Point Intercept 1'!P53 = 'Point Intercept 2'!O53, 'Point Intercept 1'!P53, "ERROR")</f>
        <v/>
      </c>
    </row>
    <row r="54">
      <c r="A54" s="9">
        <f>if('Point Intercept 1'!A54 = 'Point Intercept 2'!A54, 'Point Intercept 1'!A54, "ERROR")</f>
        <v>1</v>
      </c>
      <c r="B54" s="9">
        <f>if('Point Intercept 1'!B54 = 'Point Intercept 2'!B54, 'Point Intercept 1'!B54, "ERROR")</f>
        <v>2025</v>
      </c>
      <c r="C54" s="13">
        <f>if('Point Intercept 1'!C54 = 'Point Intercept 2'!C54, 'Point Intercept 1'!C54, "ERROR")</f>
        <v>45764</v>
      </c>
      <c r="D54" s="9" t="str">
        <f>if('Point Intercept 1'!D54 = 'Point Intercept 2'!D54, 'Point Intercept 1'!D54, "ERROR")</f>
        <v>TL, CG, BN</v>
      </c>
      <c r="E54" s="9" t="str">
        <f>if('Point Intercept 1'!E54 = 'Point Intercept 2'!E54, 'Point Intercept 1'!E54, "ERROR")</f>
        <v>VB</v>
      </c>
      <c r="F54" s="9">
        <f>if('Point Intercept 1'!F54 = 'Point Intercept 2'!F54, 'Point Intercept 1'!F54, "ERROR")</f>
        <v>1</v>
      </c>
      <c r="G54" s="9" t="str">
        <f>if('Point Intercept 1'!G54 = 'Point Intercept 2'!G54, 'Point Intercept 1'!G54, "ERROR")</f>
        <v>LS</v>
      </c>
      <c r="H54" s="9">
        <f>if('Point Intercept 1'!I54 = 'Point Intercept 2'!I54, 'Point Intercept 1'!I54, "ERROR")</f>
        <v>1</v>
      </c>
      <c r="I54" s="9">
        <f>if('Point Intercept 1'!H54 = 'Point Intercept 2'!H54, 'Point Intercept 1'!H54, "ERROR")</f>
        <v>2</v>
      </c>
      <c r="J54" s="9">
        <f>if('Point Intercept 1'!J54 = 'Point Intercept 2'!J54, 'Point Intercept 1'!J54, "ERROR")</f>
        <v>0</v>
      </c>
      <c r="K54" s="9" t="str">
        <f>if('Point Intercept 1'!K54 = 'Point Intercept 2'!K54, 'Point Intercept 1'!K54, "ERROR")</f>
        <v>STEDIE</v>
      </c>
      <c r="L54" s="9" t="str">
        <f>if('Point Intercept 1'!L54 = 'Point Intercept 2'!L54, 'Point Intercept 1'!L54, "ERROR")</f>
        <v>Stephanomeria diegensis</v>
      </c>
      <c r="M54" s="9" t="str">
        <f>if('Point Intercept 1'!N54 = 'Point Intercept 2'!M54, 'Point Intercept 1'!N54, "ERROR")</f>
        <v/>
      </c>
      <c r="N54" s="9" t="str">
        <f>if('Point Intercept 1'!O54 = 'Point Intercept 2'!N54, 'Point Intercept 1'!O54, "ERROR")</f>
        <v/>
      </c>
      <c r="O54" s="9" t="str">
        <f>if('Point Intercept 1'!P54 = 'Point Intercept 2'!O54, 'Point Intercept 1'!P54, "ERROR")</f>
        <v/>
      </c>
    </row>
    <row r="55">
      <c r="A55" s="9">
        <f>if('Point Intercept 1'!A55 = 'Point Intercept 2'!A55, 'Point Intercept 1'!A55, "ERROR")</f>
        <v>1</v>
      </c>
      <c r="B55" s="9">
        <f>if('Point Intercept 1'!B55 = 'Point Intercept 2'!B55, 'Point Intercept 1'!B55, "ERROR")</f>
        <v>2025</v>
      </c>
      <c r="C55" s="13">
        <f>if('Point Intercept 1'!C55 = 'Point Intercept 2'!C55, 'Point Intercept 1'!C55, "ERROR")</f>
        <v>45764</v>
      </c>
      <c r="D55" s="9" t="str">
        <f>if('Point Intercept 1'!D55 = 'Point Intercept 2'!D55, 'Point Intercept 1'!D55, "ERROR")</f>
        <v>TL, CG, BN</v>
      </c>
      <c r="E55" s="9" t="str">
        <f>if('Point Intercept 1'!E55 = 'Point Intercept 2'!E55, 'Point Intercept 1'!E55, "ERROR")</f>
        <v>VB</v>
      </c>
      <c r="F55" s="9">
        <f>if('Point Intercept 1'!F55 = 'Point Intercept 2'!F55, 'Point Intercept 1'!F55, "ERROR")</f>
        <v>1</v>
      </c>
      <c r="G55" s="9" t="str">
        <f>if('Point Intercept 1'!G55 = 'Point Intercept 2'!G55, 'Point Intercept 1'!G55, "ERROR")</f>
        <v>LS</v>
      </c>
      <c r="H55" s="9">
        <f>if('Point Intercept 1'!I55 = 'Point Intercept 2'!I55, 'Point Intercept 1'!I55, "ERROR")</f>
        <v>1</v>
      </c>
      <c r="I55" s="9">
        <f>if('Point Intercept 1'!H55 = 'Point Intercept 2'!H55, 'Point Intercept 1'!H55, "ERROR")</f>
        <v>2</v>
      </c>
      <c r="J55" s="9">
        <f>if('Point Intercept 1'!J55 = 'Point Intercept 2'!J55, 'Point Intercept 1'!J55, "ERROR")</f>
        <v>0</v>
      </c>
      <c r="K55" s="9" t="str">
        <f>if('Point Intercept 1'!K55 = 'Point Intercept 2'!K55, 'Point Intercept 1'!K55, "ERROR")</f>
        <v>MEDPOL</v>
      </c>
      <c r="L55" s="9" t="str">
        <f>if('Point Intercept 1'!L55 = 'Point Intercept 2'!L55, 'Point Intercept 1'!L55, "ERROR")</f>
        <v>Medicago polymorpha</v>
      </c>
      <c r="M55" s="9" t="str">
        <f>if('Point Intercept 1'!N55 = 'Point Intercept 2'!M55, 'Point Intercept 1'!N55, "ERROR")</f>
        <v/>
      </c>
      <c r="N55" s="9" t="str">
        <f>if('Point Intercept 1'!O55 = 'Point Intercept 2'!N55, 'Point Intercept 1'!O55, "ERROR")</f>
        <v/>
      </c>
      <c r="O55" s="9" t="str">
        <f>if('Point Intercept 1'!P55 = 'Point Intercept 2'!O55, 'Point Intercept 1'!P55, "ERROR")</f>
        <v/>
      </c>
    </row>
    <row r="56">
      <c r="A56" s="9">
        <f>if('Point Intercept 1'!A56 = 'Point Intercept 2'!A56, 'Point Intercept 1'!A56, "ERROR")</f>
        <v>1</v>
      </c>
      <c r="B56" s="9">
        <f>if('Point Intercept 1'!B56 = 'Point Intercept 2'!B56, 'Point Intercept 1'!B56, "ERROR")</f>
        <v>2025</v>
      </c>
      <c r="C56" s="13">
        <f>if('Point Intercept 1'!C56 = 'Point Intercept 2'!C56, 'Point Intercept 1'!C56, "ERROR")</f>
        <v>45764</v>
      </c>
      <c r="D56" s="9" t="str">
        <f>if('Point Intercept 1'!D56 = 'Point Intercept 2'!D56, 'Point Intercept 1'!D56, "ERROR")</f>
        <v>TL, CG, BN</v>
      </c>
      <c r="E56" s="9" t="str">
        <f>if('Point Intercept 1'!E56 = 'Point Intercept 2'!E56, 'Point Intercept 1'!E56, "ERROR")</f>
        <v>VB</v>
      </c>
      <c r="F56" s="9">
        <f>if('Point Intercept 1'!F56 = 'Point Intercept 2'!F56, 'Point Intercept 1'!F56, "ERROR")</f>
        <v>1</v>
      </c>
      <c r="G56" s="9" t="str">
        <f>if('Point Intercept 1'!G56 = 'Point Intercept 2'!G56, 'Point Intercept 1'!G56, "ERROR")</f>
        <v>LS</v>
      </c>
      <c r="H56" s="9">
        <f>if('Point Intercept 1'!I56 = 'Point Intercept 2'!I56, 'Point Intercept 1'!I56, "ERROR")</f>
        <v>1</v>
      </c>
      <c r="I56" s="9">
        <f>if('Point Intercept 1'!H56 = 'Point Intercept 2'!H56, 'Point Intercept 1'!H56, "ERROR")</f>
        <v>2</v>
      </c>
      <c r="J56" s="9">
        <f>if('Point Intercept 1'!J56 = 'Point Intercept 2'!J56, 'Point Intercept 1'!J56, "ERROR")</f>
        <v>0</v>
      </c>
      <c r="K56" s="9" t="str">
        <f>if('Point Intercept 1'!K56 = 'Point Intercept 2'!K56, 'Point Intercept 1'!K56, "ERROR")</f>
        <v>FESMYU</v>
      </c>
      <c r="L56" s="9" t="str">
        <f>if('Point Intercept 1'!L56 = 'Point Intercept 2'!L56, 'Point Intercept 1'!L56, "ERROR")</f>
        <v>Festuca myuros</v>
      </c>
      <c r="M56" s="9" t="str">
        <f>if('Point Intercept 1'!N56 = 'Point Intercept 2'!M56, 'Point Intercept 1'!N56, "ERROR")</f>
        <v/>
      </c>
      <c r="N56" s="9" t="str">
        <f>if('Point Intercept 1'!O56 = 'Point Intercept 2'!N56, 'Point Intercept 1'!O56, "ERROR")</f>
        <v/>
      </c>
      <c r="O56" s="9" t="str">
        <f>if('Point Intercept 1'!P56 = 'Point Intercept 2'!O56, 'Point Intercept 1'!P56, "ERROR")</f>
        <v/>
      </c>
    </row>
    <row r="57">
      <c r="A57" s="9">
        <f>if('Point Intercept 1'!A57 = 'Point Intercept 2'!A57, 'Point Intercept 1'!A57, "ERROR")</f>
        <v>1</v>
      </c>
      <c r="B57" s="9">
        <f>if('Point Intercept 1'!B57 = 'Point Intercept 2'!B57, 'Point Intercept 1'!B57, "ERROR")</f>
        <v>2025</v>
      </c>
      <c r="C57" s="13">
        <f>if('Point Intercept 1'!C57 = 'Point Intercept 2'!C57, 'Point Intercept 1'!C57, "ERROR")</f>
        <v>45764</v>
      </c>
      <c r="D57" s="9" t="str">
        <f>if('Point Intercept 1'!D57 = 'Point Intercept 2'!D57, 'Point Intercept 1'!D57, "ERROR")</f>
        <v>TL, CG, BN</v>
      </c>
      <c r="E57" s="9" t="str">
        <f>if('Point Intercept 1'!E57 = 'Point Intercept 2'!E57, 'Point Intercept 1'!E57, "ERROR")</f>
        <v>VB</v>
      </c>
      <c r="F57" s="9">
        <f>if('Point Intercept 1'!F57 = 'Point Intercept 2'!F57, 'Point Intercept 1'!F57, "ERROR")</f>
        <v>1</v>
      </c>
      <c r="G57" s="9" t="str">
        <f>if('Point Intercept 1'!G57 = 'Point Intercept 2'!G57, 'Point Intercept 1'!G57, "ERROR")</f>
        <v>LS</v>
      </c>
      <c r="H57" s="9">
        <f>if('Point Intercept 1'!I57 = 'Point Intercept 2'!I57, 'Point Intercept 1'!I57, "ERROR")</f>
        <v>2</v>
      </c>
      <c r="I57" s="9">
        <f>if('Point Intercept 1'!H57 = 'Point Intercept 2'!H57, 'Point Intercept 1'!H57, "ERROR")</f>
        <v>2</v>
      </c>
      <c r="J57" s="9">
        <f>if('Point Intercept 1'!J57 = 'Point Intercept 2'!J57, 'Point Intercept 1'!J57, "ERROR")</f>
        <v>0.5</v>
      </c>
      <c r="K57" s="9" t="str">
        <f>if('Point Intercept 1'!K57 = 'Point Intercept 2'!K57, 'Point Intercept 1'!K57, "ERROR")</f>
        <v>TH</v>
      </c>
      <c r="L57" s="9" t="str">
        <f>if('Point Intercept 1'!L57 = 'Point Intercept 2'!L57, 'Point Intercept 1'!L57, "ERROR")</f>
        <v>Thatch</v>
      </c>
      <c r="M57" s="9" t="str">
        <f>if('Point Intercept 1'!N57 = 'Point Intercept 2'!M57, 'Point Intercept 1'!N57, "ERROR")</f>
        <v/>
      </c>
      <c r="N57" s="9" t="str">
        <f>if('Point Intercept 1'!O57 = 'Point Intercept 2'!N57, 'Point Intercept 1'!O57, "ERROR")</f>
        <v/>
      </c>
      <c r="O57" s="9" t="str">
        <f>if('Point Intercept 1'!P57 = 'Point Intercept 2'!O57, 'Point Intercept 1'!P57, "ERROR")</f>
        <v/>
      </c>
    </row>
    <row r="58">
      <c r="A58" s="9">
        <f>if('Point Intercept 1'!A58 = 'Point Intercept 2'!A58, 'Point Intercept 1'!A58, "ERROR")</f>
        <v>1</v>
      </c>
      <c r="B58" s="9">
        <f>if('Point Intercept 1'!B58 = 'Point Intercept 2'!B58, 'Point Intercept 1'!B58, "ERROR")</f>
        <v>2025</v>
      </c>
      <c r="C58" s="13">
        <f>if('Point Intercept 1'!C58 = 'Point Intercept 2'!C58, 'Point Intercept 1'!C58, "ERROR")</f>
        <v>45764</v>
      </c>
      <c r="D58" s="9" t="str">
        <f>if('Point Intercept 1'!D58 = 'Point Intercept 2'!D58, 'Point Intercept 1'!D58, "ERROR")</f>
        <v>TL, CG, BN</v>
      </c>
      <c r="E58" s="9" t="str">
        <f>if('Point Intercept 1'!E58 = 'Point Intercept 2'!E58, 'Point Intercept 1'!E58, "ERROR")</f>
        <v>VB</v>
      </c>
      <c r="F58" s="9">
        <f>if('Point Intercept 1'!F58 = 'Point Intercept 2'!F58, 'Point Intercept 1'!F58, "ERROR")</f>
        <v>1</v>
      </c>
      <c r="G58" s="9" t="str">
        <f>if('Point Intercept 1'!G58 = 'Point Intercept 2'!G58, 'Point Intercept 1'!G58, "ERROR")</f>
        <v>LS</v>
      </c>
      <c r="H58" s="9">
        <f>if('Point Intercept 1'!I58 = 'Point Intercept 2'!I58, 'Point Intercept 1'!I58, "ERROR")</f>
        <v>2</v>
      </c>
      <c r="I58" s="9">
        <f>if('Point Intercept 1'!H58 = 'Point Intercept 2'!H58, 'Point Intercept 1'!H58, "ERROR")</f>
        <v>2</v>
      </c>
      <c r="J58" s="9">
        <f>if('Point Intercept 1'!J58 = 'Point Intercept 2'!J58, 'Point Intercept 1'!J58, "ERROR")</f>
        <v>0.5</v>
      </c>
      <c r="K58" s="9" t="str">
        <f>if('Point Intercept 1'!K58 = 'Point Intercept 2'!K58, 'Point Intercept 1'!K58, "ERROR")</f>
        <v>FESMYU</v>
      </c>
      <c r="L58" s="9" t="str">
        <f>if('Point Intercept 1'!L58 = 'Point Intercept 2'!L58, 'Point Intercept 1'!L58, "ERROR")</f>
        <v>Festuca myuros</v>
      </c>
      <c r="M58" s="9" t="str">
        <f>if('Point Intercept 1'!N58 = 'Point Intercept 2'!M58, 'Point Intercept 1'!N58, "ERROR")</f>
        <v/>
      </c>
      <c r="N58" s="9" t="str">
        <f>if('Point Intercept 1'!O58 = 'Point Intercept 2'!N58, 'Point Intercept 1'!O58, "ERROR")</f>
        <v/>
      </c>
      <c r="O58" s="9" t="str">
        <f>if('Point Intercept 1'!P58 = 'Point Intercept 2'!O58, 'Point Intercept 1'!P58, "ERROR")</f>
        <v/>
      </c>
    </row>
    <row r="59">
      <c r="A59" s="9">
        <f>if('Point Intercept 1'!A59 = 'Point Intercept 2'!A59, 'Point Intercept 1'!A59, "ERROR")</f>
        <v>1</v>
      </c>
      <c r="B59" s="9">
        <f>if('Point Intercept 1'!B59 = 'Point Intercept 2'!B59, 'Point Intercept 1'!B59, "ERROR")</f>
        <v>2025</v>
      </c>
      <c r="C59" s="13">
        <f>if('Point Intercept 1'!C59 = 'Point Intercept 2'!C59, 'Point Intercept 1'!C59, "ERROR")</f>
        <v>45764</v>
      </c>
      <c r="D59" s="9" t="str">
        <f>if('Point Intercept 1'!D59 = 'Point Intercept 2'!D59, 'Point Intercept 1'!D59, "ERROR")</f>
        <v>TL, CG, BN</v>
      </c>
      <c r="E59" s="9" t="str">
        <f>if('Point Intercept 1'!E59 = 'Point Intercept 2'!E59, 'Point Intercept 1'!E59, "ERROR")</f>
        <v>VB</v>
      </c>
      <c r="F59" s="9">
        <f>if('Point Intercept 1'!F59 = 'Point Intercept 2'!F59, 'Point Intercept 1'!F59, "ERROR")</f>
        <v>1</v>
      </c>
      <c r="G59" s="9" t="str">
        <f>if('Point Intercept 1'!G59 = 'Point Intercept 2'!G59, 'Point Intercept 1'!G59, "ERROR")</f>
        <v>LS</v>
      </c>
      <c r="H59" s="9">
        <f>if('Point Intercept 1'!I59 = 'Point Intercept 2'!I59, 'Point Intercept 1'!I59, "ERROR")</f>
        <v>2</v>
      </c>
      <c r="I59" s="9">
        <f>if('Point Intercept 1'!H59 = 'Point Intercept 2'!H59, 'Point Intercept 1'!H59, "ERROR")</f>
        <v>2</v>
      </c>
      <c r="J59" s="9">
        <f>if('Point Intercept 1'!J59 = 'Point Intercept 2'!J59, 'Point Intercept 1'!J59, "ERROR")</f>
        <v>0.5</v>
      </c>
      <c r="K59" s="9" t="str">
        <f>if('Point Intercept 1'!K59 = 'Point Intercept 2'!K59, 'Point Intercept 1'!K59, "ERROR")</f>
        <v>MEDPOL</v>
      </c>
      <c r="L59" s="9" t="str">
        <f>if('Point Intercept 1'!L59 = 'Point Intercept 2'!L59, 'Point Intercept 1'!L59, "ERROR")</f>
        <v>Medicago polymorpha</v>
      </c>
      <c r="M59" s="9" t="str">
        <f>if('Point Intercept 1'!N59 = 'Point Intercept 2'!M59, 'Point Intercept 1'!N59, "ERROR")</f>
        <v/>
      </c>
      <c r="N59" s="9" t="str">
        <f>if('Point Intercept 1'!O59 = 'Point Intercept 2'!N59, 'Point Intercept 1'!O59, "ERROR")</f>
        <v/>
      </c>
      <c r="O59" s="9" t="str">
        <f>if('Point Intercept 1'!P59 = 'Point Intercept 2'!O59, 'Point Intercept 1'!P59, "ERROR")</f>
        <v/>
      </c>
    </row>
    <row r="60">
      <c r="A60" s="9">
        <f>if('Point Intercept 1'!A60 = 'Point Intercept 2'!A60, 'Point Intercept 1'!A60, "ERROR")</f>
        <v>1</v>
      </c>
      <c r="B60" s="9">
        <f>if('Point Intercept 1'!B60 = 'Point Intercept 2'!B60, 'Point Intercept 1'!B60, "ERROR")</f>
        <v>2025</v>
      </c>
      <c r="C60" s="13">
        <f>if('Point Intercept 1'!C60 = 'Point Intercept 2'!C60, 'Point Intercept 1'!C60, "ERROR")</f>
        <v>45764</v>
      </c>
      <c r="D60" s="9" t="str">
        <f>if('Point Intercept 1'!D60 = 'Point Intercept 2'!D60, 'Point Intercept 1'!D60, "ERROR")</f>
        <v>TL, CG, BN</v>
      </c>
      <c r="E60" s="9" t="str">
        <f>if('Point Intercept 1'!E60 = 'Point Intercept 2'!E60, 'Point Intercept 1'!E60, "ERROR")</f>
        <v>VB</v>
      </c>
      <c r="F60" s="9">
        <f>if('Point Intercept 1'!F60 = 'Point Intercept 2'!F60, 'Point Intercept 1'!F60, "ERROR")</f>
        <v>1</v>
      </c>
      <c r="G60" s="9" t="str">
        <f>if('Point Intercept 1'!G60 = 'Point Intercept 2'!G60, 'Point Intercept 1'!G60, "ERROR")</f>
        <v>LS</v>
      </c>
      <c r="H60" s="9">
        <f>if('Point Intercept 1'!I60 = 'Point Intercept 2'!I60, 'Point Intercept 1'!I60, "ERROR")</f>
        <v>2</v>
      </c>
      <c r="I60" s="9">
        <f>if('Point Intercept 1'!H60 = 'Point Intercept 2'!H60, 'Point Intercept 1'!H60, "ERROR")</f>
        <v>2</v>
      </c>
      <c r="J60" s="9">
        <f>if('Point Intercept 1'!J60 = 'Point Intercept 2'!J60, 'Point Intercept 1'!J60, "ERROR")</f>
        <v>0.5</v>
      </c>
      <c r="K60" s="9" t="str">
        <f>if('Point Intercept 1'!K60 = 'Point Intercept 2'!K60, 'Point Intercept 1'!K60, "ERROR")</f>
        <v>CENMEL</v>
      </c>
      <c r="L60" s="9" t="str">
        <f>if('Point Intercept 1'!L60 = 'Point Intercept 2'!L60, 'Point Intercept 1'!L60, "ERROR")</f>
        <v>Centaurea melitensis</v>
      </c>
      <c r="M60" s="9" t="str">
        <f>if('Point Intercept 1'!N60 = 'Point Intercept 2'!M60, 'Point Intercept 1'!N60, "ERROR")</f>
        <v/>
      </c>
      <c r="N60" s="9" t="str">
        <f>if('Point Intercept 1'!O60 = 'Point Intercept 2'!N60, 'Point Intercept 1'!O60, "ERROR")</f>
        <v/>
      </c>
      <c r="O60" s="9" t="str">
        <f>if('Point Intercept 1'!P60 = 'Point Intercept 2'!O60, 'Point Intercept 1'!P60, "ERROR")</f>
        <v/>
      </c>
    </row>
    <row r="61">
      <c r="A61" s="9">
        <f>if('Point Intercept 1'!A61 = 'Point Intercept 2'!A61, 'Point Intercept 1'!A61, "ERROR")</f>
        <v>1</v>
      </c>
      <c r="B61" s="9">
        <f>if('Point Intercept 1'!B61 = 'Point Intercept 2'!B61, 'Point Intercept 1'!B61, "ERROR")</f>
        <v>2025</v>
      </c>
      <c r="C61" s="13">
        <f>if('Point Intercept 1'!C61 = 'Point Intercept 2'!C61, 'Point Intercept 1'!C61, "ERROR")</f>
        <v>45764</v>
      </c>
      <c r="D61" s="9" t="str">
        <f>if('Point Intercept 1'!D61 = 'Point Intercept 2'!D61, 'Point Intercept 1'!D61, "ERROR")</f>
        <v>TL, CG, BN</v>
      </c>
      <c r="E61" s="9" t="str">
        <f>if('Point Intercept 1'!E61 = 'Point Intercept 2'!E61, 'Point Intercept 1'!E61, "ERROR")</f>
        <v>VB</v>
      </c>
      <c r="F61" s="9">
        <f>if('Point Intercept 1'!F61 = 'Point Intercept 2'!F61, 'Point Intercept 1'!F61, "ERROR")</f>
        <v>1</v>
      </c>
      <c r="G61" s="9" t="str">
        <f>if('Point Intercept 1'!G61 = 'Point Intercept 2'!G61, 'Point Intercept 1'!G61, "ERROR")</f>
        <v>LS</v>
      </c>
      <c r="H61" s="9">
        <f>if('Point Intercept 1'!I61 = 'Point Intercept 2'!I61, 'Point Intercept 1'!I61, "ERROR")</f>
        <v>3</v>
      </c>
      <c r="I61" s="9">
        <f>if('Point Intercept 1'!H61 = 'Point Intercept 2'!H61, 'Point Intercept 1'!H61, "ERROR")</f>
        <v>2</v>
      </c>
      <c r="J61" s="9">
        <f>if('Point Intercept 1'!J61 = 'Point Intercept 2'!J61, 'Point Intercept 1'!J61, "ERROR")</f>
        <v>1</v>
      </c>
      <c r="K61" s="9" t="str">
        <f>if('Point Intercept 1'!K61 = 'Point Intercept 2'!K61, 'Point Intercept 1'!K61, "ERROR")</f>
        <v>L</v>
      </c>
      <c r="L61" s="9" t="str">
        <f>if('Point Intercept 1'!L61 = 'Point Intercept 2'!L61, 'Point Intercept 1'!L61, "ERROR")</f>
        <v>Litter</v>
      </c>
      <c r="M61" s="9" t="str">
        <f>if('Point Intercept 1'!N61 = 'Point Intercept 2'!M61, 'Point Intercept 1'!N61, "ERROR")</f>
        <v/>
      </c>
      <c r="N61" s="9" t="str">
        <f>if('Point Intercept 1'!O61 = 'Point Intercept 2'!N61, 'Point Intercept 1'!O61, "ERROR")</f>
        <v/>
      </c>
      <c r="O61" s="9" t="str">
        <f>if('Point Intercept 1'!P61 = 'Point Intercept 2'!O61, 'Point Intercept 1'!P61, "ERROR")</f>
        <v/>
      </c>
    </row>
    <row r="62">
      <c r="A62" s="9">
        <f>if('Point Intercept 1'!A62 = 'Point Intercept 2'!A62, 'Point Intercept 1'!A62, "ERROR")</f>
        <v>1</v>
      </c>
      <c r="B62" s="9">
        <f>if('Point Intercept 1'!B62 = 'Point Intercept 2'!B62, 'Point Intercept 1'!B62, "ERROR")</f>
        <v>2025</v>
      </c>
      <c r="C62" s="13">
        <f>if('Point Intercept 1'!C62 = 'Point Intercept 2'!C62, 'Point Intercept 1'!C62, "ERROR")</f>
        <v>45764</v>
      </c>
      <c r="D62" s="9" t="str">
        <f>if('Point Intercept 1'!D62 = 'Point Intercept 2'!D62, 'Point Intercept 1'!D62, "ERROR")</f>
        <v>TL, CG, BN</v>
      </c>
      <c r="E62" s="9" t="str">
        <f>if('Point Intercept 1'!E62 = 'Point Intercept 2'!E62, 'Point Intercept 1'!E62, "ERROR")</f>
        <v>VB</v>
      </c>
      <c r="F62" s="9">
        <f>if('Point Intercept 1'!F62 = 'Point Intercept 2'!F62, 'Point Intercept 1'!F62, "ERROR")</f>
        <v>1</v>
      </c>
      <c r="G62" s="9" t="str">
        <f>if('Point Intercept 1'!G62 = 'Point Intercept 2'!G62, 'Point Intercept 1'!G62, "ERROR")</f>
        <v>LS</v>
      </c>
      <c r="H62" s="9">
        <f>if('Point Intercept 1'!I62 = 'Point Intercept 2'!I62, 'Point Intercept 1'!I62, "ERROR")</f>
        <v>3</v>
      </c>
      <c r="I62" s="9">
        <f>if('Point Intercept 1'!H62 = 'Point Intercept 2'!H62, 'Point Intercept 1'!H62, "ERROR")</f>
        <v>2</v>
      </c>
      <c r="J62" s="9">
        <f>if('Point Intercept 1'!J62 = 'Point Intercept 2'!J62, 'Point Intercept 1'!J62, "ERROR")</f>
        <v>1</v>
      </c>
      <c r="K62" s="9" t="str">
        <f>if('Point Intercept 1'!K62 = 'Point Intercept 2'!K62, 'Point Intercept 1'!K62, "ERROR")</f>
        <v>UROLIN</v>
      </c>
      <c r="L62" s="9" t="str">
        <f>if('Point Intercept 1'!L62 = 'Point Intercept 2'!L62, 'Point Intercept 1'!L62, "ERROR")</f>
        <v>Uropappus lindleyi</v>
      </c>
      <c r="M62" s="9" t="str">
        <f>if('Point Intercept 1'!N62 = 'Point Intercept 2'!M62, 'Point Intercept 1'!N62, "ERROR")</f>
        <v/>
      </c>
      <c r="N62" s="9" t="str">
        <f>if('Point Intercept 1'!O62 = 'Point Intercept 2'!N62, 'Point Intercept 1'!O62, "ERROR")</f>
        <v/>
      </c>
      <c r="O62" s="9" t="str">
        <f>if('Point Intercept 1'!P62 = 'Point Intercept 2'!O62, 'Point Intercept 1'!P62, "ERROR")</f>
        <v/>
      </c>
    </row>
    <row r="63">
      <c r="A63" s="9">
        <f>if('Point Intercept 1'!A63 = 'Point Intercept 2'!A63, 'Point Intercept 1'!A63, "ERROR")</f>
        <v>1</v>
      </c>
      <c r="B63" s="9">
        <f>if('Point Intercept 1'!B63 = 'Point Intercept 2'!B63, 'Point Intercept 1'!B63, "ERROR")</f>
        <v>2025</v>
      </c>
      <c r="C63" s="13">
        <f>if('Point Intercept 1'!C63 = 'Point Intercept 2'!C63, 'Point Intercept 1'!C63, "ERROR")</f>
        <v>45764</v>
      </c>
      <c r="D63" s="9" t="str">
        <f>if('Point Intercept 1'!D63 = 'Point Intercept 2'!D63, 'Point Intercept 1'!D63, "ERROR")</f>
        <v>TL, CG, BN</v>
      </c>
      <c r="E63" s="9" t="str">
        <f>if('Point Intercept 1'!E63 = 'Point Intercept 2'!E63, 'Point Intercept 1'!E63, "ERROR")</f>
        <v>VB</v>
      </c>
      <c r="F63" s="9">
        <f>if('Point Intercept 1'!F63 = 'Point Intercept 2'!F63, 'Point Intercept 1'!F63, "ERROR")</f>
        <v>1</v>
      </c>
      <c r="G63" s="9" t="str">
        <f>if('Point Intercept 1'!G63 = 'Point Intercept 2'!G63, 'Point Intercept 1'!G63, "ERROR")</f>
        <v>LS</v>
      </c>
      <c r="H63" s="9">
        <f>if('Point Intercept 1'!I63 = 'Point Intercept 2'!I63, 'Point Intercept 1'!I63, "ERROR")</f>
        <v>3</v>
      </c>
      <c r="I63" s="9">
        <f>if('Point Intercept 1'!H63 = 'Point Intercept 2'!H63, 'Point Intercept 1'!H63, "ERROR")</f>
        <v>2</v>
      </c>
      <c r="J63" s="9">
        <f>if('Point Intercept 1'!J63 = 'Point Intercept 2'!J63, 'Point Intercept 1'!J63, "ERROR")</f>
        <v>1</v>
      </c>
      <c r="K63" s="9" t="str">
        <f>if('Point Intercept 1'!K63 = 'Point Intercept 2'!K63, 'Point Intercept 1'!K63, "ERROR")</f>
        <v>MEDPOL</v>
      </c>
      <c r="L63" s="9" t="str">
        <f>if('Point Intercept 1'!L63 = 'Point Intercept 2'!L63, 'Point Intercept 1'!L63, "ERROR")</f>
        <v>Medicago polymorpha</v>
      </c>
      <c r="M63" s="9" t="str">
        <f>if('Point Intercept 1'!N63 = 'Point Intercept 2'!M63, 'Point Intercept 1'!N63, "ERROR")</f>
        <v/>
      </c>
      <c r="N63" s="9" t="str">
        <f>if('Point Intercept 1'!O63 = 'Point Intercept 2'!N63, 'Point Intercept 1'!O63, "ERROR")</f>
        <v/>
      </c>
      <c r="O63" s="9" t="str">
        <f>if('Point Intercept 1'!P63 = 'Point Intercept 2'!O63, 'Point Intercept 1'!P63, "ERROR")</f>
        <v/>
      </c>
    </row>
    <row r="64">
      <c r="A64" s="9">
        <f>if('Point Intercept 1'!A64 = 'Point Intercept 2'!A64, 'Point Intercept 1'!A64, "ERROR")</f>
        <v>1</v>
      </c>
      <c r="B64" s="9">
        <f>if('Point Intercept 1'!B64 = 'Point Intercept 2'!B64, 'Point Intercept 1'!B64, "ERROR")</f>
        <v>2025</v>
      </c>
      <c r="C64" s="13">
        <f>if('Point Intercept 1'!C64 = 'Point Intercept 2'!C64, 'Point Intercept 1'!C64, "ERROR")</f>
        <v>45764</v>
      </c>
      <c r="D64" s="9" t="str">
        <f>if('Point Intercept 1'!D64 = 'Point Intercept 2'!D64, 'Point Intercept 1'!D64, "ERROR")</f>
        <v>TL, CG, BN</v>
      </c>
      <c r="E64" s="9" t="str">
        <f>if('Point Intercept 1'!E64 = 'Point Intercept 2'!E64, 'Point Intercept 1'!E64, "ERROR")</f>
        <v>VB</v>
      </c>
      <c r="F64" s="9">
        <f>if('Point Intercept 1'!F64 = 'Point Intercept 2'!F64, 'Point Intercept 1'!F64, "ERROR")</f>
        <v>1</v>
      </c>
      <c r="G64" s="9" t="str">
        <f>if('Point Intercept 1'!G64 = 'Point Intercept 2'!G64, 'Point Intercept 1'!G64, "ERROR")</f>
        <v>LS</v>
      </c>
      <c r="H64" s="9">
        <f>if('Point Intercept 1'!I64 = 'Point Intercept 2'!I64, 'Point Intercept 1'!I64, "ERROR")</f>
        <v>4</v>
      </c>
      <c r="I64" s="9">
        <f>if('Point Intercept 1'!H64 = 'Point Intercept 2'!H64, 'Point Intercept 1'!H64, "ERROR")</f>
        <v>2</v>
      </c>
      <c r="J64" s="9">
        <f>if('Point Intercept 1'!J64 = 'Point Intercept 2'!J64, 'Point Intercept 1'!J64, "ERROR")</f>
        <v>1.5</v>
      </c>
      <c r="K64" s="9" t="str">
        <f>if('Point Intercept 1'!K64 = 'Point Intercept 2'!K64, 'Point Intercept 1'!K64, "ERROR")</f>
        <v>L</v>
      </c>
      <c r="L64" s="9" t="str">
        <f>if('Point Intercept 1'!L64 = 'Point Intercept 2'!L64, 'Point Intercept 1'!L64, "ERROR")</f>
        <v>Litter</v>
      </c>
      <c r="M64" s="9" t="str">
        <f>if('Point Intercept 1'!N64 = 'Point Intercept 2'!M64, 'Point Intercept 1'!N64, "ERROR")</f>
        <v/>
      </c>
      <c r="N64" s="9" t="str">
        <f>if('Point Intercept 1'!O64 = 'Point Intercept 2'!N64, 'Point Intercept 1'!O64, "ERROR")</f>
        <v/>
      </c>
      <c r="O64" s="9" t="str">
        <f>if('Point Intercept 1'!P64 = 'Point Intercept 2'!O64, 'Point Intercept 1'!P64, "ERROR")</f>
        <v/>
      </c>
    </row>
    <row r="65">
      <c r="A65" s="9">
        <f>if('Point Intercept 1'!A65 = 'Point Intercept 2'!A65, 'Point Intercept 1'!A65, "ERROR")</f>
        <v>1</v>
      </c>
      <c r="B65" s="9">
        <f>if('Point Intercept 1'!B65 = 'Point Intercept 2'!B65, 'Point Intercept 1'!B65, "ERROR")</f>
        <v>2025</v>
      </c>
      <c r="C65" s="13">
        <f>if('Point Intercept 1'!C65 = 'Point Intercept 2'!C65, 'Point Intercept 1'!C65, "ERROR")</f>
        <v>45764</v>
      </c>
      <c r="D65" s="9" t="str">
        <f>if('Point Intercept 1'!D65 = 'Point Intercept 2'!D65, 'Point Intercept 1'!D65, "ERROR")</f>
        <v>TL, CG, BN</v>
      </c>
      <c r="E65" s="9" t="str">
        <f>if('Point Intercept 1'!E65 = 'Point Intercept 2'!E65, 'Point Intercept 1'!E65, "ERROR")</f>
        <v>VB</v>
      </c>
      <c r="F65" s="9">
        <f>if('Point Intercept 1'!F65 = 'Point Intercept 2'!F65, 'Point Intercept 1'!F65, "ERROR")</f>
        <v>1</v>
      </c>
      <c r="G65" s="9" t="str">
        <f>if('Point Intercept 1'!G65 = 'Point Intercept 2'!G65, 'Point Intercept 1'!G65, "ERROR")</f>
        <v>LS</v>
      </c>
      <c r="H65" s="9">
        <f>if('Point Intercept 1'!I65 = 'Point Intercept 2'!I65, 'Point Intercept 1'!I65, "ERROR")</f>
        <v>4</v>
      </c>
      <c r="I65" s="9">
        <f>if('Point Intercept 1'!H65 = 'Point Intercept 2'!H65, 'Point Intercept 1'!H65, "ERROR")</f>
        <v>2</v>
      </c>
      <c r="J65" s="9">
        <f>if('Point Intercept 1'!J65 = 'Point Intercept 2'!J65, 'Point Intercept 1'!J65, "ERROR")</f>
        <v>1.5</v>
      </c>
      <c r="K65" s="9" t="str">
        <f>if('Point Intercept 1'!K65 = 'Point Intercept 2'!K65, 'Point Intercept 1'!K65, "ERROR")</f>
        <v>MEDPOL</v>
      </c>
      <c r="L65" s="9" t="str">
        <f>if('Point Intercept 1'!L65 = 'Point Intercept 2'!L65, 'Point Intercept 1'!L65, "ERROR")</f>
        <v>Medicago polymorpha</v>
      </c>
      <c r="M65" s="9" t="str">
        <f>if('Point Intercept 1'!N65 = 'Point Intercept 2'!M65, 'Point Intercept 1'!N65, "ERROR")</f>
        <v/>
      </c>
      <c r="N65" s="9" t="str">
        <f>if('Point Intercept 1'!O65 = 'Point Intercept 2'!N65, 'Point Intercept 1'!O65, "ERROR")</f>
        <v/>
      </c>
      <c r="O65" s="9" t="str">
        <f>if('Point Intercept 1'!P65 = 'Point Intercept 2'!O65, 'Point Intercept 1'!P65, "ERROR")</f>
        <v/>
      </c>
    </row>
    <row r="66">
      <c r="A66" s="9">
        <f>if('Point Intercept 1'!A66 = 'Point Intercept 2'!A66, 'Point Intercept 1'!A66, "ERROR")</f>
        <v>1</v>
      </c>
      <c r="B66" s="9">
        <f>if('Point Intercept 1'!B66 = 'Point Intercept 2'!B66, 'Point Intercept 1'!B66, "ERROR")</f>
        <v>2025</v>
      </c>
      <c r="C66" s="13">
        <f>if('Point Intercept 1'!C66 = 'Point Intercept 2'!C66, 'Point Intercept 1'!C66, "ERROR")</f>
        <v>45764</v>
      </c>
      <c r="D66" s="9" t="str">
        <f>if('Point Intercept 1'!D66 = 'Point Intercept 2'!D66, 'Point Intercept 1'!D66, "ERROR")</f>
        <v>TL, CG, BN</v>
      </c>
      <c r="E66" s="9" t="str">
        <f>if('Point Intercept 1'!E66 = 'Point Intercept 2'!E66, 'Point Intercept 1'!E66, "ERROR")</f>
        <v>VB</v>
      </c>
      <c r="F66" s="9">
        <f>if('Point Intercept 1'!F66 = 'Point Intercept 2'!F66, 'Point Intercept 1'!F66, "ERROR")</f>
        <v>1</v>
      </c>
      <c r="G66" s="9" t="str">
        <f>if('Point Intercept 1'!G66 = 'Point Intercept 2'!G66, 'Point Intercept 1'!G66, "ERROR")</f>
        <v>LS</v>
      </c>
      <c r="H66" s="9">
        <f>if('Point Intercept 1'!I66 = 'Point Intercept 2'!I66, 'Point Intercept 1'!I66, "ERROR")</f>
        <v>4</v>
      </c>
      <c r="I66" s="9">
        <f>if('Point Intercept 1'!H66 = 'Point Intercept 2'!H66, 'Point Intercept 1'!H66, "ERROR")</f>
        <v>2</v>
      </c>
      <c r="J66" s="9">
        <f>if('Point Intercept 1'!J66 = 'Point Intercept 2'!J66, 'Point Intercept 1'!J66, "ERROR")</f>
        <v>1.5</v>
      </c>
      <c r="K66" s="9" t="str">
        <f>if('Point Intercept 1'!K66 = 'Point Intercept 2'!K66, 'Point Intercept 1'!K66, "ERROR")</f>
        <v>AMSMEN</v>
      </c>
      <c r="L66" s="9" t="str">
        <f>if('Point Intercept 1'!L66 = 'Point Intercept 2'!L66, 'Point Intercept 1'!L66, "ERROR")</f>
        <v>Amsinckia menziesii</v>
      </c>
      <c r="M66" s="9" t="str">
        <f>if('Point Intercept 1'!N66 = 'Point Intercept 2'!M66, 'Point Intercept 1'!N66, "ERROR")</f>
        <v/>
      </c>
      <c r="N66" s="9" t="str">
        <f>if('Point Intercept 1'!O66 = 'Point Intercept 2'!N66, 'Point Intercept 1'!O66, "ERROR")</f>
        <v/>
      </c>
      <c r="O66" s="9" t="str">
        <f>if('Point Intercept 1'!P66 = 'Point Intercept 2'!O66, 'Point Intercept 1'!P66, "ERROR")</f>
        <v/>
      </c>
    </row>
    <row r="67">
      <c r="A67" s="9">
        <f>if('Point Intercept 1'!A67 = 'Point Intercept 2'!A67, 'Point Intercept 1'!A67, "ERROR")</f>
        <v>1</v>
      </c>
      <c r="B67" s="9">
        <f>if('Point Intercept 1'!B67 = 'Point Intercept 2'!B67, 'Point Intercept 1'!B67, "ERROR")</f>
        <v>2025</v>
      </c>
      <c r="C67" s="13">
        <f>if('Point Intercept 1'!C67 = 'Point Intercept 2'!C67, 'Point Intercept 1'!C67, "ERROR")</f>
        <v>45764</v>
      </c>
      <c r="D67" s="9" t="str">
        <f>if('Point Intercept 1'!D67 = 'Point Intercept 2'!D67, 'Point Intercept 1'!D67, "ERROR")</f>
        <v>TL, CG, BN</v>
      </c>
      <c r="E67" s="9" t="str">
        <f>if('Point Intercept 1'!E67 = 'Point Intercept 2'!E67, 'Point Intercept 1'!E67, "ERROR")</f>
        <v>VB</v>
      </c>
      <c r="F67" s="9">
        <f>if('Point Intercept 1'!F67 = 'Point Intercept 2'!F67, 'Point Intercept 1'!F67, "ERROR")</f>
        <v>1</v>
      </c>
      <c r="G67" s="9" t="str">
        <f>if('Point Intercept 1'!G67 = 'Point Intercept 2'!G67, 'Point Intercept 1'!G67, "ERROR")</f>
        <v>LS</v>
      </c>
      <c r="H67" s="9">
        <f>if('Point Intercept 1'!I67 = 'Point Intercept 2'!I67, 'Point Intercept 1'!I67, "ERROR")</f>
        <v>4</v>
      </c>
      <c r="I67" s="9">
        <f>if('Point Intercept 1'!H67 = 'Point Intercept 2'!H67, 'Point Intercept 1'!H67, "ERROR")</f>
        <v>2</v>
      </c>
      <c r="J67" s="9">
        <f>if('Point Intercept 1'!J67 = 'Point Intercept 2'!J67, 'Point Intercept 1'!J67, "ERROR")</f>
        <v>1.5</v>
      </c>
      <c r="K67" s="9" t="str">
        <f>if('Point Intercept 1'!K67 = 'Point Intercept 2'!K67, 'Point Intercept 1'!K67, "ERROR")</f>
        <v>FESMYU</v>
      </c>
      <c r="L67" s="9" t="str">
        <f>if('Point Intercept 1'!L67 = 'Point Intercept 2'!L67, 'Point Intercept 1'!L67, "ERROR")</f>
        <v>Festuca myuros</v>
      </c>
      <c r="M67" s="9" t="str">
        <f>if('Point Intercept 1'!N67 = 'Point Intercept 2'!M67, 'Point Intercept 1'!N67, "ERROR")</f>
        <v/>
      </c>
      <c r="N67" s="9" t="str">
        <f>if('Point Intercept 1'!O67 = 'Point Intercept 2'!N67, 'Point Intercept 1'!O67, "ERROR")</f>
        <v/>
      </c>
      <c r="O67" s="9" t="str">
        <f>if('Point Intercept 1'!P67 = 'Point Intercept 2'!O67, 'Point Intercept 1'!P67, "ERROR")</f>
        <v/>
      </c>
    </row>
    <row r="68">
      <c r="A68" s="9">
        <f>if('Point Intercept 1'!A68 = 'Point Intercept 2'!A68, 'Point Intercept 1'!A68, "ERROR")</f>
        <v>1</v>
      </c>
      <c r="B68" s="9">
        <f>if('Point Intercept 1'!B68 = 'Point Intercept 2'!B68, 'Point Intercept 1'!B68, "ERROR")</f>
        <v>2025</v>
      </c>
      <c r="C68" s="13">
        <f>if('Point Intercept 1'!C68 = 'Point Intercept 2'!C68, 'Point Intercept 1'!C68, "ERROR")</f>
        <v>45764</v>
      </c>
      <c r="D68" s="9" t="str">
        <f>if('Point Intercept 1'!D68 = 'Point Intercept 2'!D68, 'Point Intercept 1'!D68, "ERROR")</f>
        <v>TL, CG, BN</v>
      </c>
      <c r="E68" s="9" t="str">
        <f>if('Point Intercept 1'!E68 = 'Point Intercept 2'!E68, 'Point Intercept 1'!E68, "ERROR")</f>
        <v>VB</v>
      </c>
      <c r="F68" s="9">
        <f>if('Point Intercept 1'!F68 = 'Point Intercept 2'!F68, 'Point Intercept 1'!F68, "ERROR")</f>
        <v>1</v>
      </c>
      <c r="G68" s="9" t="str">
        <f>if('Point Intercept 1'!G68 = 'Point Intercept 2'!G68, 'Point Intercept 1'!G68, "ERROR")</f>
        <v>LS</v>
      </c>
      <c r="H68" s="9">
        <f>if('Point Intercept 1'!I68 = 'Point Intercept 2'!I68, 'Point Intercept 1'!I68, "ERROR")</f>
        <v>5</v>
      </c>
      <c r="I68" s="9">
        <f>if('Point Intercept 1'!H68 = 'Point Intercept 2'!H68, 'Point Intercept 1'!H68, "ERROR")</f>
        <v>2</v>
      </c>
      <c r="J68" s="9">
        <f>if('Point Intercept 1'!J68 = 'Point Intercept 2'!J68, 'Point Intercept 1'!J68, "ERROR")</f>
        <v>2.5</v>
      </c>
      <c r="K68" s="9" t="str">
        <f>if('Point Intercept 1'!K68 = 'Point Intercept 2'!K68, 'Point Intercept 1'!K68, "ERROR")</f>
        <v>L</v>
      </c>
      <c r="L68" s="9" t="str">
        <f>if('Point Intercept 1'!L68 = 'Point Intercept 2'!L68, 'Point Intercept 1'!L68, "ERROR")</f>
        <v>Litter</v>
      </c>
      <c r="M68" s="9" t="str">
        <f>if('Point Intercept 1'!N68 = 'Point Intercept 2'!M68, 'Point Intercept 1'!N68, "ERROR")</f>
        <v/>
      </c>
      <c r="N68" s="9" t="str">
        <f>if('Point Intercept 1'!O68 = 'Point Intercept 2'!N68, 'Point Intercept 1'!O68, "ERROR")</f>
        <v/>
      </c>
      <c r="O68" s="9" t="str">
        <f>if('Point Intercept 1'!P68 = 'Point Intercept 2'!O68, 'Point Intercept 1'!P68, "ERROR")</f>
        <v/>
      </c>
    </row>
    <row r="69">
      <c r="A69" s="9">
        <f>if('Point Intercept 1'!A69 = 'Point Intercept 2'!A69, 'Point Intercept 1'!A69, "ERROR")</f>
        <v>1</v>
      </c>
      <c r="B69" s="9">
        <f>if('Point Intercept 1'!B69 = 'Point Intercept 2'!B69, 'Point Intercept 1'!B69, "ERROR")</f>
        <v>2025</v>
      </c>
      <c r="C69" s="13">
        <f>if('Point Intercept 1'!C69 = 'Point Intercept 2'!C69, 'Point Intercept 1'!C69, "ERROR")</f>
        <v>45764</v>
      </c>
      <c r="D69" s="9" t="str">
        <f>if('Point Intercept 1'!D69 = 'Point Intercept 2'!D69, 'Point Intercept 1'!D69, "ERROR")</f>
        <v>TL, CG, BN</v>
      </c>
      <c r="E69" s="9" t="str">
        <f>if('Point Intercept 1'!E69 = 'Point Intercept 2'!E69, 'Point Intercept 1'!E69, "ERROR")</f>
        <v>VB</v>
      </c>
      <c r="F69" s="9">
        <f>if('Point Intercept 1'!F69 = 'Point Intercept 2'!F69, 'Point Intercept 1'!F69, "ERROR")</f>
        <v>1</v>
      </c>
      <c r="G69" s="9" t="str">
        <f>if('Point Intercept 1'!G69 = 'Point Intercept 2'!G69, 'Point Intercept 1'!G69, "ERROR")</f>
        <v>LS</v>
      </c>
      <c r="H69" s="9">
        <f>if('Point Intercept 1'!I69 = 'Point Intercept 2'!I69, 'Point Intercept 1'!I69, "ERROR")</f>
        <v>5</v>
      </c>
      <c r="I69" s="9">
        <f>if('Point Intercept 1'!H69 = 'Point Intercept 2'!H69, 'Point Intercept 1'!H69, "ERROR")</f>
        <v>2</v>
      </c>
      <c r="J69" s="9">
        <f>if('Point Intercept 1'!J69 = 'Point Intercept 2'!J69, 'Point Intercept 1'!J69, "ERROR")</f>
        <v>2.5</v>
      </c>
      <c r="K69" s="9" t="str">
        <f>if('Point Intercept 1'!K69 = 'Point Intercept 2'!K69, 'Point Intercept 1'!K69, "ERROR")</f>
        <v>FESMYU</v>
      </c>
      <c r="L69" s="9" t="str">
        <f>if('Point Intercept 1'!L69 = 'Point Intercept 2'!L69, 'Point Intercept 1'!L69, "ERROR")</f>
        <v>Festuca myuros</v>
      </c>
      <c r="M69" s="9" t="str">
        <f>if('Point Intercept 1'!N69 = 'Point Intercept 2'!M69, 'Point Intercept 1'!N69, "ERROR")</f>
        <v/>
      </c>
      <c r="N69" s="9" t="str">
        <f>if('Point Intercept 1'!O69 = 'Point Intercept 2'!N69, 'Point Intercept 1'!O69, "ERROR")</f>
        <v/>
      </c>
      <c r="O69" s="9" t="str">
        <f>if('Point Intercept 1'!P69 = 'Point Intercept 2'!O69, 'Point Intercept 1'!P69, "ERROR")</f>
        <v/>
      </c>
    </row>
    <row r="70">
      <c r="A70" s="9">
        <f>if('Point Intercept 1'!A70 = 'Point Intercept 2'!A70, 'Point Intercept 1'!A70, "ERROR")</f>
        <v>1</v>
      </c>
      <c r="B70" s="9">
        <f>if('Point Intercept 1'!B70 = 'Point Intercept 2'!B70, 'Point Intercept 1'!B70, "ERROR")</f>
        <v>2025</v>
      </c>
      <c r="C70" s="13">
        <f>if('Point Intercept 1'!C70 = 'Point Intercept 2'!C70, 'Point Intercept 1'!C70, "ERROR")</f>
        <v>45764</v>
      </c>
      <c r="D70" s="9" t="str">
        <f>if('Point Intercept 1'!D70 = 'Point Intercept 2'!D70, 'Point Intercept 1'!D70, "ERROR")</f>
        <v>TL, CG, BN</v>
      </c>
      <c r="E70" s="9" t="str">
        <f>if('Point Intercept 1'!E70 = 'Point Intercept 2'!E70, 'Point Intercept 1'!E70, "ERROR")</f>
        <v>VB</v>
      </c>
      <c r="F70" s="9">
        <f>if('Point Intercept 1'!F70 = 'Point Intercept 2'!F70, 'Point Intercept 1'!F70, "ERROR")</f>
        <v>1</v>
      </c>
      <c r="G70" s="9" t="str">
        <f>if('Point Intercept 1'!G70 = 'Point Intercept 2'!G70, 'Point Intercept 1'!G70, "ERROR")</f>
        <v>LS</v>
      </c>
      <c r="H70" s="9">
        <f>if('Point Intercept 1'!I70 = 'Point Intercept 2'!I70, 'Point Intercept 1'!I70, "ERROR")</f>
        <v>5</v>
      </c>
      <c r="I70" s="9">
        <f>if('Point Intercept 1'!H70 = 'Point Intercept 2'!H70, 'Point Intercept 1'!H70, "ERROR")</f>
        <v>2</v>
      </c>
      <c r="J70" s="9">
        <f>if('Point Intercept 1'!J70 = 'Point Intercept 2'!J70, 'Point Intercept 1'!J70, "ERROR")</f>
        <v>2.5</v>
      </c>
      <c r="K70" s="9" t="str">
        <f>if('Point Intercept 1'!K70 = 'Point Intercept 2'!K70, 'Point Intercept 1'!K70, "ERROR")</f>
        <v>MEDPOL</v>
      </c>
      <c r="L70" s="9" t="str">
        <f>if('Point Intercept 1'!L70 = 'Point Intercept 2'!L70, 'Point Intercept 1'!L70, "ERROR")</f>
        <v>Medicago polymorpha</v>
      </c>
      <c r="M70" s="9" t="str">
        <f>if('Point Intercept 1'!N70 = 'Point Intercept 2'!M70, 'Point Intercept 1'!N70, "ERROR")</f>
        <v/>
      </c>
      <c r="N70" s="9" t="str">
        <f>if('Point Intercept 1'!O70 = 'Point Intercept 2'!N70, 'Point Intercept 1'!O70, "ERROR")</f>
        <v/>
      </c>
      <c r="O70" s="9" t="str">
        <f>if('Point Intercept 1'!P70 = 'Point Intercept 2'!O70, 'Point Intercept 1'!P70, "ERROR")</f>
        <v/>
      </c>
    </row>
    <row r="71">
      <c r="A71" s="9">
        <f>if('Point Intercept 1'!A71 = 'Point Intercept 2'!A71, 'Point Intercept 1'!A71, "ERROR")</f>
        <v>1</v>
      </c>
      <c r="B71" s="9">
        <f>if('Point Intercept 1'!B71 = 'Point Intercept 2'!B71, 'Point Intercept 1'!B71, "ERROR")</f>
        <v>2025</v>
      </c>
      <c r="C71" s="13">
        <f>if('Point Intercept 1'!C71 = 'Point Intercept 2'!C71, 'Point Intercept 1'!C71, "ERROR")</f>
        <v>45764</v>
      </c>
      <c r="D71" s="9" t="str">
        <f>if('Point Intercept 1'!D71 = 'Point Intercept 2'!D71, 'Point Intercept 1'!D71, "ERROR")</f>
        <v>TL, CG, BN</v>
      </c>
      <c r="E71" s="9" t="str">
        <f>if('Point Intercept 1'!E71 = 'Point Intercept 2'!E71, 'Point Intercept 1'!E71, "ERROR")</f>
        <v>VB</v>
      </c>
      <c r="F71" s="9">
        <f>if('Point Intercept 1'!F71 = 'Point Intercept 2'!F71, 'Point Intercept 1'!F71, "ERROR")</f>
        <v>1</v>
      </c>
      <c r="G71" s="9" t="str">
        <f>if('Point Intercept 1'!G71 = 'Point Intercept 2'!G71, 'Point Intercept 1'!G71, "ERROR")</f>
        <v>LS</v>
      </c>
      <c r="H71" s="9">
        <f>if('Point Intercept 1'!I71 = 'Point Intercept 2'!I71, 'Point Intercept 1'!I71, "ERROR")</f>
        <v>6</v>
      </c>
      <c r="I71" s="9">
        <f>if('Point Intercept 1'!H71 = 'Point Intercept 2'!H71, 'Point Intercept 1'!H71, "ERROR")</f>
        <v>2</v>
      </c>
      <c r="J71" s="9">
        <f>if('Point Intercept 1'!J71 = 'Point Intercept 2'!J71, 'Point Intercept 1'!J71, "ERROR")</f>
        <v>3</v>
      </c>
      <c r="K71" s="9" t="str">
        <f>if('Point Intercept 1'!K71 = 'Point Intercept 2'!K71, 'Point Intercept 1'!K71, "ERROR")</f>
        <v>L</v>
      </c>
      <c r="L71" s="9" t="str">
        <f>if('Point Intercept 1'!L71 = 'Point Intercept 2'!L71, 'Point Intercept 1'!L71, "ERROR")</f>
        <v>Litter</v>
      </c>
      <c r="M71" s="9" t="str">
        <f>if('Point Intercept 1'!N71 = 'Point Intercept 2'!M71, 'Point Intercept 1'!N71, "ERROR")</f>
        <v/>
      </c>
      <c r="N71" s="9" t="str">
        <f>if('Point Intercept 1'!O71 = 'Point Intercept 2'!N71, 'Point Intercept 1'!O71, "ERROR")</f>
        <v/>
      </c>
      <c r="O71" s="9" t="str">
        <f>if('Point Intercept 1'!P71 = 'Point Intercept 2'!O71, 'Point Intercept 1'!P71, "ERROR")</f>
        <v/>
      </c>
    </row>
    <row r="72">
      <c r="A72" s="9">
        <f>if('Point Intercept 1'!A72 = 'Point Intercept 2'!A72, 'Point Intercept 1'!A72, "ERROR")</f>
        <v>1</v>
      </c>
      <c r="B72" s="9">
        <f>if('Point Intercept 1'!B72 = 'Point Intercept 2'!B72, 'Point Intercept 1'!B72, "ERROR")</f>
        <v>2025</v>
      </c>
      <c r="C72" s="13">
        <f>if('Point Intercept 1'!C72 = 'Point Intercept 2'!C72, 'Point Intercept 1'!C72, "ERROR")</f>
        <v>45764</v>
      </c>
      <c r="D72" s="9" t="str">
        <f>if('Point Intercept 1'!D72 = 'Point Intercept 2'!D72, 'Point Intercept 1'!D72, "ERROR")</f>
        <v>TL, CG, BN</v>
      </c>
      <c r="E72" s="9" t="str">
        <f>if('Point Intercept 1'!E72 = 'Point Intercept 2'!E72, 'Point Intercept 1'!E72, "ERROR")</f>
        <v>VB</v>
      </c>
      <c r="F72" s="9">
        <f>if('Point Intercept 1'!F72 = 'Point Intercept 2'!F72, 'Point Intercept 1'!F72, "ERROR")</f>
        <v>1</v>
      </c>
      <c r="G72" s="9" t="str">
        <f>if('Point Intercept 1'!G72 = 'Point Intercept 2'!G72, 'Point Intercept 1'!G72, "ERROR")</f>
        <v>LS</v>
      </c>
      <c r="H72" s="9">
        <f>if('Point Intercept 1'!I72 = 'Point Intercept 2'!I72, 'Point Intercept 1'!I72, "ERROR")</f>
        <v>6</v>
      </c>
      <c r="I72" s="9">
        <f>if('Point Intercept 1'!H72 = 'Point Intercept 2'!H72, 'Point Intercept 1'!H72, "ERROR")</f>
        <v>2</v>
      </c>
      <c r="J72" s="9">
        <f>if('Point Intercept 1'!J72 = 'Point Intercept 2'!J72, 'Point Intercept 1'!J72, "ERROR")</f>
        <v>3</v>
      </c>
      <c r="K72" s="9" t="str">
        <f>if('Point Intercept 1'!K72 = 'Point Intercept 2'!K72, 'Point Intercept 1'!K72, "ERROR")</f>
        <v>MEDPOL</v>
      </c>
      <c r="L72" s="9" t="str">
        <f>if('Point Intercept 1'!L72 = 'Point Intercept 2'!L72, 'Point Intercept 1'!L72, "ERROR")</f>
        <v>Medicago polymorpha</v>
      </c>
      <c r="M72" s="9" t="str">
        <f>if('Point Intercept 1'!N72 = 'Point Intercept 2'!M72, 'Point Intercept 1'!N72, "ERROR")</f>
        <v/>
      </c>
      <c r="N72" s="9" t="str">
        <f>if('Point Intercept 1'!O72 = 'Point Intercept 2'!N72, 'Point Intercept 1'!O72, "ERROR")</f>
        <v/>
      </c>
      <c r="O72" s="9" t="str">
        <f>if('Point Intercept 1'!P72 = 'Point Intercept 2'!O72, 'Point Intercept 1'!P72, "ERROR")</f>
        <v/>
      </c>
    </row>
    <row r="73">
      <c r="A73" s="9">
        <f>if('Point Intercept 1'!A73 = 'Point Intercept 2'!A73, 'Point Intercept 1'!A73, "ERROR")</f>
        <v>1</v>
      </c>
      <c r="B73" s="9">
        <f>if('Point Intercept 1'!B73 = 'Point Intercept 2'!B73, 'Point Intercept 1'!B73, "ERROR")</f>
        <v>2025</v>
      </c>
      <c r="C73" s="13">
        <f>if('Point Intercept 1'!C73 = 'Point Intercept 2'!C73, 'Point Intercept 1'!C73, "ERROR")</f>
        <v>45764</v>
      </c>
      <c r="D73" s="9" t="str">
        <f>if('Point Intercept 1'!D73 = 'Point Intercept 2'!D73, 'Point Intercept 1'!D73, "ERROR")</f>
        <v>TL, CG, BN</v>
      </c>
      <c r="E73" s="9" t="str">
        <f>if('Point Intercept 1'!E73 = 'Point Intercept 2'!E73, 'Point Intercept 1'!E73, "ERROR")</f>
        <v>VB</v>
      </c>
      <c r="F73" s="9">
        <f>if('Point Intercept 1'!F73 = 'Point Intercept 2'!F73, 'Point Intercept 1'!F73, "ERROR")</f>
        <v>1</v>
      </c>
      <c r="G73" s="9" t="str">
        <f>if('Point Intercept 1'!G73 = 'Point Intercept 2'!G73, 'Point Intercept 1'!G73, "ERROR")</f>
        <v>LS</v>
      </c>
      <c r="H73" s="9">
        <f>if('Point Intercept 1'!I73 = 'Point Intercept 2'!I73, 'Point Intercept 1'!I73, "ERROR")</f>
        <v>6</v>
      </c>
      <c r="I73" s="9">
        <f>if('Point Intercept 1'!H73 = 'Point Intercept 2'!H73, 'Point Intercept 1'!H73, "ERROR")</f>
        <v>2</v>
      </c>
      <c r="J73" s="9">
        <f>if('Point Intercept 1'!J73 = 'Point Intercept 2'!J73, 'Point Intercept 1'!J73, "ERROR")</f>
        <v>3</v>
      </c>
      <c r="K73" s="9" t="str">
        <f>if('Point Intercept 1'!K73 = 'Point Intercept 2'!K73, 'Point Intercept 1'!K73, "ERROR")</f>
        <v>EROMOS</v>
      </c>
      <c r="L73" s="9" t="str">
        <f>if('Point Intercept 1'!L73 = 'Point Intercept 2'!L73, 'Point Intercept 1'!L73, "ERROR")</f>
        <v>Erodium moschatum</v>
      </c>
      <c r="M73" s="9" t="str">
        <f>if('Point Intercept 1'!N73 = 'Point Intercept 2'!M73, 'Point Intercept 1'!N73, "ERROR")</f>
        <v/>
      </c>
      <c r="N73" s="9" t="str">
        <f>if('Point Intercept 1'!O73 = 'Point Intercept 2'!N73, 'Point Intercept 1'!O73, "ERROR")</f>
        <v/>
      </c>
      <c r="O73" s="9" t="str">
        <f>if('Point Intercept 1'!P73 = 'Point Intercept 2'!O73, 'Point Intercept 1'!P73, "ERROR")</f>
        <v/>
      </c>
    </row>
    <row r="74">
      <c r="A74" s="9">
        <f>if('Point Intercept 1'!A74 = 'Point Intercept 2'!A74, 'Point Intercept 1'!A74, "ERROR")</f>
        <v>1</v>
      </c>
      <c r="B74" s="9">
        <f>if('Point Intercept 1'!B74 = 'Point Intercept 2'!B74, 'Point Intercept 1'!B74, "ERROR")</f>
        <v>2025</v>
      </c>
      <c r="C74" s="13">
        <f>if('Point Intercept 1'!C74 = 'Point Intercept 2'!C74, 'Point Intercept 1'!C74, "ERROR")</f>
        <v>45764</v>
      </c>
      <c r="D74" s="9" t="str">
        <f>if('Point Intercept 1'!D74 = 'Point Intercept 2'!D74, 'Point Intercept 1'!D74, "ERROR")</f>
        <v>TL, CG, BN</v>
      </c>
      <c r="E74" s="9" t="str">
        <f>if('Point Intercept 1'!E74 = 'Point Intercept 2'!E74, 'Point Intercept 1'!E74, "ERROR")</f>
        <v>VB</v>
      </c>
      <c r="F74" s="9">
        <f>if('Point Intercept 1'!F74 = 'Point Intercept 2'!F74, 'Point Intercept 1'!F74, "ERROR")</f>
        <v>1</v>
      </c>
      <c r="G74" s="9" t="str">
        <f>if('Point Intercept 1'!G74 = 'Point Intercept 2'!G74, 'Point Intercept 1'!G74, "ERROR")</f>
        <v>LS</v>
      </c>
      <c r="H74" s="9">
        <f>if('Point Intercept 1'!I74 = 'Point Intercept 2'!I74, 'Point Intercept 1'!I74, "ERROR")</f>
        <v>7</v>
      </c>
      <c r="I74" s="9">
        <f>if('Point Intercept 1'!H74 = 'Point Intercept 2'!H74, 'Point Intercept 1'!H74, "ERROR")</f>
        <v>2</v>
      </c>
      <c r="J74" s="9">
        <f>if('Point Intercept 1'!J74 = 'Point Intercept 2'!J74, 'Point Intercept 1'!J74, "ERROR")</f>
        <v>3.5</v>
      </c>
      <c r="K74" s="9" t="str">
        <f>if('Point Intercept 1'!K74 = 'Point Intercept 2'!K74, 'Point Intercept 1'!K74, "ERROR")</f>
        <v>L</v>
      </c>
      <c r="L74" s="9" t="str">
        <f>if('Point Intercept 1'!L74 = 'Point Intercept 2'!L74, 'Point Intercept 1'!L74, "ERROR")</f>
        <v>Litter</v>
      </c>
      <c r="M74" s="9" t="str">
        <f>if('Point Intercept 1'!N74 = 'Point Intercept 2'!M74, 'Point Intercept 1'!N74, "ERROR")</f>
        <v/>
      </c>
      <c r="N74" s="9" t="str">
        <f>if('Point Intercept 1'!O74 = 'Point Intercept 2'!N74, 'Point Intercept 1'!O74, "ERROR")</f>
        <v/>
      </c>
      <c r="O74" s="9" t="str">
        <f>if('Point Intercept 1'!P74 = 'Point Intercept 2'!O74, 'Point Intercept 1'!P74, "ERROR")</f>
        <v/>
      </c>
    </row>
    <row r="75">
      <c r="A75" s="9">
        <f>if('Point Intercept 1'!A75 = 'Point Intercept 2'!A75, 'Point Intercept 1'!A75, "ERROR")</f>
        <v>1</v>
      </c>
      <c r="B75" s="9">
        <f>if('Point Intercept 1'!B75 = 'Point Intercept 2'!B75, 'Point Intercept 1'!B75, "ERROR")</f>
        <v>2025</v>
      </c>
      <c r="C75" s="13">
        <f>if('Point Intercept 1'!C75 = 'Point Intercept 2'!C75, 'Point Intercept 1'!C75, "ERROR")</f>
        <v>45764</v>
      </c>
      <c r="D75" s="9" t="str">
        <f>if('Point Intercept 1'!D75 = 'Point Intercept 2'!D75, 'Point Intercept 1'!D75, "ERROR")</f>
        <v>TL, CG, BN</v>
      </c>
      <c r="E75" s="9" t="str">
        <f>if('Point Intercept 1'!E75 = 'Point Intercept 2'!E75, 'Point Intercept 1'!E75, "ERROR")</f>
        <v>VB</v>
      </c>
      <c r="F75" s="9">
        <f>if('Point Intercept 1'!F75 = 'Point Intercept 2'!F75, 'Point Intercept 1'!F75, "ERROR")</f>
        <v>1</v>
      </c>
      <c r="G75" s="9" t="str">
        <f>if('Point Intercept 1'!G75 = 'Point Intercept 2'!G75, 'Point Intercept 1'!G75, "ERROR")</f>
        <v>LS</v>
      </c>
      <c r="H75" s="9">
        <f>if('Point Intercept 1'!I75 = 'Point Intercept 2'!I75, 'Point Intercept 1'!I75, "ERROR")</f>
        <v>7</v>
      </c>
      <c r="I75" s="9">
        <f>if('Point Intercept 1'!H75 = 'Point Intercept 2'!H75, 'Point Intercept 1'!H75, "ERROR")</f>
        <v>2</v>
      </c>
      <c r="J75" s="9">
        <f>if('Point Intercept 1'!J75 = 'Point Intercept 2'!J75, 'Point Intercept 1'!J75, "ERROR")</f>
        <v>3.5</v>
      </c>
      <c r="K75" s="9" t="str">
        <f>if('Point Intercept 1'!K75 = 'Point Intercept 2'!K75, 'Point Intercept 1'!K75, "ERROR")</f>
        <v>MEDPOL</v>
      </c>
      <c r="L75" s="9" t="str">
        <f>if('Point Intercept 1'!L75 = 'Point Intercept 2'!L75, 'Point Intercept 1'!L75, "ERROR")</f>
        <v>Medicago polymorpha</v>
      </c>
      <c r="M75" s="9" t="str">
        <f>if('Point Intercept 1'!N75 = 'Point Intercept 2'!M75, 'Point Intercept 1'!N75, "ERROR")</f>
        <v/>
      </c>
      <c r="N75" s="9" t="str">
        <f>if('Point Intercept 1'!O75 = 'Point Intercept 2'!N75, 'Point Intercept 1'!O75, "ERROR")</f>
        <v/>
      </c>
      <c r="O75" s="9" t="str">
        <f>if('Point Intercept 1'!P75 = 'Point Intercept 2'!O75, 'Point Intercept 1'!P75, "ERROR")</f>
        <v/>
      </c>
    </row>
    <row r="76">
      <c r="A76" s="9">
        <f>if('Point Intercept 1'!A76 = 'Point Intercept 2'!A76, 'Point Intercept 1'!A76, "ERROR")</f>
        <v>1</v>
      </c>
      <c r="B76" s="9">
        <f>if('Point Intercept 1'!B76 = 'Point Intercept 2'!B76, 'Point Intercept 1'!B76, "ERROR")</f>
        <v>2025</v>
      </c>
      <c r="C76" s="13">
        <f>if('Point Intercept 1'!C76 = 'Point Intercept 2'!C76, 'Point Intercept 1'!C76, "ERROR")</f>
        <v>45764</v>
      </c>
      <c r="D76" s="9" t="str">
        <f>if('Point Intercept 1'!D76 = 'Point Intercept 2'!D76, 'Point Intercept 1'!D76, "ERROR")</f>
        <v>TL, CG, BN</v>
      </c>
      <c r="E76" s="9" t="str">
        <f>if('Point Intercept 1'!E76 = 'Point Intercept 2'!E76, 'Point Intercept 1'!E76, "ERROR")</f>
        <v>VB</v>
      </c>
      <c r="F76" s="9">
        <f>if('Point Intercept 1'!F76 = 'Point Intercept 2'!F76, 'Point Intercept 1'!F76, "ERROR")</f>
        <v>1</v>
      </c>
      <c r="G76" s="9" t="str">
        <f>if('Point Intercept 1'!G76 = 'Point Intercept 2'!G76, 'Point Intercept 1'!G76, "ERROR")</f>
        <v>LS</v>
      </c>
      <c r="H76" s="9">
        <f>if('Point Intercept 1'!I76 = 'Point Intercept 2'!I76, 'Point Intercept 1'!I76, "ERROR")</f>
        <v>7</v>
      </c>
      <c r="I76" s="9">
        <f>if('Point Intercept 1'!H76 = 'Point Intercept 2'!H76, 'Point Intercept 1'!H76, "ERROR")</f>
        <v>2</v>
      </c>
      <c r="J76" s="9">
        <f>if('Point Intercept 1'!J76 = 'Point Intercept 2'!J76, 'Point Intercept 1'!J76, "ERROR")</f>
        <v>3.5</v>
      </c>
      <c r="K76" s="9" t="str">
        <f>if('Point Intercept 1'!K76 = 'Point Intercept 2'!K76, 'Point Intercept 1'!K76, "ERROR")</f>
        <v>EROMOS</v>
      </c>
      <c r="L76" s="9" t="str">
        <f>if('Point Intercept 1'!L76 = 'Point Intercept 2'!L76, 'Point Intercept 1'!L76, "ERROR")</f>
        <v>Erodium moschatum</v>
      </c>
      <c r="M76" s="9" t="str">
        <f>if('Point Intercept 1'!N76 = 'Point Intercept 2'!M76, 'Point Intercept 1'!N76, "ERROR")</f>
        <v/>
      </c>
      <c r="N76" s="9" t="str">
        <f>if('Point Intercept 1'!O76 = 'Point Intercept 2'!N76, 'Point Intercept 1'!O76, "ERROR")</f>
        <v/>
      </c>
      <c r="O76" s="9" t="str">
        <f>if('Point Intercept 1'!P76 = 'Point Intercept 2'!O76, 'Point Intercept 1'!P76, "ERROR")</f>
        <v/>
      </c>
    </row>
    <row r="77">
      <c r="A77" s="9">
        <f>if('Point Intercept 1'!A77 = 'Point Intercept 2'!A77, 'Point Intercept 1'!A77, "ERROR")</f>
        <v>1</v>
      </c>
      <c r="B77" s="9">
        <f>if('Point Intercept 1'!B77 = 'Point Intercept 2'!B77, 'Point Intercept 1'!B77, "ERROR")</f>
        <v>2025</v>
      </c>
      <c r="C77" s="13">
        <f>if('Point Intercept 1'!C77 = 'Point Intercept 2'!C77, 'Point Intercept 1'!C77, "ERROR")</f>
        <v>45764</v>
      </c>
      <c r="D77" s="9" t="str">
        <f>if('Point Intercept 1'!D77 = 'Point Intercept 2'!D77, 'Point Intercept 1'!D77, "ERROR")</f>
        <v>TL, CG, BN</v>
      </c>
      <c r="E77" s="9" t="str">
        <f>if('Point Intercept 1'!E77 = 'Point Intercept 2'!E77, 'Point Intercept 1'!E77, "ERROR")</f>
        <v>VB</v>
      </c>
      <c r="F77" s="9">
        <f>if('Point Intercept 1'!F77 = 'Point Intercept 2'!F77, 'Point Intercept 1'!F77, "ERROR")</f>
        <v>1</v>
      </c>
      <c r="G77" s="9" t="str">
        <f>if('Point Intercept 1'!G77 = 'Point Intercept 2'!G77, 'Point Intercept 1'!G77, "ERROR")</f>
        <v>LS</v>
      </c>
      <c r="H77" s="9">
        <f>if('Point Intercept 1'!I77 = 'Point Intercept 2'!I77, 'Point Intercept 1'!I77, "ERROR")</f>
        <v>7</v>
      </c>
      <c r="I77" s="9">
        <f>if('Point Intercept 1'!H77 = 'Point Intercept 2'!H77, 'Point Intercept 1'!H77, "ERROR")</f>
        <v>2</v>
      </c>
      <c r="J77" s="9">
        <f>if('Point Intercept 1'!J77 = 'Point Intercept 2'!J77, 'Point Intercept 1'!J77, "ERROR")</f>
        <v>3.5</v>
      </c>
      <c r="K77" s="9" t="str">
        <f>if('Point Intercept 1'!K77 = 'Point Intercept 2'!K77, 'Point Intercept 1'!K77, "ERROR")</f>
        <v>DEIFAS</v>
      </c>
      <c r="L77" s="9" t="str">
        <f>if('Point Intercept 1'!L77 = 'Point Intercept 2'!L77, 'Point Intercept 1'!L77, "ERROR")</f>
        <v>Deinandra fasciculata</v>
      </c>
      <c r="M77" s="9" t="str">
        <f>if('Point Intercept 1'!N77 = 'Point Intercept 2'!M77, 'Point Intercept 1'!N77, "ERROR")</f>
        <v/>
      </c>
      <c r="N77" s="9" t="str">
        <f>if('Point Intercept 1'!O77 = 'Point Intercept 2'!N77, 'Point Intercept 1'!O77, "ERROR")</f>
        <v/>
      </c>
      <c r="O77" s="9" t="str">
        <f>if('Point Intercept 1'!P77 = 'Point Intercept 2'!O77, 'Point Intercept 1'!P77, "ERROR")</f>
        <v/>
      </c>
    </row>
    <row r="78">
      <c r="A78" s="9">
        <f>if('Point Intercept 1'!A78 = 'Point Intercept 2'!A78, 'Point Intercept 1'!A78, "ERROR")</f>
        <v>1</v>
      </c>
      <c r="B78" s="9">
        <f>if('Point Intercept 1'!B78 = 'Point Intercept 2'!B78, 'Point Intercept 1'!B78, "ERROR")</f>
        <v>2025</v>
      </c>
      <c r="C78" s="13">
        <f>if('Point Intercept 1'!C78 = 'Point Intercept 2'!C78, 'Point Intercept 1'!C78, "ERROR")</f>
        <v>45764</v>
      </c>
      <c r="D78" s="9" t="str">
        <f>if('Point Intercept 1'!D78 = 'Point Intercept 2'!D78, 'Point Intercept 1'!D78, "ERROR")</f>
        <v>TL, CG, BN</v>
      </c>
      <c r="E78" s="9" t="str">
        <f>if('Point Intercept 1'!E78 = 'Point Intercept 2'!E78, 'Point Intercept 1'!E78, "ERROR")</f>
        <v>VB</v>
      </c>
      <c r="F78" s="9">
        <f>if('Point Intercept 1'!F78 = 'Point Intercept 2'!F78, 'Point Intercept 1'!F78, "ERROR")</f>
        <v>1</v>
      </c>
      <c r="G78" s="9" t="str">
        <f>if('Point Intercept 1'!G78 = 'Point Intercept 2'!G78, 'Point Intercept 1'!G78, "ERROR")</f>
        <v>LS</v>
      </c>
      <c r="H78" s="9">
        <f>if('Point Intercept 1'!I78 = 'Point Intercept 2'!I78, 'Point Intercept 1'!I78, "ERROR")</f>
        <v>8</v>
      </c>
      <c r="I78" s="9">
        <f>if('Point Intercept 1'!H78 = 'Point Intercept 2'!H78, 'Point Intercept 1'!H78, "ERROR")</f>
        <v>2</v>
      </c>
      <c r="J78" s="9">
        <f>if('Point Intercept 1'!J78 = 'Point Intercept 2'!J78, 'Point Intercept 1'!J78, "ERROR")</f>
        <v>4</v>
      </c>
      <c r="K78" s="9" t="str">
        <f>if('Point Intercept 1'!K78 = 'Point Intercept 2'!K78, 'Point Intercept 1'!K78, "ERROR")</f>
        <v>L</v>
      </c>
      <c r="L78" s="9" t="str">
        <f>if('Point Intercept 1'!L78 = 'Point Intercept 2'!L78, 'Point Intercept 1'!L78, "ERROR")</f>
        <v>Litter</v>
      </c>
      <c r="M78" s="9" t="str">
        <f>if('Point Intercept 1'!N78 = 'Point Intercept 2'!M78, 'Point Intercept 1'!N78, "ERROR")</f>
        <v/>
      </c>
      <c r="N78" s="9" t="str">
        <f>if('Point Intercept 1'!O78 = 'Point Intercept 2'!N78, 'Point Intercept 1'!O78, "ERROR")</f>
        <v/>
      </c>
      <c r="O78" s="9" t="str">
        <f>if('Point Intercept 1'!P78 = 'Point Intercept 2'!O78, 'Point Intercept 1'!P78, "ERROR")</f>
        <v/>
      </c>
    </row>
    <row r="79">
      <c r="A79" s="9">
        <f>if('Point Intercept 1'!A79 = 'Point Intercept 2'!A79, 'Point Intercept 1'!A79, "ERROR")</f>
        <v>1</v>
      </c>
      <c r="B79" s="9">
        <f>if('Point Intercept 1'!B79 = 'Point Intercept 2'!B79, 'Point Intercept 1'!B79, "ERROR")</f>
        <v>2025</v>
      </c>
      <c r="C79" s="13">
        <f>if('Point Intercept 1'!C79 = 'Point Intercept 2'!C79, 'Point Intercept 1'!C79, "ERROR")</f>
        <v>45764</v>
      </c>
      <c r="D79" s="9" t="str">
        <f>if('Point Intercept 1'!D79 = 'Point Intercept 2'!D79, 'Point Intercept 1'!D79, "ERROR")</f>
        <v>TL, CG, BN</v>
      </c>
      <c r="E79" s="9" t="str">
        <f>if('Point Intercept 1'!E79 = 'Point Intercept 2'!E79, 'Point Intercept 1'!E79, "ERROR")</f>
        <v>VB</v>
      </c>
      <c r="F79" s="9">
        <f>if('Point Intercept 1'!F79 = 'Point Intercept 2'!F79, 'Point Intercept 1'!F79, "ERROR")</f>
        <v>1</v>
      </c>
      <c r="G79" s="9" t="str">
        <f>if('Point Intercept 1'!G79 = 'Point Intercept 2'!G79, 'Point Intercept 1'!G79, "ERROR")</f>
        <v>LS</v>
      </c>
      <c r="H79" s="9">
        <f>if('Point Intercept 1'!I79 = 'Point Intercept 2'!I79, 'Point Intercept 1'!I79, "ERROR")</f>
        <v>8</v>
      </c>
      <c r="I79" s="9">
        <f>if('Point Intercept 1'!H79 = 'Point Intercept 2'!H79, 'Point Intercept 1'!H79, "ERROR")</f>
        <v>2</v>
      </c>
      <c r="J79" s="9">
        <f>if('Point Intercept 1'!J79 = 'Point Intercept 2'!J79, 'Point Intercept 1'!J79, "ERROR")</f>
        <v>4</v>
      </c>
      <c r="K79" s="9" t="str">
        <f>if('Point Intercept 1'!K79 = 'Point Intercept 2'!K79, 'Point Intercept 1'!K79, "ERROR")</f>
        <v>EROMOS</v>
      </c>
      <c r="L79" s="9" t="str">
        <f>if('Point Intercept 1'!L79 = 'Point Intercept 2'!L79, 'Point Intercept 1'!L79, "ERROR")</f>
        <v>Erodium moschatum</v>
      </c>
      <c r="M79" s="9" t="str">
        <f>if('Point Intercept 1'!N79 = 'Point Intercept 2'!M79, 'Point Intercept 1'!N79, "ERROR")</f>
        <v/>
      </c>
      <c r="N79" s="9" t="str">
        <f>if('Point Intercept 1'!O79 = 'Point Intercept 2'!N79, 'Point Intercept 1'!O79, "ERROR")</f>
        <v/>
      </c>
      <c r="O79" s="9" t="str">
        <f>if('Point Intercept 1'!P79 = 'Point Intercept 2'!O79, 'Point Intercept 1'!P79, "ERROR")</f>
        <v/>
      </c>
    </row>
    <row r="80">
      <c r="A80" s="9">
        <f>if('Point Intercept 1'!A80 = 'Point Intercept 2'!A80, 'Point Intercept 1'!A80, "ERROR")</f>
        <v>1</v>
      </c>
      <c r="B80" s="9">
        <f>if('Point Intercept 1'!B80 = 'Point Intercept 2'!B80, 'Point Intercept 1'!B80, "ERROR")</f>
        <v>2025</v>
      </c>
      <c r="C80" s="13">
        <f>if('Point Intercept 1'!C80 = 'Point Intercept 2'!C80, 'Point Intercept 1'!C80, "ERROR")</f>
        <v>45764</v>
      </c>
      <c r="D80" s="9" t="str">
        <f>if('Point Intercept 1'!D80 = 'Point Intercept 2'!D80, 'Point Intercept 1'!D80, "ERROR")</f>
        <v>TL, CG, BN</v>
      </c>
      <c r="E80" s="9" t="str">
        <f>if('Point Intercept 1'!E80 = 'Point Intercept 2'!E80, 'Point Intercept 1'!E80, "ERROR")</f>
        <v>VB</v>
      </c>
      <c r="F80" s="9">
        <f>if('Point Intercept 1'!F80 = 'Point Intercept 2'!F80, 'Point Intercept 1'!F80, "ERROR")</f>
        <v>1</v>
      </c>
      <c r="G80" s="9" t="str">
        <f>if('Point Intercept 1'!G80 = 'Point Intercept 2'!G80, 'Point Intercept 1'!G80, "ERROR")</f>
        <v>LS</v>
      </c>
      <c r="H80" s="9">
        <f>if('Point Intercept 1'!I80 = 'Point Intercept 2'!I80, 'Point Intercept 1'!I80, "ERROR")</f>
        <v>9</v>
      </c>
      <c r="I80" s="9">
        <f>if('Point Intercept 1'!H80 = 'Point Intercept 2'!H80, 'Point Intercept 1'!H80, "ERROR")</f>
        <v>2</v>
      </c>
      <c r="J80" s="9">
        <f>if('Point Intercept 1'!J80 = 'Point Intercept 2'!J80, 'Point Intercept 1'!J80, "ERROR")</f>
        <v>4.5</v>
      </c>
      <c r="K80" s="9" t="str">
        <f>if('Point Intercept 1'!K80 = 'Point Intercept 2'!K80, 'Point Intercept 1'!K80, "ERROR")</f>
        <v>L</v>
      </c>
      <c r="L80" s="9" t="str">
        <f>if('Point Intercept 1'!L80 = 'Point Intercept 2'!L80, 'Point Intercept 1'!L80, "ERROR")</f>
        <v>Litter</v>
      </c>
      <c r="M80" s="9" t="str">
        <f>if('Point Intercept 1'!N80 = 'Point Intercept 2'!M80, 'Point Intercept 1'!N80, "ERROR")</f>
        <v/>
      </c>
      <c r="N80" s="9" t="str">
        <f>if('Point Intercept 1'!O80 = 'Point Intercept 2'!N80, 'Point Intercept 1'!O80, "ERROR")</f>
        <v/>
      </c>
      <c r="O80" s="9" t="str">
        <f>if('Point Intercept 1'!P80 = 'Point Intercept 2'!O80, 'Point Intercept 1'!P80, "ERROR")</f>
        <v/>
      </c>
    </row>
    <row r="81">
      <c r="A81" s="9">
        <f>if('Point Intercept 1'!A81 = 'Point Intercept 2'!A81, 'Point Intercept 1'!A81, "ERROR")</f>
        <v>1</v>
      </c>
      <c r="B81" s="9">
        <f>if('Point Intercept 1'!B81 = 'Point Intercept 2'!B81, 'Point Intercept 1'!B81, "ERROR")</f>
        <v>2025</v>
      </c>
      <c r="C81" s="13">
        <f>if('Point Intercept 1'!C81 = 'Point Intercept 2'!C81, 'Point Intercept 1'!C81, "ERROR")</f>
        <v>45764</v>
      </c>
      <c r="D81" s="9" t="str">
        <f>if('Point Intercept 1'!D81 = 'Point Intercept 2'!D81, 'Point Intercept 1'!D81, "ERROR")</f>
        <v>TL, CG, BN</v>
      </c>
      <c r="E81" s="9" t="str">
        <f>if('Point Intercept 1'!E81 = 'Point Intercept 2'!E81, 'Point Intercept 1'!E81, "ERROR")</f>
        <v>VB</v>
      </c>
      <c r="F81" s="9">
        <f>if('Point Intercept 1'!F81 = 'Point Intercept 2'!F81, 'Point Intercept 1'!F81, "ERROR")</f>
        <v>1</v>
      </c>
      <c r="G81" s="9" t="str">
        <f>if('Point Intercept 1'!G81 = 'Point Intercept 2'!G81, 'Point Intercept 1'!G81, "ERROR")</f>
        <v>LS</v>
      </c>
      <c r="H81" s="9">
        <f>if('Point Intercept 1'!I81 = 'Point Intercept 2'!I81, 'Point Intercept 1'!I81, "ERROR")</f>
        <v>9</v>
      </c>
      <c r="I81" s="9">
        <f>if('Point Intercept 1'!H81 = 'Point Intercept 2'!H81, 'Point Intercept 1'!H81, "ERROR")</f>
        <v>2</v>
      </c>
      <c r="J81" s="9">
        <f>if('Point Intercept 1'!J81 = 'Point Intercept 2'!J81, 'Point Intercept 1'!J81, "ERROR")</f>
        <v>4.5</v>
      </c>
      <c r="K81" s="9" t="str">
        <f>if('Point Intercept 1'!K81 = 'Point Intercept 2'!K81, 'Point Intercept 1'!K81, "ERROR")</f>
        <v>BROMAD</v>
      </c>
      <c r="L81" s="9" t="str">
        <f>if('Point Intercept 1'!L81 = 'Point Intercept 2'!L81, 'Point Intercept 1'!L81, "ERROR")</f>
        <v>Bromus madritensis</v>
      </c>
      <c r="M81" s="9" t="str">
        <f>if('Point Intercept 1'!N81 = 'Point Intercept 2'!M81, 'Point Intercept 1'!N81, "ERROR")</f>
        <v/>
      </c>
      <c r="N81" s="9" t="str">
        <f>if('Point Intercept 1'!O81 = 'Point Intercept 2'!N81, 'Point Intercept 1'!O81, "ERROR")</f>
        <v/>
      </c>
      <c r="O81" s="9" t="str">
        <f>if('Point Intercept 1'!P81 = 'Point Intercept 2'!O81, 'Point Intercept 1'!P81, "ERROR")</f>
        <v/>
      </c>
    </row>
    <row r="82">
      <c r="A82" s="9">
        <f>if('Point Intercept 1'!A82 = 'Point Intercept 2'!A82, 'Point Intercept 1'!A82, "ERROR")</f>
        <v>1</v>
      </c>
      <c r="B82" s="9">
        <f>if('Point Intercept 1'!B82 = 'Point Intercept 2'!B82, 'Point Intercept 1'!B82, "ERROR")</f>
        <v>2025</v>
      </c>
      <c r="C82" s="13">
        <f>if('Point Intercept 1'!C82 = 'Point Intercept 2'!C82, 'Point Intercept 1'!C82, "ERROR")</f>
        <v>45764</v>
      </c>
      <c r="D82" s="9" t="str">
        <f>if('Point Intercept 1'!D82 = 'Point Intercept 2'!D82, 'Point Intercept 1'!D82, "ERROR")</f>
        <v>TL, CG, BN</v>
      </c>
      <c r="E82" s="9" t="str">
        <f>if('Point Intercept 1'!E82 = 'Point Intercept 2'!E82, 'Point Intercept 1'!E82, "ERROR")</f>
        <v>VB</v>
      </c>
      <c r="F82" s="9">
        <f>if('Point Intercept 1'!F82 = 'Point Intercept 2'!F82, 'Point Intercept 1'!F82, "ERROR")</f>
        <v>1</v>
      </c>
      <c r="G82" s="9" t="str">
        <f>if('Point Intercept 1'!G82 = 'Point Intercept 2'!G82, 'Point Intercept 1'!G82, "ERROR")</f>
        <v>LS</v>
      </c>
      <c r="H82" s="9">
        <f>if('Point Intercept 1'!I82 = 'Point Intercept 2'!I82, 'Point Intercept 1'!I82, "ERROR")</f>
        <v>9</v>
      </c>
      <c r="I82" s="9">
        <f>if('Point Intercept 1'!H82 = 'Point Intercept 2'!H82, 'Point Intercept 1'!H82, "ERROR")</f>
        <v>2</v>
      </c>
      <c r="J82" s="9">
        <f>if('Point Intercept 1'!J82 = 'Point Intercept 2'!J82, 'Point Intercept 1'!J82, "ERROR")</f>
        <v>4.5</v>
      </c>
      <c r="K82" s="9" t="str">
        <f>if('Point Intercept 1'!K82 = 'Point Intercept 2'!K82, 'Point Intercept 1'!K82, "ERROR")</f>
        <v>EROMOS</v>
      </c>
      <c r="L82" s="9" t="str">
        <f>if('Point Intercept 1'!L82 = 'Point Intercept 2'!L82, 'Point Intercept 1'!L82, "ERROR")</f>
        <v>Erodium moschatum</v>
      </c>
      <c r="M82" s="9" t="str">
        <f>if('Point Intercept 1'!N82 = 'Point Intercept 2'!M82, 'Point Intercept 1'!N82, "ERROR")</f>
        <v/>
      </c>
      <c r="N82" s="9" t="str">
        <f>if('Point Intercept 1'!O82 = 'Point Intercept 2'!N82, 'Point Intercept 1'!O82, "ERROR")</f>
        <v/>
      </c>
      <c r="O82" s="9" t="str">
        <f>if('Point Intercept 1'!P82 = 'Point Intercept 2'!O82, 'Point Intercept 1'!P82, "ERROR")</f>
        <v/>
      </c>
    </row>
    <row r="83">
      <c r="A83" s="9">
        <f>if('Point Intercept 1'!A83 = 'Point Intercept 2'!A83, 'Point Intercept 1'!A83, "ERROR")</f>
        <v>1</v>
      </c>
      <c r="B83" s="9">
        <f>if('Point Intercept 1'!B83 = 'Point Intercept 2'!B83, 'Point Intercept 1'!B83, "ERROR")</f>
        <v>2025</v>
      </c>
      <c r="C83" s="13">
        <f>if('Point Intercept 1'!C83 = 'Point Intercept 2'!C83, 'Point Intercept 1'!C83, "ERROR")</f>
        <v>45764</v>
      </c>
      <c r="D83" s="9" t="str">
        <f>if('Point Intercept 1'!D83 = 'Point Intercept 2'!D83, 'Point Intercept 1'!D83, "ERROR")</f>
        <v>TL, CG, BN</v>
      </c>
      <c r="E83" s="9" t="str">
        <f>if('Point Intercept 1'!E83 = 'Point Intercept 2'!E83, 'Point Intercept 1'!E83, "ERROR")</f>
        <v>VB</v>
      </c>
      <c r="F83" s="9">
        <f>if('Point Intercept 1'!F83 = 'Point Intercept 2'!F83, 'Point Intercept 1'!F83, "ERROR")</f>
        <v>1</v>
      </c>
      <c r="G83" s="9" t="str">
        <f>if('Point Intercept 1'!G83 = 'Point Intercept 2'!G83, 'Point Intercept 1'!G83, "ERROR")</f>
        <v>LS</v>
      </c>
      <c r="H83" s="9">
        <f>if('Point Intercept 1'!I83 = 'Point Intercept 2'!I83, 'Point Intercept 1'!I83, "ERROR")</f>
        <v>10</v>
      </c>
      <c r="I83" s="9">
        <f>if('Point Intercept 1'!H83 = 'Point Intercept 2'!H83, 'Point Intercept 1'!H83, "ERROR")</f>
        <v>2</v>
      </c>
      <c r="J83" s="9">
        <f>if('Point Intercept 1'!J83 = 'Point Intercept 2'!J83, 'Point Intercept 1'!J83, "ERROR")</f>
        <v>5</v>
      </c>
      <c r="K83" s="9" t="str">
        <f>if('Point Intercept 1'!K83 = 'Point Intercept 2'!K83, 'Point Intercept 1'!K83, "ERROR")</f>
        <v>L</v>
      </c>
      <c r="L83" s="9" t="str">
        <f>if('Point Intercept 1'!L83 = 'Point Intercept 2'!L83, 'Point Intercept 1'!L83, "ERROR")</f>
        <v>Litter</v>
      </c>
      <c r="M83" s="9" t="str">
        <f>if('Point Intercept 1'!N83 = 'Point Intercept 2'!M83, 'Point Intercept 1'!N83, "ERROR")</f>
        <v/>
      </c>
      <c r="N83" s="9" t="str">
        <f>if('Point Intercept 1'!O83 = 'Point Intercept 2'!N83, 'Point Intercept 1'!O83, "ERROR")</f>
        <v/>
      </c>
      <c r="O83" s="9" t="str">
        <f>if('Point Intercept 1'!P83 = 'Point Intercept 2'!O83, 'Point Intercept 1'!P83, "ERROR")</f>
        <v/>
      </c>
    </row>
    <row r="84">
      <c r="A84" s="9">
        <f>if('Point Intercept 1'!A84 = 'Point Intercept 2'!A84, 'Point Intercept 1'!A84, "ERROR")</f>
        <v>1</v>
      </c>
      <c r="B84" s="9">
        <f>if('Point Intercept 1'!B84 = 'Point Intercept 2'!B84, 'Point Intercept 1'!B84, "ERROR")</f>
        <v>2025</v>
      </c>
      <c r="C84" s="13">
        <f>if('Point Intercept 1'!C84 = 'Point Intercept 2'!C84, 'Point Intercept 1'!C84, "ERROR")</f>
        <v>45764</v>
      </c>
      <c r="D84" s="9" t="str">
        <f>if('Point Intercept 1'!D84 = 'Point Intercept 2'!D84, 'Point Intercept 1'!D84, "ERROR")</f>
        <v>TL, CG, BN</v>
      </c>
      <c r="E84" s="9" t="str">
        <f>if('Point Intercept 1'!E84 = 'Point Intercept 2'!E84, 'Point Intercept 1'!E84, "ERROR")</f>
        <v>VB</v>
      </c>
      <c r="F84" s="9">
        <f>if('Point Intercept 1'!F84 = 'Point Intercept 2'!F84, 'Point Intercept 1'!F84, "ERROR")</f>
        <v>1</v>
      </c>
      <c r="G84" s="9" t="str">
        <f>if('Point Intercept 1'!G84 = 'Point Intercept 2'!G84, 'Point Intercept 1'!G84, "ERROR")</f>
        <v>LS</v>
      </c>
      <c r="H84" s="9">
        <f>if('Point Intercept 1'!I84 = 'Point Intercept 2'!I84, 'Point Intercept 1'!I84, "ERROR")</f>
        <v>10</v>
      </c>
      <c r="I84" s="9">
        <f>if('Point Intercept 1'!H84 = 'Point Intercept 2'!H84, 'Point Intercept 1'!H84, "ERROR")</f>
        <v>2</v>
      </c>
      <c r="J84" s="9">
        <f>if('Point Intercept 1'!J84 = 'Point Intercept 2'!J84, 'Point Intercept 1'!J84, "ERROR")</f>
        <v>5</v>
      </c>
      <c r="K84" s="9" t="str">
        <f>if('Point Intercept 1'!K84 = 'Point Intercept 2'!K84, 'Point Intercept 1'!K84, "ERROR")</f>
        <v>SONOLE</v>
      </c>
      <c r="L84" s="9" t="str">
        <f>if('Point Intercept 1'!L84 = 'Point Intercept 2'!L84, 'Point Intercept 1'!L84, "ERROR")</f>
        <v>Sonchus oleraceus</v>
      </c>
      <c r="M84" s="9" t="str">
        <f>if('Point Intercept 1'!N84 = 'Point Intercept 2'!M84, 'Point Intercept 1'!N84, "ERROR")</f>
        <v/>
      </c>
      <c r="N84" s="9" t="str">
        <f>if('Point Intercept 1'!O84 = 'Point Intercept 2'!N84, 'Point Intercept 1'!O84, "ERROR")</f>
        <v/>
      </c>
      <c r="O84" s="9" t="str">
        <f>if('Point Intercept 1'!P84 = 'Point Intercept 2'!O84, 'Point Intercept 1'!P84, "ERROR")</f>
        <v/>
      </c>
    </row>
    <row r="85">
      <c r="A85" s="9">
        <f>if('Point Intercept 1'!A85 = 'Point Intercept 2'!A85, 'Point Intercept 1'!A85, "ERROR")</f>
        <v>1</v>
      </c>
      <c r="B85" s="9">
        <f>if('Point Intercept 1'!B85 = 'Point Intercept 2'!B85, 'Point Intercept 1'!B85, "ERROR")</f>
        <v>2025</v>
      </c>
      <c r="C85" s="13">
        <f>if('Point Intercept 1'!C85 = 'Point Intercept 2'!C85, 'Point Intercept 1'!C85, "ERROR")</f>
        <v>45764</v>
      </c>
      <c r="D85" s="9" t="str">
        <f>if('Point Intercept 1'!D85 = 'Point Intercept 2'!D85, 'Point Intercept 1'!D85, "ERROR")</f>
        <v>TL, CG, BN</v>
      </c>
      <c r="E85" s="9" t="str">
        <f>if('Point Intercept 1'!E85 = 'Point Intercept 2'!E85, 'Point Intercept 1'!E85, "ERROR")</f>
        <v>VB</v>
      </c>
      <c r="F85" s="9">
        <f>if('Point Intercept 1'!F85 = 'Point Intercept 2'!F85, 'Point Intercept 1'!F85, "ERROR")</f>
        <v>1</v>
      </c>
      <c r="G85" s="9" t="str">
        <f>if('Point Intercept 1'!G85 = 'Point Intercept 2'!G85, 'Point Intercept 1'!G85, "ERROR")</f>
        <v>LS</v>
      </c>
      <c r="H85" s="9">
        <f>if('Point Intercept 1'!I85 = 'Point Intercept 2'!I85, 'Point Intercept 1'!I85, "ERROR")</f>
        <v>10</v>
      </c>
      <c r="I85" s="9">
        <f>if('Point Intercept 1'!H85 = 'Point Intercept 2'!H85, 'Point Intercept 1'!H85, "ERROR")</f>
        <v>2</v>
      </c>
      <c r="J85" s="9">
        <f>if('Point Intercept 1'!J85 = 'Point Intercept 2'!J85, 'Point Intercept 1'!J85, "ERROR")</f>
        <v>5</v>
      </c>
      <c r="K85" s="9" t="str">
        <f>if('Point Intercept 1'!K85 = 'Point Intercept 2'!K85, 'Point Intercept 1'!K85, "ERROR")</f>
        <v>EROMOS</v>
      </c>
      <c r="L85" s="9" t="str">
        <f>if('Point Intercept 1'!L85 = 'Point Intercept 2'!L85, 'Point Intercept 1'!L85, "ERROR")</f>
        <v>Erodium moschatum</v>
      </c>
      <c r="M85" s="9" t="str">
        <f>if('Point Intercept 1'!N85 = 'Point Intercept 2'!M85, 'Point Intercept 1'!N85, "ERROR")</f>
        <v/>
      </c>
      <c r="N85" s="9" t="str">
        <f>if('Point Intercept 1'!O85 = 'Point Intercept 2'!N85, 'Point Intercept 1'!O85, "ERROR")</f>
        <v/>
      </c>
      <c r="O85" s="9" t="str">
        <f>if('Point Intercept 1'!P85 = 'Point Intercept 2'!O85, 'Point Intercept 1'!P85, "ERROR")</f>
        <v/>
      </c>
    </row>
    <row r="86">
      <c r="A86" s="9">
        <f>if('Point Intercept 1'!A86 = 'Point Intercept 2'!A86, 'Point Intercept 1'!A86, "ERROR")</f>
        <v>1</v>
      </c>
      <c r="B86" s="9">
        <f>if('Point Intercept 1'!B86 = 'Point Intercept 2'!B86, 'Point Intercept 1'!B86, "ERROR")</f>
        <v>2025</v>
      </c>
      <c r="C86" s="13">
        <f>if('Point Intercept 1'!C86 = 'Point Intercept 2'!C86, 'Point Intercept 1'!C86, "ERROR")</f>
        <v>45764</v>
      </c>
      <c r="D86" s="9" t="str">
        <f>if('Point Intercept 1'!D86 = 'Point Intercept 2'!D86, 'Point Intercept 1'!D86, "ERROR")</f>
        <v>TL, CG, BN</v>
      </c>
      <c r="E86" s="9" t="str">
        <f>if('Point Intercept 1'!E86 = 'Point Intercept 2'!E86, 'Point Intercept 1'!E86, "ERROR")</f>
        <v>VB</v>
      </c>
      <c r="F86" s="9">
        <f>if('Point Intercept 1'!F86 = 'Point Intercept 2'!F86, 'Point Intercept 1'!F86, "ERROR")</f>
        <v>1</v>
      </c>
      <c r="G86" s="9" t="str">
        <f>if('Point Intercept 1'!G86 = 'Point Intercept 2'!G86, 'Point Intercept 1'!G86, "ERROR")</f>
        <v>LS</v>
      </c>
      <c r="H86" s="9">
        <f>if('Point Intercept 1'!I86 = 'Point Intercept 2'!I86, 'Point Intercept 1'!I86, "ERROR")</f>
        <v>10</v>
      </c>
      <c r="I86" s="9">
        <f>if('Point Intercept 1'!H86 = 'Point Intercept 2'!H86, 'Point Intercept 1'!H86, "ERROR")</f>
        <v>2</v>
      </c>
      <c r="J86" s="9">
        <f>if('Point Intercept 1'!J86 = 'Point Intercept 2'!J86, 'Point Intercept 1'!J86, "ERROR")</f>
        <v>5</v>
      </c>
      <c r="K86" s="9" t="str">
        <f>if('Point Intercept 1'!K86 = 'Point Intercept 2'!K86, 'Point Intercept 1'!K86, "ERROR")</f>
        <v>BROMAD</v>
      </c>
      <c r="L86" s="9" t="str">
        <f>if('Point Intercept 1'!L86 = 'Point Intercept 2'!L86, 'Point Intercept 1'!L86, "ERROR")</f>
        <v>Bromus madritensis</v>
      </c>
      <c r="M86" s="9" t="str">
        <f>if('Point Intercept 1'!N86 = 'Point Intercept 2'!M86, 'Point Intercept 1'!N86, "ERROR")</f>
        <v/>
      </c>
      <c r="N86" s="9" t="str">
        <f>if('Point Intercept 1'!O86 = 'Point Intercept 2'!N86, 'Point Intercept 1'!O86, "ERROR")</f>
        <v/>
      </c>
      <c r="O86" s="9" t="str">
        <f>if('Point Intercept 1'!P86 = 'Point Intercept 2'!O86, 'Point Intercept 1'!P86, "ERROR")</f>
        <v/>
      </c>
    </row>
    <row r="87">
      <c r="A87" s="9">
        <f>if('Point Intercept 1'!A87 = 'Point Intercept 2'!A87, 'Point Intercept 1'!A87, "ERROR")</f>
        <v>1</v>
      </c>
      <c r="B87" s="9">
        <f>if('Point Intercept 1'!B87 = 'Point Intercept 2'!B87, 'Point Intercept 1'!B87, "ERROR")</f>
        <v>2025</v>
      </c>
      <c r="C87" s="13">
        <f>if('Point Intercept 1'!C87 = 'Point Intercept 2'!C87, 'Point Intercept 1'!C87, "ERROR")</f>
        <v>45764</v>
      </c>
      <c r="D87" s="9" t="str">
        <f>if('Point Intercept 1'!D87 = 'Point Intercept 2'!D87, 'Point Intercept 1'!D87, "ERROR")</f>
        <v>TL, CG, BN</v>
      </c>
      <c r="E87" s="9" t="str">
        <f>if('Point Intercept 1'!E87 = 'Point Intercept 2'!E87, 'Point Intercept 1'!E87, "ERROR")</f>
        <v>VB</v>
      </c>
      <c r="F87" s="9">
        <f>if('Point Intercept 1'!F87 = 'Point Intercept 2'!F87, 'Point Intercept 1'!F87, "ERROR")</f>
        <v>1</v>
      </c>
      <c r="G87" s="9" t="str">
        <f>if('Point Intercept 1'!G87 = 'Point Intercept 2'!G87, 'Point Intercept 1'!G87, "ERROR")</f>
        <v>LS</v>
      </c>
      <c r="H87" s="9">
        <f>if('Point Intercept 1'!I87 = 'Point Intercept 2'!I87, 'Point Intercept 1'!I87, "ERROR")</f>
        <v>11</v>
      </c>
      <c r="I87" s="9">
        <f>if('Point Intercept 1'!H87 = 'Point Intercept 2'!H87, 'Point Intercept 1'!H87, "ERROR")</f>
        <v>2</v>
      </c>
      <c r="J87" s="9">
        <f>if('Point Intercept 1'!J87 = 'Point Intercept 2'!J87, 'Point Intercept 1'!J87, "ERROR")</f>
        <v>5.5</v>
      </c>
      <c r="K87" s="9" t="str">
        <f>if('Point Intercept 1'!K87 = 'Point Intercept 2'!K87, 'Point Intercept 1'!K87, "ERROR")</f>
        <v>L</v>
      </c>
      <c r="L87" s="9" t="str">
        <f>if('Point Intercept 1'!L87 = 'Point Intercept 2'!L87, 'Point Intercept 1'!L87, "ERROR")</f>
        <v>Litter</v>
      </c>
      <c r="M87" s="9" t="str">
        <f>if('Point Intercept 1'!N87 = 'Point Intercept 2'!M87, 'Point Intercept 1'!N87, "ERROR")</f>
        <v/>
      </c>
      <c r="N87" s="9" t="str">
        <f>if('Point Intercept 1'!O87 = 'Point Intercept 2'!N87, 'Point Intercept 1'!O87, "ERROR")</f>
        <v/>
      </c>
      <c r="O87" s="9" t="str">
        <f>if('Point Intercept 1'!P87 = 'Point Intercept 2'!O87, 'Point Intercept 1'!P87, "ERROR")</f>
        <v/>
      </c>
    </row>
    <row r="88">
      <c r="A88" s="9">
        <f>if('Point Intercept 1'!A88 = 'Point Intercept 2'!A88, 'Point Intercept 1'!A88, "ERROR")</f>
        <v>1</v>
      </c>
      <c r="B88" s="9">
        <f>if('Point Intercept 1'!B88 = 'Point Intercept 2'!B88, 'Point Intercept 1'!B88, "ERROR")</f>
        <v>2025</v>
      </c>
      <c r="C88" s="13">
        <f>if('Point Intercept 1'!C88 = 'Point Intercept 2'!C88, 'Point Intercept 1'!C88, "ERROR")</f>
        <v>45764</v>
      </c>
      <c r="D88" s="9" t="str">
        <f>if('Point Intercept 1'!D88 = 'Point Intercept 2'!D88, 'Point Intercept 1'!D88, "ERROR")</f>
        <v>TL, CG, BN</v>
      </c>
      <c r="E88" s="9" t="str">
        <f>if('Point Intercept 1'!E88 = 'Point Intercept 2'!E88, 'Point Intercept 1'!E88, "ERROR")</f>
        <v>VB</v>
      </c>
      <c r="F88" s="9">
        <f>if('Point Intercept 1'!F88 = 'Point Intercept 2'!F88, 'Point Intercept 1'!F88, "ERROR")</f>
        <v>1</v>
      </c>
      <c r="G88" s="9" t="str">
        <f>if('Point Intercept 1'!G88 = 'Point Intercept 2'!G88, 'Point Intercept 1'!G88, "ERROR")</f>
        <v>LS</v>
      </c>
      <c r="H88" s="9">
        <f>if('Point Intercept 1'!I88 = 'Point Intercept 2'!I88, 'Point Intercept 1'!I88, "ERROR")</f>
        <v>11</v>
      </c>
      <c r="I88" s="9">
        <f>if('Point Intercept 1'!H88 = 'Point Intercept 2'!H88, 'Point Intercept 1'!H88, "ERROR")</f>
        <v>2</v>
      </c>
      <c r="J88" s="9">
        <f>if('Point Intercept 1'!J88 = 'Point Intercept 2'!J88, 'Point Intercept 1'!J88, "ERROR")</f>
        <v>5.5</v>
      </c>
      <c r="K88" s="9" t="str">
        <f>if('Point Intercept 1'!K88 = 'Point Intercept 2'!K88, 'Point Intercept 1'!K88, "ERROR")</f>
        <v>OPULIT</v>
      </c>
      <c r="L88" s="9" t="str">
        <f>if('Point Intercept 1'!L88 = 'Point Intercept 2'!L88, 'Point Intercept 1'!L88, "ERROR")</f>
        <v>Opuntia littoralis</v>
      </c>
      <c r="M88" s="9" t="str">
        <f>if('Point Intercept 1'!N88 = 'Point Intercept 2'!M88, 'Point Intercept 1'!N88, "ERROR")</f>
        <v/>
      </c>
      <c r="N88" s="9" t="str">
        <f>if('Point Intercept 1'!O88 = 'Point Intercept 2'!N88, 'Point Intercept 1'!O88, "ERROR")</f>
        <v/>
      </c>
      <c r="O88" s="9" t="str">
        <f>if('Point Intercept 1'!P88 = 'Point Intercept 2'!O88, 'Point Intercept 1'!P88, "ERROR")</f>
        <v/>
      </c>
    </row>
    <row r="89">
      <c r="A89" s="9">
        <f>if('Point Intercept 1'!A89 = 'Point Intercept 2'!A89, 'Point Intercept 1'!A89, "ERROR")</f>
        <v>1</v>
      </c>
      <c r="B89" s="9">
        <f>if('Point Intercept 1'!B89 = 'Point Intercept 2'!B89, 'Point Intercept 1'!B89, "ERROR")</f>
        <v>2025</v>
      </c>
      <c r="C89" s="13">
        <f>if('Point Intercept 1'!C89 = 'Point Intercept 2'!C89, 'Point Intercept 1'!C89, "ERROR")</f>
        <v>45764</v>
      </c>
      <c r="D89" s="9" t="str">
        <f>if('Point Intercept 1'!D89 = 'Point Intercept 2'!D89, 'Point Intercept 1'!D89, "ERROR")</f>
        <v>TL, CG, BN</v>
      </c>
      <c r="E89" s="9" t="str">
        <f>if('Point Intercept 1'!E89 = 'Point Intercept 2'!E89, 'Point Intercept 1'!E89, "ERROR")</f>
        <v>VB</v>
      </c>
      <c r="F89" s="9">
        <f>if('Point Intercept 1'!F89 = 'Point Intercept 2'!F89, 'Point Intercept 1'!F89, "ERROR")</f>
        <v>1</v>
      </c>
      <c r="G89" s="9" t="str">
        <f>if('Point Intercept 1'!G89 = 'Point Intercept 2'!G89, 'Point Intercept 1'!G89, "ERROR")</f>
        <v>LS</v>
      </c>
      <c r="H89" s="9">
        <f>if('Point Intercept 1'!I89 = 'Point Intercept 2'!I89, 'Point Intercept 1'!I89, "ERROR")</f>
        <v>11</v>
      </c>
      <c r="I89" s="9">
        <f>if('Point Intercept 1'!H89 = 'Point Intercept 2'!H89, 'Point Intercept 1'!H89, "ERROR")</f>
        <v>2</v>
      </c>
      <c r="J89" s="9">
        <f>if('Point Intercept 1'!J89 = 'Point Intercept 2'!J89, 'Point Intercept 1'!J89, "ERROR")</f>
        <v>5.5</v>
      </c>
      <c r="K89" s="9" t="str">
        <f>if('Point Intercept 1'!K89 = 'Point Intercept 2'!K89, 'Point Intercept 1'!K89, "ERROR")</f>
        <v>SONOLE</v>
      </c>
      <c r="L89" s="9" t="str">
        <f>if('Point Intercept 1'!L89 = 'Point Intercept 2'!L89, 'Point Intercept 1'!L89, "ERROR")</f>
        <v>Sonchus oleraceus</v>
      </c>
      <c r="M89" s="9" t="str">
        <f>if('Point Intercept 1'!N89 = 'Point Intercept 2'!M89, 'Point Intercept 1'!N89, "ERROR")</f>
        <v/>
      </c>
      <c r="N89" s="9" t="str">
        <f>if('Point Intercept 1'!O89 = 'Point Intercept 2'!N89, 'Point Intercept 1'!O89, "ERROR")</f>
        <v/>
      </c>
      <c r="O89" s="9" t="str">
        <f>if('Point Intercept 1'!P89 = 'Point Intercept 2'!O89, 'Point Intercept 1'!P89, "ERROR")</f>
        <v/>
      </c>
    </row>
    <row r="90">
      <c r="A90" s="9">
        <f>if('Point Intercept 1'!A90 = 'Point Intercept 2'!A90, 'Point Intercept 1'!A90, "ERROR")</f>
        <v>1</v>
      </c>
      <c r="B90" s="9">
        <f>if('Point Intercept 1'!B90 = 'Point Intercept 2'!B90, 'Point Intercept 1'!B90, "ERROR")</f>
        <v>2025</v>
      </c>
      <c r="C90" s="13">
        <f>if('Point Intercept 1'!C90 = 'Point Intercept 2'!C90, 'Point Intercept 1'!C90, "ERROR")</f>
        <v>45764</v>
      </c>
      <c r="D90" s="9" t="str">
        <f>if('Point Intercept 1'!D90 = 'Point Intercept 2'!D90, 'Point Intercept 1'!D90, "ERROR")</f>
        <v>TL, CG, BN</v>
      </c>
      <c r="E90" s="9" t="str">
        <f>if('Point Intercept 1'!E90 = 'Point Intercept 2'!E90, 'Point Intercept 1'!E90, "ERROR")</f>
        <v>VB</v>
      </c>
      <c r="F90" s="9">
        <f>if('Point Intercept 1'!F90 = 'Point Intercept 2'!F90, 'Point Intercept 1'!F90, "ERROR")</f>
        <v>1</v>
      </c>
      <c r="G90" s="9" t="str">
        <f>if('Point Intercept 1'!G90 = 'Point Intercept 2'!G90, 'Point Intercept 1'!G90, "ERROR")</f>
        <v>LS</v>
      </c>
      <c r="H90" s="9">
        <f>if('Point Intercept 1'!I90 = 'Point Intercept 2'!I90, 'Point Intercept 1'!I90, "ERROR")</f>
        <v>12</v>
      </c>
      <c r="I90" s="9">
        <f>if('Point Intercept 1'!H90 = 'Point Intercept 2'!H90, 'Point Intercept 1'!H90, "ERROR")</f>
        <v>2</v>
      </c>
      <c r="J90" s="9">
        <f>if('Point Intercept 1'!J90 = 'Point Intercept 2'!J90, 'Point Intercept 1'!J90, "ERROR")</f>
        <v>6</v>
      </c>
      <c r="K90" s="9" t="str">
        <f>if('Point Intercept 1'!K90 = 'Point Intercept 2'!K90, 'Point Intercept 1'!K90, "ERROR")</f>
        <v>L</v>
      </c>
      <c r="L90" s="9" t="str">
        <f>if('Point Intercept 1'!L90 = 'Point Intercept 2'!L90, 'Point Intercept 1'!L90, "ERROR")</f>
        <v>Litter</v>
      </c>
      <c r="M90" s="9" t="str">
        <f>if('Point Intercept 1'!N90 = 'Point Intercept 2'!M90, 'Point Intercept 1'!N90, "ERROR")</f>
        <v/>
      </c>
      <c r="N90" s="9" t="str">
        <f>if('Point Intercept 1'!O90 = 'Point Intercept 2'!N90, 'Point Intercept 1'!O90, "ERROR")</f>
        <v/>
      </c>
      <c r="O90" s="9" t="str">
        <f>if('Point Intercept 1'!P90 = 'Point Intercept 2'!O90, 'Point Intercept 1'!P90, "ERROR")</f>
        <v/>
      </c>
    </row>
    <row r="91">
      <c r="A91" s="9">
        <f>if('Point Intercept 1'!A91 = 'Point Intercept 2'!A91, 'Point Intercept 1'!A91, "ERROR")</f>
        <v>1</v>
      </c>
      <c r="B91" s="9">
        <f>if('Point Intercept 1'!B91 = 'Point Intercept 2'!B91, 'Point Intercept 1'!B91, "ERROR")</f>
        <v>2025</v>
      </c>
      <c r="C91" s="13">
        <f>if('Point Intercept 1'!C91 = 'Point Intercept 2'!C91, 'Point Intercept 1'!C91, "ERROR")</f>
        <v>45764</v>
      </c>
      <c r="D91" s="9" t="str">
        <f>if('Point Intercept 1'!D91 = 'Point Intercept 2'!D91, 'Point Intercept 1'!D91, "ERROR")</f>
        <v>TL, CG, BN</v>
      </c>
      <c r="E91" s="9" t="str">
        <f>if('Point Intercept 1'!E91 = 'Point Intercept 2'!E91, 'Point Intercept 1'!E91, "ERROR")</f>
        <v>VB</v>
      </c>
      <c r="F91" s="9">
        <f>if('Point Intercept 1'!F91 = 'Point Intercept 2'!F91, 'Point Intercept 1'!F91, "ERROR")</f>
        <v>1</v>
      </c>
      <c r="G91" s="9" t="str">
        <f>if('Point Intercept 1'!G91 = 'Point Intercept 2'!G91, 'Point Intercept 1'!G91, "ERROR")</f>
        <v>LS</v>
      </c>
      <c r="H91" s="9">
        <f>if('Point Intercept 1'!I91 = 'Point Intercept 2'!I91, 'Point Intercept 1'!I91, "ERROR")</f>
        <v>12</v>
      </c>
      <c r="I91" s="9">
        <f>if('Point Intercept 1'!H91 = 'Point Intercept 2'!H91, 'Point Intercept 1'!H91, "ERROR")</f>
        <v>2</v>
      </c>
      <c r="J91" s="9">
        <f>if('Point Intercept 1'!J91 = 'Point Intercept 2'!J91, 'Point Intercept 1'!J91, "ERROR")</f>
        <v>6</v>
      </c>
      <c r="K91" s="9" t="str">
        <f>if('Point Intercept 1'!K91 = 'Point Intercept 2'!K91, 'Point Intercept 1'!K91, "ERROR")</f>
        <v>BROMAD</v>
      </c>
      <c r="L91" s="9" t="str">
        <f>if('Point Intercept 1'!L91 = 'Point Intercept 2'!L91, 'Point Intercept 1'!L91, "ERROR")</f>
        <v>Bromus madritensis</v>
      </c>
      <c r="M91" s="9" t="str">
        <f>if('Point Intercept 1'!N91 = 'Point Intercept 2'!M91, 'Point Intercept 1'!N91, "ERROR")</f>
        <v/>
      </c>
      <c r="N91" s="9" t="str">
        <f>if('Point Intercept 1'!O91 = 'Point Intercept 2'!N91, 'Point Intercept 1'!O91, "ERROR")</f>
        <v/>
      </c>
      <c r="O91" s="9" t="str">
        <f>if('Point Intercept 1'!P91 = 'Point Intercept 2'!O91, 'Point Intercept 1'!P91, "ERROR")</f>
        <v/>
      </c>
    </row>
    <row r="92">
      <c r="A92" s="9">
        <f>if('Point Intercept 1'!A92 = 'Point Intercept 2'!A92, 'Point Intercept 1'!A92, "ERROR")</f>
        <v>1</v>
      </c>
      <c r="B92" s="9">
        <f>if('Point Intercept 1'!B92 = 'Point Intercept 2'!B92, 'Point Intercept 1'!B92, "ERROR")</f>
        <v>2025</v>
      </c>
      <c r="C92" s="13">
        <f>if('Point Intercept 1'!C92 = 'Point Intercept 2'!C92, 'Point Intercept 1'!C92, "ERROR")</f>
        <v>45764</v>
      </c>
      <c r="D92" s="9" t="str">
        <f>if('Point Intercept 1'!D92 = 'Point Intercept 2'!D92, 'Point Intercept 1'!D92, "ERROR")</f>
        <v>TL, CG, BN</v>
      </c>
      <c r="E92" s="9" t="str">
        <f>if('Point Intercept 1'!E92 = 'Point Intercept 2'!E92, 'Point Intercept 1'!E92, "ERROR")</f>
        <v>VB</v>
      </c>
      <c r="F92" s="9">
        <f>if('Point Intercept 1'!F92 = 'Point Intercept 2'!F92, 'Point Intercept 1'!F92, "ERROR")</f>
        <v>1</v>
      </c>
      <c r="G92" s="9" t="str">
        <f>if('Point Intercept 1'!G92 = 'Point Intercept 2'!G92, 'Point Intercept 1'!G92, "ERROR")</f>
        <v>LS</v>
      </c>
      <c r="H92" s="9">
        <f>if('Point Intercept 1'!I92 = 'Point Intercept 2'!I92, 'Point Intercept 1'!I92, "ERROR")</f>
        <v>12</v>
      </c>
      <c r="I92" s="9">
        <f>if('Point Intercept 1'!H92 = 'Point Intercept 2'!H92, 'Point Intercept 1'!H92, "ERROR")</f>
        <v>2</v>
      </c>
      <c r="J92" s="9">
        <f>if('Point Intercept 1'!J92 = 'Point Intercept 2'!J92, 'Point Intercept 1'!J92, "ERROR")</f>
        <v>6</v>
      </c>
      <c r="K92" s="9" t="str">
        <f>if('Point Intercept 1'!K92 = 'Point Intercept 2'!K92, 'Point Intercept 1'!K92, "ERROR")</f>
        <v>SONOLE</v>
      </c>
      <c r="L92" s="9" t="str">
        <f>if('Point Intercept 1'!L92 = 'Point Intercept 2'!L92, 'Point Intercept 1'!L92, "ERROR")</f>
        <v>Sonchus oleraceus</v>
      </c>
      <c r="M92" s="9" t="str">
        <f>if('Point Intercept 1'!N92 = 'Point Intercept 2'!M92, 'Point Intercept 1'!N92, "ERROR")</f>
        <v/>
      </c>
      <c r="N92" s="9" t="str">
        <f>if('Point Intercept 1'!O92 = 'Point Intercept 2'!N92, 'Point Intercept 1'!O92, "ERROR")</f>
        <v/>
      </c>
      <c r="O92" s="9" t="str">
        <f>if('Point Intercept 1'!P92 = 'Point Intercept 2'!O92, 'Point Intercept 1'!P92, "ERROR")</f>
        <v/>
      </c>
    </row>
    <row r="93">
      <c r="A93" s="9">
        <f>if('Point Intercept 1'!A93 = 'Point Intercept 2'!A93, 'Point Intercept 1'!A93, "ERROR")</f>
        <v>1</v>
      </c>
      <c r="B93" s="9">
        <f>if('Point Intercept 1'!B93 = 'Point Intercept 2'!B93, 'Point Intercept 1'!B93, "ERROR")</f>
        <v>2025</v>
      </c>
      <c r="C93" s="13">
        <f>if('Point Intercept 1'!C93 = 'Point Intercept 2'!C93, 'Point Intercept 1'!C93, "ERROR")</f>
        <v>45764</v>
      </c>
      <c r="D93" s="9" t="str">
        <f>if('Point Intercept 1'!D93 = 'Point Intercept 2'!D93, 'Point Intercept 1'!D93, "ERROR")</f>
        <v>TL, CG, BN</v>
      </c>
      <c r="E93" s="9" t="str">
        <f>if('Point Intercept 1'!E93 = 'Point Intercept 2'!E93, 'Point Intercept 1'!E93, "ERROR")</f>
        <v>VB</v>
      </c>
      <c r="F93" s="9">
        <f>if('Point Intercept 1'!F93 = 'Point Intercept 2'!F93, 'Point Intercept 1'!F93, "ERROR")</f>
        <v>1</v>
      </c>
      <c r="G93" s="9" t="str">
        <f>if('Point Intercept 1'!G93 = 'Point Intercept 2'!G93, 'Point Intercept 1'!G93, "ERROR")</f>
        <v>LS</v>
      </c>
      <c r="H93" s="9">
        <f>if('Point Intercept 1'!I93 = 'Point Intercept 2'!I93, 'Point Intercept 1'!I93, "ERROR")</f>
        <v>12</v>
      </c>
      <c r="I93" s="9">
        <f>if('Point Intercept 1'!H93 = 'Point Intercept 2'!H93, 'Point Intercept 1'!H93, "ERROR")</f>
        <v>2</v>
      </c>
      <c r="J93" s="9">
        <f>if('Point Intercept 1'!J93 = 'Point Intercept 2'!J93, 'Point Intercept 1'!J93, "ERROR")</f>
        <v>6</v>
      </c>
      <c r="K93" s="9" t="str">
        <f>if('Point Intercept 1'!K93 = 'Point Intercept 2'!K93, 'Point Intercept 1'!K93, "ERROR")</f>
        <v>MEDPOL</v>
      </c>
      <c r="L93" s="9" t="str">
        <f>if('Point Intercept 1'!L93 = 'Point Intercept 2'!L93, 'Point Intercept 1'!L93, "ERROR")</f>
        <v>Medicago polymorpha</v>
      </c>
      <c r="M93" s="9" t="str">
        <f>if('Point Intercept 1'!N93 = 'Point Intercept 2'!M93, 'Point Intercept 1'!N93, "ERROR")</f>
        <v/>
      </c>
      <c r="N93" s="9" t="str">
        <f>if('Point Intercept 1'!O93 = 'Point Intercept 2'!N93, 'Point Intercept 1'!O93, "ERROR")</f>
        <v/>
      </c>
      <c r="O93" s="9" t="str">
        <f>if('Point Intercept 1'!P93 = 'Point Intercept 2'!O93, 'Point Intercept 1'!P93, "ERROR")</f>
        <v/>
      </c>
    </row>
    <row r="94">
      <c r="A94" s="9">
        <f>if('Point Intercept 1'!A94 = 'Point Intercept 2'!A94, 'Point Intercept 1'!A94, "ERROR")</f>
        <v>1</v>
      </c>
      <c r="B94" s="9">
        <f>if('Point Intercept 1'!B94 = 'Point Intercept 2'!B94, 'Point Intercept 1'!B94, "ERROR")</f>
        <v>2025</v>
      </c>
      <c r="C94" s="13">
        <f>if('Point Intercept 1'!C94 = 'Point Intercept 2'!C94, 'Point Intercept 1'!C94, "ERROR")</f>
        <v>45764</v>
      </c>
      <c r="D94" s="9" t="str">
        <f>if('Point Intercept 1'!D94 = 'Point Intercept 2'!D94, 'Point Intercept 1'!D94, "ERROR")</f>
        <v>TL, CG, BN</v>
      </c>
      <c r="E94" s="9" t="str">
        <f>if('Point Intercept 1'!E94 = 'Point Intercept 2'!E94, 'Point Intercept 1'!E94, "ERROR")</f>
        <v>VB</v>
      </c>
      <c r="F94" s="9">
        <f>if('Point Intercept 1'!F94 = 'Point Intercept 2'!F94, 'Point Intercept 1'!F94, "ERROR")</f>
        <v>1</v>
      </c>
      <c r="G94" s="9" t="str">
        <f>if('Point Intercept 1'!G94 = 'Point Intercept 2'!G94, 'Point Intercept 1'!G94, "ERROR")</f>
        <v>LS</v>
      </c>
      <c r="H94" s="9">
        <f>if('Point Intercept 1'!I94 = 'Point Intercept 2'!I94, 'Point Intercept 1'!I94, "ERROR")</f>
        <v>13</v>
      </c>
      <c r="I94" s="9">
        <f>if('Point Intercept 1'!H94 = 'Point Intercept 2'!H94, 'Point Intercept 1'!H94, "ERROR")</f>
        <v>2</v>
      </c>
      <c r="J94" s="9">
        <f>if('Point Intercept 1'!J94 = 'Point Intercept 2'!J94, 'Point Intercept 1'!J94, "ERROR")</f>
        <v>6.5</v>
      </c>
      <c r="K94" s="9" t="str">
        <f>if('Point Intercept 1'!K94 = 'Point Intercept 2'!K94, 'Point Intercept 1'!K94, "ERROR")</f>
        <v>L</v>
      </c>
      <c r="L94" s="9" t="str">
        <f>if('Point Intercept 1'!L94 = 'Point Intercept 2'!L94, 'Point Intercept 1'!L94, "ERROR")</f>
        <v>Litter</v>
      </c>
      <c r="M94" s="9" t="str">
        <f>if('Point Intercept 1'!N94 = 'Point Intercept 2'!M94, 'Point Intercept 1'!N94, "ERROR")</f>
        <v/>
      </c>
      <c r="N94" s="9" t="str">
        <f>if('Point Intercept 1'!O94 = 'Point Intercept 2'!N94, 'Point Intercept 1'!O94, "ERROR")</f>
        <v/>
      </c>
      <c r="O94" s="9" t="str">
        <f>if('Point Intercept 1'!P94 = 'Point Intercept 2'!O94, 'Point Intercept 1'!P94, "ERROR")</f>
        <v/>
      </c>
    </row>
    <row r="95">
      <c r="A95" s="9">
        <f>if('Point Intercept 1'!A95 = 'Point Intercept 2'!A95, 'Point Intercept 1'!A95, "ERROR")</f>
        <v>1</v>
      </c>
      <c r="B95" s="9">
        <f>if('Point Intercept 1'!B95 = 'Point Intercept 2'!B95, 'Point Intercept 1'!B95, "ERROR")</f>
        <v>2025</v>
      </c>
      <c r="C95" s="13">
        <f>if('Point Intercept 1'!C95 = 'Point Intercept 2'!C95, 'Point Intercept 1'!C95, "ERROR")</f>
        <v>45764</v>
      </c>
      <c r="D95" s="9" t="str">
        <f>if('Point Intercept 1'!D95 = 'Point Intercept 2'!D95, 'Point Intercept 1'!D95, "ERROR")</f>
        <v>TL, CG, BN</v>
      </c>
      <c r="E95" s="9" t="str">
        <f>if('Point Intercept 1'!E95 = 'Point Intercept 2'!E95, 'Point Intercept 1'!E95, "ERROR")</f>
        <v>VB</v>
      </c>
      <c r="F95" s="9">
        <f>if('Point Intercept 1'!F95 = 'Point Intercept 2'!F95, 'Point Intercept 1'!F95, "ERROR")</f>
        <v>1</v>
      </c>
      <c r="G95" s="9" t="str">
        <f>if('Point Intercept 1'!G95 = 'Point Intercept 2'!G95, 'Point Intercept 1'!G95, "ERROR")</f>
        <v>LS</v>
      </c>
      <c r="H95" s="9">
        <f>if('Point Intercept 1'!I95 = 'Point Intercept 2'!I95, 'Point Intercept 1'!I95, "ERROR")</f>
        <v>13</v>
      </c>
      <c r="I95" s="9">
        <f>if('Point Intercept 1'!H95 = 'Point Intercept 2'!H95, 'Point Intercept 1'!H95, "ERROR")</f>
        <v>2</v>
      </c>
      <c r="J95" s="9">
        <f>if('Point Intercept 1'!J95 = 'Point Intercept 2'!J95, 'Point Intercept 1'!J95, "ERROR")</f>
        <v>6.5</v>
      </c>
      <c r="K95" s="9" t="str">
        <f>if('Point Intercept 1'!K95 = 'Point Intercept 2'!K95, 'Point Intercept 1'!K95, "ERROR")</f>
        <v>BROMAD</v>
      </c>
      <c r="L95" s="9" t="str">
        <f>if('Point Intercept 1'!L95 = 'Point Intercept 2'!L95, 'Point Intercept 1'!L95, "ERROR")</f>
        <v>Bromus madritensis</v>
      </c>
      <c r="M95" s="9" t="str">
        <f>if('Point Intercept 1'!N95 = 'Point Intercept 2'!M95, 'Point Intercept 1'!N95, "ERROR")</f>
        <v/>
      </c>
      <c r="N95" s="9" t="str">
        <f>if('Point Intercept 1'!O95 = 'Point Intercept 2'!N95, 'Point Intercept 1'!O95, "ERROR")</f>
        <v/>
      </c>
      <c r="O95" s="9" t="str">
        <f>if('Point Intercept 1'!P95 = 'Point Intercept 2'!O95, 'Point Intercept 1'!P95, "ERROR")</f>
        <v/>
      </c>
    </row>
    <row r="96">
      <c r="A96" s="9">
        <f>if('Point Intercept 1'!A96 = 'Point Intercept 2'!A96, 'Point Intercept 1'!A96, "ERROR")</f>
        <v>1</v>
      </c>
      <c r="B96" s="9">
        <f>if('Point Intercept 1'!B96 = 'Point Intercept 2'!B96, 'Point Intercept 1'!B96, "ERROR")</f>
        <v>2025</v>
      </c>
      <c r="C96" s="13">
        <f>if('Point Intercept 1'!C96 = 'Point Intercept 2'!C96, 'Point Intercept 1'!C96, "ERROR")</f>
        <v>45764</v>
      </c>
      <c r="D96" s="9" t="str">
        <f>if('Point Intercept 1'!D96 = 'Point Intercept 2'!D96, 'Point Intercept 1'!D96, "ERROR")</f>
        <v>TL, CG, BN</v>
      </c>
      <c r="E96" s="9" t="str">
        <f>if('Point Intercept 1'!E96 = 'Point Intercept 2'!E96, 'Point Intercept 1'!E96, "ERROR")</f>
        <v>VB</v>
      </c>
      <c r="F96" s="9">
        <f>if('Point Intercept 1'!F96 = 'Point Intercept 2'!F96, 'Point Intercept 1'!F96, "ERROR")</f>
        <v>1</v>
      </c>
      <c r="G96" s="9" t="str">
        <f>if('Point Intercept 1'!G96 = 'Point Intercept 2'!G96, 'Point Intercept 1'!G96, "ERROR")</f>
        <v>LS</v>
      </c>
      <c r="H96" s="9">
        <f>if('Point Intercept 1'!I96 = 'Point Intercept 2'!I96, 'Point Intercept 1'!I96, "ERROR")</f>
        <v>13</v>
      </c>
      <c r="I96" s="9">
        <f>if('Point Intercept 1'!H96 = 'Point Intercept 2'!H96, 'Point Intercept 1'!H96, "ERROR")</f>
        <v>2</v>
      </c>
      <c r="J96" s="9">
        <f>if('Point Intercept 1'!J96 = 'Point Intercept 2'!J96, 'Point Intercept 1'!J96, "ERROR")</f>
        <v>6.5</v>
      </c>
      <c r="K96" s="9" t="str">
        <f>if('Point Intercept 1'!K96 = 'Point Intercept 2'!K96, 'Point Intercept 1'!K96, "ERROR")</f>
        <v>DEIFAS</v>
      </c>
      <c r="L96" s="9" t="str">
        <f>if('Point Intercept 1'!L96 = 'Point Intercept 2'!L96, 'Point Intercept 1'!L96, "ERROR")</f>
        <v>Deinandra fasciculata</v>
      </c>
      <c r="M96" s="9" t="str">
        <f>if('Point Intercept 1'!N96 = 'Point Intercept 2'!M96, 'Point Intercept 1'!N96, "ERROR")</f>
        <v/>
      </c>
      <c r="N96" s="9" t="str">
        <f>if('Point Intercept 1'!O96 = 'Point Intercept 2'!N96, 'Point Intercept 1'!O96, "ERROR")</f>
        <v/>
      </c>
      <c r="O96" s="9" t="str">
        <f>if('Point Intercept 1'!P96 = 'Point Intercept 2'!O96, 'Point Intercept 1'!P96, "ERROR")</f>
        <v/>
      </c>
    </row>
    <row r="97">
      <c r="A97" s="9">
        <f>if('Point Intercept 1'!A97 = 'Point Intercept 2'!A97, 'Point Intercept 1'!A97, "ERROR")</f>
        <v>1</v>
      </c>
      <c r="B97" s="9">
        <f>if('Point Intercept 1'!B97 = 'Point Intercept 2'!B97, 'Point Intercept 1'!B97, "ERROR")</f>
        <v>2025</v>
      </c>
      <c r="C97" s="13">
        <f>if('Point Intercept 1'!C97 = 'Point Intercept 2'!C97, 'Point Intercept 1'!C97, "ERROR")</f>
        <v>45764</v>
      </c>
      <c r="D97" s="9" t="str">
        <f>if('Point Intercept 1'!D97 = 'Point Intercept 2'!D97, 'Point Intercept 1'!D97, "ERROR")</f>
        <v>TL, CG, BN</v>
      </c>
      <c r="E97" s="9" t="str">
        <f>if('Point Intercept 1'!E97 = 'Point Intercept 2'!E97, 'Point Intercept 1'!E97, "ERROR")</f>
        <v>VB</v>
      </c>
      <c r="F97" s="9">
        <f>if('Point Intercept 1'!F97 = 'Point Intercept 2'!F97, 'Point Intercept 1'!F97, "ERROR")</f>
        <v>1</v>
      </c>
      <c r="G97" s="9" t="str">
        <f>if('Point Intercept 1'!G97 = 'Point Intercept 2'!G97, 'Point Intercept 1'!G97, "ERROR")</f>
        <v>LS</v>
      </c>
      <c r="H97" s="9">
        <f>if('Point Intercept 1'!I97 = 'Point Intercept 2'!I97, 'Point Intercept 1'!I97, "ERROR")</f>
        <v>14</v>
      </c>
      <c r="I97" s="9">
        <f>if('Point Intercept 1'!H97 = 'Point Intercept 2'!H97, 'Point Intercept 1'!H97, "ERROR")</f>
        <v>2</v>
      </c>
      <c r="J97" s="9">
        <f>if('Point Intercept 1'!J97 = 'Point Intercept 2'!J97, 'Point Intercept 1'!J97, "ERROR")</f>
        <v>7</v>
      </c>
      <c r="K97" s="9" t="str">
        <f>if('Point Intercept 1'!K97 = 'Point Intercept 2'!K97, 'Point Intercept 1'!K97, "ERROR")</f>
        <v>L</v>
      </c>
      <c r="L97" s="9" t="str">
        <f>if('Point Intercept 1'!L97 = 'Point Intercept 2'!L97, 'Point Intercept 1'!L97, "ERROR")</f>
        <v>Litter</v>
      </c>
      <c r="M97" s="9" t="str">
        <f>if('Point Intercept 1'!N97 = 'Point Intercept 2'!M97, 'Point Intercept 1'!N97, "ERROR")</f>
        <v/>
      </c>
      <c r="N97" s="9" t="str">
        <f>if('Point Intercept 1'!O97 = 'Point Intercept 2'!N97, 'Point Intercept 1'!O97, "ERROR")</f>
        <v/>
      </c>
      <c r="O97" s="9" t="str">
        <f>if('Point Intercept 1'!P97 = 'Point Intercept 2'!O97, 'Point Intercept 1'!P97, "ERROR")</f>
        <v/>
      </c>
    </row>
    <row r="98">
      <c r="A98" s="9">
        <f>if('Point Intercept 1'!A98 = 'Point Intercept 2'!A98, 'Point Intercept 1'!A98, "ERROR")</f>
        <v>1</v>
      </c>
      <c r="B98" s="9">
        <f>if('Point Intercept 1'!B98 = 'Point Intercept 2'!B98, 'Point Intercept 1'!B98, "ERROR")</f>
        <v>2025</v>
      </c>
      <c r="C98" s="13">
        <f>if('Point Intercept 1'!C98 = 'Point Intercept 2'!C98, 'Point Intercept 1'!C98, "ERROR")</f>
        <v>45764</v>
      </c>
      <c r="D98" s="9" t="str">
        <f>if('Point Intercept 1'!D98 = 'Point Intercept 2'!D98, 'Point Intercept 1'!D98, "ERROR")</f>
        <v>TL, CG, BN</v>
      </c>
      <c r="E98" s="9" t="str">
        <f>if('Point Intercept 1'!E98 = 'Point Intercept 2'!E98, 'Point Intercept 1'!E98, "ERROR")</f>
        <v>VB</v>
      </c>
      <c r="F98" s="9">
        <f>if('Point Intercept 1'!F98 = 'Point Intercept 2'!F98, 'Point Intercept 1'!F98, "ERROR")</f>
        <v>1</v>
      </c>
      <c r="G98" s="9" t="str">
        <f>if('Point Intercept 1'!G98 = 'Point Intercept 2'!G98, 'Point Intercept 1'!G98, "ERROR")</f>
        <v>LS</v>
      </c>
      <c r="H98" s="9">
        <f>if('Point Intercept 1'!I98 = 'Point Intercept 2'!I98, 'Point Intercept 1'!I98, "ERROR")</f>
        <v>14</v>
      </c>
      <c r="I98" s="9">
        <f>if('Point Intercept 1'!H98 = 'Point Intercept 2'!H98, 'Point Intercept 1'!H98, "ERROR")</f>
        <v>2</v>
      </c>
      <c r="J98" s="9">
        <f>if('Point Intercept 1'!J98 = 'Point Intercept 2'!J98, 'Point Intercept 1'!J98, "ERROR")</f>
        <v>7</v>
      </c>
      <c r="K98" s="9" t="str">
        <f>if('Point Intercept 1'!K98 = 'Point Intercept 2'!K98, 'Point Intercept 1'!K98, "ERROR")</f>
        <v>BROMAD</v>
      </c>
      <c r="L98" s="9" t="str">
        <f>if('Point Intercept 1'!L98 = 'Point Intercept 2'!L98, 'Point Intercept 1'!L98, "ERROR")</f>
        <v>Bromus madritensis</v>
      </c>
      <c r="M98" s="9" t="str">
        <f>if('Point Intercept 1'!N98 = 'Point Intercept 2'!M98, 'Point Intercept 1'!N98, "ERROR")</f>
        <v/>
      </c>
      <c r="N98" s="9" t="str">
        <f>if('Point Intercept 1'!O98 = 'Point Intercept 2'!N98, 'Point Intercept 1'!O98, "ERROR")</f>
        <v/>
      </c>
      <c r="O98" s="9" t="str">
        <f>if('Point Intercept 1'!P98 = 'Point Intercept 2'!O98, 'Point Intercept 1'!P98, "ERROR")</f>
        <v/>
      </c>
    </row>
    <row r="99">
      <c r="A99" s="9">
        <f>if('Point Intercept 1'!A99 = 'Point Intercept 2'!A99, 'Point Intercept 1'!A99, "ERROR")</f>
        <v>1</v>
      </c>
      <c r="B99" s="9">
        <f>if('Point Intercept 1'!B99 = 'Point Intercept 2'!B99, 'Point Intercept 1'!B99, "ERROR")</f>
        <v>2025</v>
      </c>
      <c r="C99" s="13">
        <f>if('Point Intercept 1'!C99 = 'Point Intercept 2'!C99, 'Point Intercept 1'!C99, "ERROR")</f>
        <v>45764</v>
      </c>
      <c r="D99" s="9" t="str">
        <f>if('Point Intercept 1'!D99 = 'Point Intercept 2'!D99, 'Point Intercept 1'!D99, "ERROR")</f>
        <v>TL, CG, BN</v>
      </c>
      <c r="E99" s="9" t="str">
        <f>if('Point Intercept 1'!E99 = 'Point Intercept 2'!E99, 'Point Intercept 1'!E99, "ERROR")</f>
        <v>VB</v>
      </c>
      <c r="F99" s="9">
        <f>if('Point Intercept 1'!F99 = 'Point Intercept 2'!F99, 'Point Intercept 1'!F99, "ERROR")</f>
        <v>1</v>
      </c>
      <c r="G99" s="9" t="str">
        <f>if('Point Intercept 1'!G99 = 'Point Intercept 2'!G99, 'Point Intercept 1'!G99, "ERROR")</f>
        <v>LS</v>
      </c>
      <c r="H99" s="9">
        <f>if('Point Intercept 1'!I99 = 'Point Intercept 2'!I99, 'Point Intercept 1'!I99, "ERROR")</f>
        <v>14</v>
      </c>
      <c r="I99" s="9">
        <f>if('Point Intercept 1'!H99 = 'Point Intercept 2'!H99, 'Point Intercept 1'!H99, "ERROR")</f>
        <v>2</v>
      </c>
      <c r="J99" s="9">
        <f>if('Point Intercept 1'!J99 = 'Point Intercept 2'!J99, 'Point Intercept 1'!J99, "ERROR")</f>
        <v>7</v>
      </c>
      <c r="K99" s="9" t="str">
        <f>if('Point Intercept 1'!K99 = 'Point Intercept 2'!K99, 'Point Intercept 1'!K99, "ERROR")</f>
        <v>SONOLE</v>
      </c>
      <c r="L99" s="9" t="str">
        <f>if('Point Intercept 1'!L99 = 'Point Intercept 2'!L99, 'Point Intercept 1'!L99, "ERROR")</f>
        <v>Sonchus oleraceus</v>
      </c>
      <c r="M99" s="9" t="str">
        <f>if('Point Intercept 1'!N99 = 'Point Intercept 2'!M99, 'Point Intercept 1'!N99, "ERROR")</f>
        <v/>
      </c>
      <c r="N99" s="9" t="str">
        <f>if('Point Intercept 1'!O99 = 'Point Intercept 2'!N99, 'Point Intercept 1'!O99, "ERROR")</f>
        <v/>
      </c>
      <c r="O99" s="9" t="str">
        <f>if('Point Intercept 1'!P99 = 'Point Intercept 2'!O99, 'Point Intercept 1'!P99, "ERROR")</f>
        <v/>
      </c>
    </row>
    <row r="100">
      <c r="A100" s="9">
        <f>if('Point Intercept 1'!A100 = 'Point Intercept 2'!A100, 'Point Intercept 1'!A100, "ERROR")</f>
        <v>1</v>
      </c>
      <c r="B100" s="9">
        <f>if('Point Intercept 1'!B100 = 'Point Intercept 2'!B100, 'Point Intercept 1'!B100, "ERROR")</f>
        <v>2025</v>
      </c>
      <c r="C100" s="13">
        <f>if('Point Intercept 1'!C100 = 'Point Intercept 2'!C100, 'Point Intercept 1'!C100, "ERROR")</f>
        <v>45764</v>
      </c>
      <c r="D100" s="9" t="str">
        <f>if('Point Intercept 1'!D100 = 'Point Intercept 2'!D100, 'Point Intercept 1'!D100, "ERROR")</f>
        <v>TL, CG, BN</v>
      </c>
      <c r="E100" s="9" t="str">
        <f>if('Point Intercept 1'!E100 = 'Point Intercept 2'!E100, 'Point Intercept 1'!E100, "ERROR")</f>
        <v>VB</v>
      </c>
      <c r="F100" s="9">
        <f>if('Point Intercept 1'!F100 = 'Point Intercept 2'!F100, 'Point Intercept 1'!F100, "ERROR")</f>
        <v>1</v>
      </c>
      <c r="G100" s="9" t="str">
        <f>if('Point Intercept 1'!G100 = 'Point Intercept 2'!G100, 'Point Intercept 1'!G100, "ERROR")</f>
        <v>LS</v>
      </c>
      <c r="H100" s="9">
        <f>if('Point Intercept 1'!I100 = 'Point Intercept 2'!I100, 'Point Intercept 1'!I100, "ERROR")</f>
        <v>14</v>
      </c>
      <c r="I100" s="9">
        <f>if('Point Intercept 1'!H100 = 'Point Intercept 2'!H100, 'Point Intercept 1'!H100, "ERROR")</f>
        <v>2</v>
      </c>
      <c r="J100" s="9">
        <f>if('Point Intercept 1'!J100 = 'Point Intercept 2'!J100, 'Point Intercept 1'!J100, "ERROR")</f>
        <v>7</v>
      </c>
      <c r="K100" s="9" t="str">
        <f>if('Point Intercept 1'!K100 = 'Point Intercept 2'!K100, 'Point Intercept 1'!K100, "ERROR")</f>
        <v>MEDPOL</v>
      </c>
      <c r="L100" s="9" t="str">
        <f>if('Point Intercept 1'!L100 = 'Point Intercept 2'!L100, 'Point Intercept 1'!L100, "ERROR")</f>
        <v>Medicago polymorpha</v>
      </c>
      <c r="M100" s="9" t="str">
        <f>if('Point Intercept 1'!N100 = 'Point Intercept 2'!M100, 'Point Intercept 1'!N100, "ERROR")</f>
        <v/>
      </c>
      <c r="N100" s="9" t="str">
        <f>if('Point Intercept 1'!O100 = 'Point Intercept 2'!N100, 'Point Intercept 1'!O100, "ERROR")</f>
        <v/>
      </c>
      <c r="O100" s="9" t="str">
        <f>if('Point Intercept 1'!P100 = 'Point Intercept 2'!O100, 'Point Intercept 1'!P100, "ERROR")</f>
        <v/>
      </c>
    </row>
    <row r="101">
      <c r="A101" s="9">
        <f>if('Point Intercept 1'!A101 = 'Point Intercept 2'!A101, 'Point Intercept 1'!A101, "ERROR")</f>
        <v>1</v>
      </c>
      <c r="B101" s="9">
        <f>if('Point Intercept 1'!B101 = 'Point Intercept 2'!B101, 'Point Intercept 1'!B101, "ERROR")</f>
        <v>2025</v>
      </c>
      <c r="C101" s="13">
        <f>if('Point Intercept 1'!C101 = 'Point Intercept 2'!C101, 'Point Intercept 1'!C101, "ERROR")</f>
        <v>45764</v>
      </c>
      <c r="D101" s="9" t="str">
        <f>if('Point Intercept 1'!D101 = 'Point Intercept 2'!D101, 'Point Intercept 1'!D101, "ERROR")</f>
        <v>TL, CG, BN</v>
      </c>
      <c r="E101" s="9" t="str">
        <f>if('Point Intercept 1'!E101 = 'Point Intercept 2'!E101, 'Point Intercept 1'!E101, "ERROR")</f>
        <v>VB</v>
      </c>
      <c r="F101" s="9">
        <f>if('Point Intercept 1'!F101 = 'Point Intercept 2'!F101, 'Point Intercept 1'!F101, "ERROR")</f>
        <v>1</v>
      </c>
      <c r="G101" s="9" t="str">
        <f>if('Point Intercept 1'!G101 = 'Point Intercept 2'!G101, 'Point Intercept 1'!G101, "ERROR")</f>
        <v>LS</v>
      </c>
      <c r="H101" s="9">
        <f>if('Point Intercept 1'!I101 = 'Point Intercept 2'!I101, 'Point Intercept 1'!I101, "ERROR")</f>
        <v>15</v>
      </c>
      <c r="I101" s="9">
        <f>if('Point Intercept 1'!H101 = 'Point Intercept 2'!H101, 'Point Intercept 1'!H101, "ERROR")</f>
        <v>2</v>
      </c>
      <c r="J101" s="9">
        <f>if('Point Intercept 1'!J101 = 'Point Intercept 2'!J101, 'Point Intercept 1'!J101, "ERROR")</f>
        <v>7.5</v>
      </c>
      <c r="K101" s="9" t="str">
        <f>if('Point Intercept 1'!K101 = 'Point Intercept 2'!K101, 'Point Intercept 1'!K101, "ERROR")</f>
        <v>L</v>
      </c>
      <c r="L101" s="9" t="str">
        <f>if('Point Intercept 1'!L101 = 'Point Intercept 2'!L101, 'Point Intercept 1'!L101, "ERROR")</f>
        <v>Litter</v>
      </c>
      <c r="M101" s="9" t="str">
        <f>if('Point Intercept 1'!N101 = 'Point Intercept 2'!M101, 'Point Intercept 1'!N101, "ERROR")</f>
        <v/>
      </c>
      <c r="N101" s="9" t="str">
        <f>if('Point Intercept 1'!O101 = 'Point Intercept 2'!N101, 'Point Intercept 1'!O101, "ERROR")</f>
        <v/>
      </c>
      <c r="O101" s="9" t="str">
        <f>if('Point Intercept 1'!P101 = 'Point Intercept 2'!O101, 'Point Intercept 1'!P101, "ERROR")</f>
        <v/>
      </c>
    </row>
    <row r="102">
      <c r="A102" s="9">
        <f>if('Point Intercept 1'!A102 = 'Point Intercept 2'!A102, 'Point Intercept 1'!A102, "ERROR")</f>
        <v>1</v>
      </c>
      <c r="B102" s="9">
        <f>if('Point Intercept 1'!B102 = 'Point Intercept 2'!B102, 'Point Intercept 1'!B102, "ERROR")</f>
        <v>2025</v>
      </c>
      <c r="C102" s="13">
        <f>if('Point Intercept 1'!C102 = 'Point Intercept 2'!C102, 'Point Intercept 1'!C102, "ERROR")</f>
        <v>45764</v>
      </c>
      <c r="D102" s="9" t="str">
        <f>if('Point Intercept 1'!D102 = 'Point Intercept 2'!D102, 'Point Intercept 1'!D102, "ERROR")</f>
        <v>TL, CG, BN</v>
      </c>
      <c r="E102" s="9" t="str">
        <f>if('Point Intercept 1'!E102 = 'Point Intercept 2'!E102, 'Point Intercept 1'!E102, "ERROR")</f>
        <v>VB</v>
      </c>
      <c r="F102" s="9">
        <f>if('Point Intercept 1'!F102 = 'Point Intercept 2'!F102, 'Point Intercept 1'!F102, "ERROR")</f>
        <v>1</v>
      </c>
      <c r="G102" s="9" t="str">
        <f>if('Point Intercept 1'!G102 = 'Point Intercept 2'!G102, 'Point Intercept 1'!G102, "ERROR")</f>
        <v>LS</v>
      </c>
      <c r="H102" s="9">
        <f>if('Point Intercept 1'!I102 = 'Point Intercept 2'!I102, 'Point Intercept 1'!I102, "ERROR")</f>
        <v>15</v>
      </c>
      <c r="I102" s="9">
        <f>if('Point Intercept 1'!H102 = 'Point Intercept 2'!H102, 'Point Intercept 1'!H102, "ERROR")</f>
        <v>2</v>
      </c>
      <c r="J102" s="9">
        <f>if('Point Intercept 1'!J102 = 'Point Intercept 2'!J102, 'Point Intercept 1'!J102, "ERROR")</f>
        <v>7.5</v>
      </c>
      <c r="K102" s="9" t="str">
        <f>if('Point Intercept 1'!K102 = 'Point Intercept 2'!K102, 'Point Intercept 1'!K102, "ERROR")</f>
        <v>MEDPOL</v>
      </c>
      <c r="L102" s="9" t="str">
        <f>if('Point Intercept 1'!L102 = 'Point Intercept 2'!L102, 'Point Intercept 1'!L102, "ERROR")</f>
        <v>Medicago polymorpha</v>
      </c>
      <c r="M102" s="9" t="str">
        <f>if('Point Intercept 1'!N102 = 'Point Intercept 2'!M102, 'Point Intercept 1'!N102, "ERROR")</f>
        <v/>
      </c>
      <c r="N102" s="9" t="str">
        <f>if('Point Intercept 1'!O102 = 'Point Intercept 2'!N102, 'Point Intercept 1'!O102, "ERROR")</f>
        <v/>
      </c>
      <c r="O102" s="9" t="str">
        <f>if('Point Intercept 1'!P102 = 'Point Intercept 2'!O102, 'Point Intercept 1'!P102, "ERROR")</f>
        <v/>
      </c>
    </row>
    <row r="103">
      <c r="A103" s="9">
        <f>if('Point Intercept 1'!A103 = 'Point Intercept 2'!A103, 'Point Intercept 1'!A103, "ERROR")</f>
        <v>1</v>
      </c>
      <c r="B103" s="9">
        <f>if('Point Intercept 1'!B103 = 'Point Intercept 2'!B103, 'Point Intercept 1'!B103, "ERROR")</f>
        <v>2025</v>
      </c>
      <c r="C103" s="13">
        <f>if('Point Intercept 1'!C103 = 'Point Intercept 2'!C103, 'Point Intercept 1'!C103, "ERROR")</f>
        <v>45764</v>
      </c>
      <c r="D103" s="9" t="str">
        <f>if('Point Intercept 1'!D103 = 'Point Intercept 2'!D103, 'Point Intercept 1'!D103, "ERROR")</f>
        <v>TL, CG, BN</v>
      </c>
      <c r="E103" s="9" t="str">
        <f>if('Point Intercept 1'!E103 = 'Point Intercept 2'!E103, 'Point Intercept 1'!E103, "ERROR")</f>
        <v>VB</v>
      </c>
      <c r="F103" s="9">
        <f>if('Point Intercept 1'!F103 = 'Point Intercept 2'!F103, 'Point Intercept 1'!F103, "ERROR")</f>
        <v>1</v>
      </c>
      <c r="G103" s="9" t="str">
        <f>if('Point Intercept 1'!G103 = 'Point Intercept 2'!G103, 'Point Intercept 1'!G103, "ERROR")</f>
        <v>LS</v>
      </c>
      <c r="H103" s="9">
        <f>if('Point Intercept 1'!I103 = 'Point Intercept 2'!I103, 'Point Intercept 1'!I103, "ERROR")</f>
        <v>15</v>
      </c>
      <c r="I103" s="9">
        <f>if('Point Intercept 1'!H103 = 'Point Intercept 2'!H103, 'Point Intercept 1'!H103, "ERROR")</f>
        <v>2</v>
      </c>
      <c r="J103" s="9">
        <f>if('Point Intercept 1'!J103 = 'Point Intercept 2'!J103, 'Point Intercept 1'!J103, "ERROR")</f>
        <v>7.5</v>
      </c>
      <c r="K103" s="9" t="str">
        <f>if('Point Intercept 1'!K103 = 'Point Intercept 2'!K103, 'Point Intercept 1'!K103, "ERROR")</f>
        <v>DEIFAS</v>
      </c>
      <c r="L103" s="9" t="str">
        <f>if('Point Intercept 1'!L103 = 'Point Intercept 2'!L103, 'Point Intercept 1'!L103, "ERROR")</f>
        <v>Deinandra fasciculata</v>
      </c>
      <c r="M103" s="9" t="str">
        <f>if('Point Intercept 1'!N103 = 'Point Intercept 2'!M103, 'Point Intercept 1'!N103, "ERROR")</f>
        <v/>
      </c>
      <c r="N103" s="9" t="str">
        <f>if('Point Intercept 1'!O103 = 'Point Intercept 2'!N103, 'Point Intercept 1'!O103, "ERROR")</f>
        <v/>
      </c>
      <c r="O103" s="9" t="str">
        <f>if('Point Intercept 1'!P103 = 'Point Intercept 2'!O103, 'Point Intercept 1'!P103, "ERROR")</f>
        <v/>
      </c>
    </row>
    <row r="104">
      <c r="A104" s="9">
        <f>if('Point Intercept 1'!A104 = 'Point Intercept 2'!A104, 'Point Intercept 1'!A104, "ERROR")</f>
        <v>1</v>
      </c>
      <c r="B104" s="9">
        <f>if('Point Intercept 1'!B104 = 'Point Intercept 2'!B104, 'Point Intercept 1'!B104, "ERROR")</f>
        <v>2025</v>
      </c>
      <c r="C104" s="13">
        <f>if('Point Intercept 1'!C104 = 'Point Intercept 2'!C104, 'Point Intercept 1'!C104, "ERROR")</f>
        <v>45764</v>
      </c>
      <c r="D104" s="9" t="str">
        <f>if('Point Intercept 1'!D104 = 'Point Intercept 2'!D104, 'Point Intercept 1'!D104, "ERROR")</f>
        <v>TL, CG, BN</v>
      </c>
      <c r="E104" s="9" t="str">
        <f>if('Point Intercept 1'!E104 = 'Point Intercept 2'!E104, 'Point Intercept 1'!E104, "ERROR")</f>
        <v>VB</v>
      </c>
      <c r="F104" s="9">
        <f>if('Point Intercept 1'!F104 = 'Point Intercept 2'!F104, 'Point Intercept 1'!F104, "ERROR")</f>
        <v>1</v>
      </c>
      <c r="G104" s="9" t="str">
        <f>if('Point Intercept 1'!G104 = 'Point Intercept 2'!G104, 'Point Intercept 1'!G104, "ERROR")</f>
        <v>LS</v>
      </c>
      <c r="H104" s="9">
        <f>if('Point Intercept 1'!I104 = 'Point Intercept 2'!I104, 'Point Intercept 1'!I104, "ERROR")</f>
        <v>15</v>
      </c>
      <c r="I104" s="9">
        <f>if('Point Intercept 1'!H104 = 'Point Intercept 2'!H104, 'Point Intercept 1'!H104, "ERROR")</f>
        <v>2</v>
      </c>
      <c r="J104" s="9">
        <f>if('Point Intercept 1'!J104 = 'Point Intercept 2'!J104, 'Point Intercept 1'!J104, "ERROR")</f>
        <v>7.5</v>
      </c>
      <c r="K104" s="9" t="str">
        <f>if('Point Intercept 1'!K104 = 'Point Intercept 2'!K104, 'Point Intercept 1'!K104, "ERROR")</f>
        <v>EROMOS</v>
      </c>
      <c r="L104" s="9" t="str">
        <f>if('Point Intercept 1'!L104 = 'Point Intercept 2'!L104, 'Point Intercept 1'!L104, "ERROR")</f>
        <v>Erodium moschatum</v>
      </c>
      <c r="M104" s="9" t="str">
        <f>if('Point Intercept 1'!N104 = 'Point Intercept 2'!M104, 'Point Intercept 1'!N104, "ERROR")</f>
        <v/>
      </c>
      <c r="N104" s="9" t="str">
        <f>if('Point Intercept 1'!O104 = 'Point Intercept 2'!N104, 'Point Intercept 1'!O104, "ERROR")</f>
        <v/>
      </c>
      <c r="O104" s="9" t="str">
        <f>if('Point Intercept 1'!P104 = 'Point Intercept 2'!O104, 'Point Intercept 1'!P104, "ERROR")</f>
        <v/>
      </c>
    </row>
    <row r="105">
      <c r="A105" s="9">
        <f>if('Point Intercept 1'!A105 = 'Point Intercept 2'!A105, 'Point Intercept 1'!A105, "ERROR")</f>
        <v>2</v>
      </c>
      <c r="B105" s="9">
        <f>if('Point Intercept 1'!B105 = 'Point Intercept 2'!B105, 'Point Intercept 1'!B105, "ERROR")</f>
        <v>2025</v>
      </c>
      <c r="C105" s="14">
        <f>if('Point Intercept 1'!C105 = 'Point Intercept 2'!C105, 'Point Intercept 1'!C105, "ERROR")</f>
        <v>45755</v>
      </c>
      <c r="D105" s="9" t="str">
        <f>if('Point Intercept 1'!D105 = 'Point Intercept 2'!D105, 'Point Intercept 1'!D105, "ERROR")</f>
        <v>MP, TL, CG, BN</v>
      </c>
      <c r="E105" s="9" t="str">
        <f>if('Point Intercept 1'!E105 = 'Point Intercept 2'!E105, 'Point Intercept 1'!E105, "ERROR")</f>
        <v>VB</v>
      </c>
      <c r="F105" s="9">
        <f>if('Point Intercept 1'!F105 = 'Point Intercept 2'!F105, 'Point Intercept 1'!F105, "ERROR")</f>
        <v>1</v>
      </c>
      <c r="G105" s="9" t="str">
        <f>if('Point Intercept 1'!G105 = 'Point Intercept 2'!G105, 'Point Intercept 1'!G105, "ERROR")</f>
        <v>LU</v>
      </c>
      <c r="H105" s="9">
        <f>if('Point Intercept 1'!I105 = 'Point Intercept 2'!I105, 'Point Intercept 1'!I105, "ERROR")</f>
        <v>1</v>
      </c>
      <c r="I105" s="9">
        <f>if('Point Intercept 1'!H105 = 'Point Intercept 2'!H105, 'Point Intercept 1'!H105, "ERROR")</f>
        <v>1</v>
      </c>
      <c r="J105" s="9">
        <f>if('Point Intercept 1'!J105 = 'Point Intercept 2'!J105, 'Point Intercept 1'!J105, "ERROR")</f>
        <v>0</v>
      </c>
      <c r="K105" s="9" t="str">
        <f>if('Point Intercept 1'!K105 = 'Point Intercept 2'!K105, 'Point Intercept 1'!K105, "ERROR")</f>
        <v>L</v>
      </c>
      <c r="L105" s="9" t="str">
        <f>if('Point Intercept 1'!L105 = 'Point Intercept 2'!L105, 'Point Intercept 1'!L105, "ERROR")</f>
        <v>Litter</v>
      </c>
      <c r="M105" s="9" t="str">
        <f>if('Point Intercept 1'!N105 = 'Point Intercept 2'!M105, 'Point Intercept 1'!N105, "ERROR")</f>
        <v/>
      </c>
      <c r="N105" s="9" t="str">
        <f>if('Point Intercept 1'!O105 = 'Point Intercept 2'!N105, 'Point Intercept 1'!O105, "ERROR")</f>
        <v/>
      </c>
      <c r="O105" s="9" t="str">
        <f>if('Point Intercept 1'!P105 = 'Point Intercept 2'!O105, 'Point Intercept 1'!P105, "ERROR")</f>
        <v/>
      </c>
    </row>
    <row r="106">
      <c r="A106" s="9">
        <f>if('Point Intercept 1'!A106 = 'Point Intercept 2'!A106, 'Point Intercept 1'!A106, "ERROR")</f>
        <v>2</v>
      </c>
      <c r="B106" s="9">
        <f>if('Point Intercept 1'!B106 = 'Point Intercept 2'!B106, 'Point Intercept 1'!B106, "ERROR")</f>
        <v>2025</v>
      </c>
      <c r="C106" s="14">
        <f>if('Point Intercept 1'!C106 = 'Point Intercept 2'!C106, 'Point Intercept 1'!C106, "ERROR")</f>
        <v>45755</v>
      </c>
      <c r="D106" s="9" t="str">
        <f>if('Point Intercept 1'!D106 = 'Point Intercept 2'!D106, 'Point Intercept 1'!D106, "ERROR")</f>
        <v>MP, TL, CG, BN</v>
      </c>
      <c r="E106" s="9" t="str">
        <f>if('Point Intercept 1'!E106 = 'Point Intercept 2'!E106, 'Point Intercept 1'!E106, "ERROR")</f>
        <v>VB</v>
      </c>
      <c r="F106" s="9">
        <f>if('Point Intercept 1'!F106 = 'Point Intercept 2'!F106, 'Point Intercept 1'!F106, "ERROR")</f>
        <v>1</v>
      </c>
      <c r="G106" s="9" t="str">
        <f>if('Point Intercept 1'!G106 = 'Point Intercept 2'!G106, 'Point Intercept 1'!G106, "ERROR")</f>
        <v>LU</v>
      </c>
      <c r="H106" s="9">
        <f>if('Point Intercept 1'!I106 = 'Point Intercept 2'!I106, 'Point Intercept 1'!I106, "ERROR")</f>
        <v>1</v>
      </c>
      <c r="I106" s="9">
        <f>if('Point Intercept 1'!H106 = 'Point Intercept 2'!H106, 'Point Intercept 1'!H106, "ERROR")</f>
        <v>1</v>
      </c>
      <c r="J106" s="9">
        <f>if('Point Intercept 1'!J106 = 'Point Intercept 2'!J106, 'Point Intercept 1'!J106, "ERROR")</f>
        <v>0</v>
      </c>
      <c r="K106" s="9" t="str">
        <f>if('Point Intercept 1'!K106 = 'Point Intercept 2'!K106, 'Point Intercept 1'!K106, "ERROR")</f>
        <v>CENMEL</v>
      </c>
      <c r="L106" s="9" t="str">
        <f>if('Point Intercept 1'!L106 = 'Point Intercept 2'!L106, 'Point Intercept 1'!L106, "ERROR")</f>
        <v>Centaurea melitensis</v>
      </c>
      <c r="M106" s="9" t="str">
        <f>if('Point Intercept 1'!N106 = 'Point Intercept 2'!M106, 'Point Intercept 1'!N106, "ERROR")</f>
        <v/>
      </c>
      <c r="N106" s="9" t="str">
        <f>if('Point Intercept 1'!O106 = 'Point Intercept 2'!N106, 'Point Intercept 1'!O106, "ERROR")</f>
        <v/>
      </c>
      <c r="O106" s="9" t="str">
        <f>if('Point Intercept 1'!P106 = 'Point Intercept 2'!O106, 'Point Intercept 1'!P106, "ERROR")</f>
        <v/>
      </c>
    </row>
    <row r="107">
      <c r="A107" s="9">
        <f>if('Point Intercept 1'!A107 = 'Point Intercept 2'!A107, 'Point Intercept 1'!A107, "ERROR")</f>
        <v>2</v>
      </c>
      <c r="B107" s="9">
        <f>if('Point Intercept 1'!B107 = 'Point Intercept 2'!B107, 'Point Intercept 1'!B107, "ERROR")</f>
        <v>2025</v>
      </c>
      <c r="C107" s="14">
        <f>if('Point Intercept 1'!C107 = 'Point Intercept 2'!C107, 'Point Intercept 1'!C107, "ERROR")</f>
        <v>45755</v>
      </c>
      <c r="D107" s="9" t="str">
        <f>if('Point Intercept 1'!D107 = 'Point Intercept 2'!D107, 'Point Intercept 1'!D107, "ERROR")</f>
        <v>MP, TL, CG, BN</v>
      </c>
      <c r="E107" s="9" t="str">
        <f>if('Point Intercept 1'!E107 = 'Point Intercept 2'!E107, 'Point Intercept 1'!E107, "ERROR")</f>
        <v>VB</v>
      </c>
      <c r="F107" s="9">
        <f>if('Point Intercept 1'!F107 = 'Point Intercept 2'!F107, 'Point Intercept 1'!F107, "ERROR")</f>
        <v>1</v>
      </c>
      <c r="G107" s="9" t="str">
        <f>if('Point Intercept 1'!G107 = 'Point Intercept 2'!G107, 'Point Intercept 1'!G107, "ERROR")</f>
        <v>LU</v>
      </c>
      <c r="H107" s="9">
        <f>if('Point Intercept 1'!I107 = 'Point Intercept 2'!I107, 'Point Intercept 1'!I107, "ERROR")</f>
        <v>1</v>
      </c>
      <c r="I107" s="9">
        <f>if('Point Intercept 1'!H107 = 'Point Intercept 2'!H107, 'Point Intercept 1'!H107, "ERROR")</f>
        <v>1</v>
      </c>
      <c r="J107" s="9">
        <f>if('Point Intercept 1'!J107 = 'Point Intercept 2'!J107, 'Point Intercept 1'!J107, "ERROR")</f>
        <v>0</v>
      </c>
      <c r="K107" s="9" t="str">
        <f>if('Point Intercept 1'!K107 = 'Point Intercept 2'!K107, 'Point Intercept 1'!K107, "ERROR")</f>
        <v>DEIFAS</v>
      </c>
      <c r="L107" s="9" t="str">
        <f>if('Point Intercept 1'!L107 = 'Point Intercept 2'!L107, 'Point Intercept 1'!L107, "ERROR")</f>
        <v>Deinandra fasciculata</v>
      </c>
      <c r="M107" s="9" t="str">
        <f>if('Point Intercept 1'!N107 = 'Point Intercept 2'!M107, 'Point Intercept 1'!N107, "ERROR")</f>
        <v/>
      </c>
      <c r="N107" s="9" t="str">
        <f>if('Point Intercept 1'!O107 = 'Point Intercept 2'!N107, 'Point Intercept 1'!O107, "ERROR")</f>
        <v/>
      </c>
      <c r="O107" s="9" t="str">
        <f>if('Point Intercept 1'!P107 = 'Point Intercept 2'!O107, 'Point Intercept 1'!P107, "ERROR")</f>
        <v/>
      </c>
    </row>
    <row r="108">
      <c r="A108" s="9">
        <f>if('Point Intercept 1'!A108 = 'Point Intercept 2'!A108, 'Point Intercept 1'!A108, "ERROR")</f>
        <v>2</v>
      </c>
      <c r="B108" s="9">
        <f>if('Point Intercept 1'!B108 = 'Point Intercept 2'!B108, 'Point Intercept 1'!B108, "ERROR")</f>
        <v>2025</v>
      </c>
      <c r="C108" s="14">
        <f>if('Point Intercept 1'!C108 = 'Point Intercept 2'!C108, 'Point Intercept 1'!C108, "ERROR")</f>
        <v>45755</v>
      </c>
      <c r="D108" s="9" t="str">
        <f>if('Point Intercept 1'!D108 = 'Point Intercept 2'!D108, 'Point Intercept 1'!D108, "ERROR")</f>
        <v>MP, TL, CG, BN</v>
      </c>
      <c r="E108" s="9" t="str">
        <f>if('Point Intercept 1'!E108 = 'Point Intercept 2'!E108, 'Point Intercept 1'!E108, "ERROR")</f>
        <v>VB</v>
      </c>
      <c r="F108" s="9">
        <f>if('Point Intercept 1'!F108 = 'Point Intercept 2'!F108, 'Point Intercept 1'!F108, "ERROR")</f>
        <v>1</v>
      </c>
      <c r="G108" s="9" t="str">
        <f>if('Point Intercept 1'!G108 = 'Point Intercept 2'!G108, 'Point Intercept 1'!G108, "ERROR")</f>
        <v>LU</v>
      </c>
      <c r="H108" s="9">
        <f>if('Point Intercept 1'!I108 = 'Point Intercept 2'!I108, 'Point Intercept 1'!I108, "ERROR")</f>
        <v>2</v>
      </c>
      <c r="I108" s="9">
        <f>if('Point Intercept 1'!H108 = 'Point Intercept 2'!H108, 'Point Intercept 1'!H108, "ERROR")</f>
        <v>1</v>
      </c>
      <c r="J108" s="9">
        <f>if('Point Intercept 1'!J108 = 'Point Intercept 2'!J108, 'Point Intercept 1'!J108, "ERROR")</f>
        <v>0.5</v>
      </c>
      <c r="K108" s="9" t="str">
        <f>if('Point Intercept 1'!K108 = 'Point Intercept 2'!K108, 'Point Intercept 1'!K108, "ERROR")</f>
        <v>L</v>
      </c>
      <c r="L108" s="9" t="str">
        <f>if('Point Intercept 1'!L108 = 'Point Intercept 2'!L108, 'Point Intercept 1'!L108, "ERROR")</f>
        <v>Litter</v>
      </c>
      <c r="M108" s="9" t="str">
        <f>if('Point Intercept 1'!N108 = 'Point Intercept 2'!M108, 'Point Intercept 1'!N108, "ERROR")</f>
        <v/>
      </c>
      <c r="N108" s="9" t="str">
        <f>if('Point Intercept 1'!O108 = 'Point Intercept 2'!N108, 'Point Intercept 1'!O108, "ERROR")</f>
        <v/>
      </c>
      <c r="O108" s="9" t="str">
        <f>if('Point Intercept 1'!P108 = 'Point Intercept 2'!O108, 'Point Intercept 1'!P108, "ERROR")</f>
        <v/>
      </c>
    </row>
    <row r="109">
      <c r="A109" s="9">
        <f>if('Point Intercept 1'!A109 = 'Point Intercept 2'!A109, 'Point Intercept 1'!A109, "ERROR")</f>
        <v>2</v>
      </c>
      <c r="B109" s="9">
        <f>if('Point Intercept 1'!B109 = 'Point Intercept 2'!B109, 'Point Intercept 1'!B109, "ERROR")</f>
        <v>2025</v>
      </c>
      <c r="C109" s="14">
        <f>if('Point Intercept 1'!C109 = 'Point Intercept 2'!C109, 'Point Intercept 1'!C109, "ERROR")</f>
        <v>45755</v>
      </c>
      <c r="D109" s="9" t="str">
        <f>if('Point Intercept 1'!D109 = 'Point Intercept 2'!D109, 'Point Intercept 1'!D109, "ERROR")</f>
        <v>MP, TL, CG, BN</v>
      </c>
      <c r="E109" s="9" t="str">
        <f>if('Point Intercept 1'!E109 = 'Point Intercept 2'!E109, 'Point Intercept 1'!E109, "ERROR")</f>
        <v>VB</v>
      </c>
      <c r="F109" s="9">
        <f>if('Point Intercept 1'!F109 = 'Point Intercept 2'!F109, 'Point Intercept 1'!F109, "ERROR")</f>
        <v>1</v>
      </c>
      <c r="G109" s="9" t="str">
        <f>if('Point Intercept 1'!G109 = 'Point Intercept 2'!G109, 'Point Intercept 1'!G109, "ERROR")</f>
        <v>LU</v>
      </c>
      <c r="H109" s="9">
        <f>if('Point Intercept 1'!I109 = 'Point Intercept 2'!I109, 'Point Intercept 1'!I109, "ERROR")</f>
        <v>3</v>
      </c>
      <c r="I109" s="9">
        <f>if('Point Intercept 1'!H109 = 'Point Intercept 2'!H109, 'Point Intercept 1'!H109, "ERROR")</f>
        <v>1</v>
      </c>
      <c r="J109" s="9">
        <f>if('Point Intercept 1'!J109 = 'Point Intercept 2'!J109, 'Point Intercept 1'!J109, "ERROR")</f>
        <v>1</v>
      </c>
      <c r="K109" s="9" t="str">
        <f>if('Point Intercept 1'!K109 = 'Point Intercept 2'!K109, 'Point Intercept 1'!K109, "ERROR")</f>
        <v>L</v>
      </c>
      <c r="L109" s="9" t="str">
        <f>if('Point Intercept 1'!L109 = 'Point Intercept 2'!L109, 'Point Intercept 1'!L109, "ERROR")</f>
        <v>Litter</v>
      </c>
      <c r="M109" s="9" t="str">
        <f>if('Point Intercept 1'!N109 = 'Point Intercept 2'!M109, 'Point Intercept 1'!N109, "ERROR")</f>
        <v/>
      </c>
      <c r="N109" s="9" t="str">
        <f>if('Point Intercept 1'!O109 = 'Point Intercept 2'!N109, 'Point Intercept 1'!O109, "ERROR")</f>
        <v/>
      </c>
      <c r="O109" s="9" t="str">
        <f>if('Point Intercept 1'!P109 = 'Point Intercept 2'!O109, 'Point Intercept 1'!P109, "ERROR")</f>
        <v/>
      </c>
    </row>
    <row r="110">
      <c r="A110" s="9">
        <f>if('Point Intercept 1'!A110 = 'Point Intercept 2'!A110, 'Point Intercept 1'!A110, "ERROR")</f>
        <v>2</v>
      </c>
      <c r="B110" s="9">
        <f>if('Point Intercept 1'!B110 = 'Point Intercept 2'!B110, 'Point Intercept 1'!B110, "ERROR")</f>
        <v>2025</v>
      </c>
      <c r="C110" s="14">
        <f>if('Point Intercept 1'!C110 = 'Point Intercept 2'!C110, 'Point Intercept 1'!C110, "ERROR")</f>
        <v>45755</v>
      </c>
      <c r="D110" s="9" t="str">
        <f>if('Point Intercept 1'!D110 = 'Point Intercept 2'!D110, 'Point Intercept 1'!D110, "ERROR")</f>
        <v>MP, TL, CG, BN</v>
      </c>
      <c r="E110" s="9" t="str">
        <f>if('Point Intercept 1'!E110 = 'Point Intercept 2'!E110, 'Point Intercept 1'!E110, "ERROR")</f>
        <v>VB</v>
      </c>
      <c r="F110" s="9">
        <f>if('Point Intercept 1'!F110 = 'Point Intercept 2'!F110, 'Point Intercept 1'!F110, "ERROR")</f>
        <v>1</v>
      </c>
      <c r="G110" s="9" t="str">
        <f>if('Point Intercept 1'!G110 = 'Point Intercept 2'!G110, 'Point Intercept 1'!G110, "ERROR")</f>
        <v>LU</v>
      </c>
      <c r="H110" s="9">
        <f>if('Point Intercept 1'!I110 = 'Point Intercept 2'!I110, 'Point Intercept 1'!I110, "ERROR")</f>
        <v>3</v>
      </c>
      <c r="I110" s="9">
        <f>if('Point Intercept 1'!H110 = 'Point Intercept 2'!H110, 'Point Intercept 1'!H110, "ERROR")</f>
        <v>1</v>
      </c>
      <c r="J110" s="9">
        <f>if('Point Intercept 1'!J110 = 'Point Intercept 2'!J110, 'Point Intercept 1'!J110, "ERROR")</f>
        <v>1</v>
      </c>
      <c r="K110" s="9" t="str">
        <f>if('Point Intercept 1'!K110 = 'Point Intercept 2'!K110, 'Point Intercept 1'!K110, "ERROR")</f>
        <v>OPULIT</v>
      </c>
      <c r="L110" s="9" t="str">
        <f>if('Point Intercept 1'!L110 = 'Point Intercept 2'!L110, 'Point Intercept 1'!L110, "ERROR")</f>
        <v>Opuntia littoralis</v>
      </c>
      <c r="M110" s="9" t="str">
        <f>if('Point Intercept 1'!N110 = 'Point Intercept 2'!M110, 'Point Intercept 1'!N110, "ERROR")</f>
        <v/>
      </c>
      <c r="N110" s="9" t="str">
        <f>if('Point Intercept 1'!O110 = 'Point Intercept 2'!N110, 'Point Intercept 1'!O110, "ERROR")</f>
        <v/>
      </c>
      <c r="O110" s="9" t="str">
        <f>if('Point Intercept 1'!P110 = 'Point Intercept 2'!O110, 'Point Intercept 1'!P110, "ERROR")</f>
        <v/>
      </c>
    </row>
    <row r="111">
      <c r="A111" s="9">
        <f>if('Point Intercept 1'!A111 = 'Point Intercept 2'!A111, 'Point Intercept 1'!A111, "ERROR")</f>
        <v>2</v>
      </c>
      <c r="B111" s="9">
        <f>if('Point Intercept 1'!B111 = 'Point Intercept 2'!B111, 'Point Intercept 1'!B111, "ERROR")</f>
        <v>2025</v>
      </c>
      <c r="C111" s="14">
        <f>if('Point Intercept 1'!C111 = 'Point Intercept 2'!C111, 'Point Intercept 1'!C111, "ERROR")</f>
        <v>45755</v>
      </c>
      <c r="D111" s="9" t="str">
        <f>if('Point Intercept 1'!D111 = 'Point Intercept 2'!D111, 'Point Intercept 1'!D111, "ERROR")</f>
        <v>MP, TL, CG, BN</v>
      </c>
      <c r="E111" s="9" t="str">
        <f>if('Point Intercept 1'!E111 = 'Point Intercept 2'!E111, 'Point Intercept 1'!E111, "ERROR")</f>
        <v>VB</v>
      </c>
      <c r="F111" s="9">
        <f>if('Point Intercept 1'!F111 = 'Point Intercept 2'!F111, 'Point Intercept 1'!F111, "ERROR")</f>
        <v>1</v>
      </c>
      <c r="G111" s="9" t="str">
        <f>if('Point Intercept 1'!G111 = 'Point Intercept 2'!G111, 'Point Intercept 1'!G111, "ERROR")</f>
        <v>LU</v>
      </c>
      <c r="H111" s="9">
        <f>if('Point Intercept 1'!I111 = 'Point Intercept 2'!I111, 'Point Intercept 1'!I111, "ERROR")</f>
        <v>3</v>
      </c>
      <c r="I111" s="9">
        <f>if('Point Intercept 1'!H111 = 'Point Intercept 2'!H111, 'Point Intercept 1'!H111, "ERROR")</f>
        <v>1</v>
      </c>
      <c r="J111" s="9">
        <f>if('Point Intercept 1'!J111 = 'Point Intercept 2'!J111, 'Point Intercept 1'!J111, "ERROR")</f>
        <v>1</v>
      </c>
      <c r="K111" s="9" t="str">
        <f>if('Point Intercept 1'!K111 = 'Point Intercept 2'!K111, 'Point Intercept 1'!K111, "ERROR")</f>
        <v>FESMYU</v>
      </c>
      <c r="L111" s="9" t="str">
        <f>if('Point Intercept 1'!L111 = 'Point Intercept 2'!L111, 'Point Intercept 1'!L111, "ERROR")</f>
        <v>Festuca myuros</v>
      </c>
      <c r="M111" s="9" t="str">
        <f>if('Point Intercept 1'!N111 = 'Point Intercept 2'!M111, 'Point Intercept 1'!N111, "ERROR")</f>
        <v/>
      </c>
      <c r="N111" s="9" t="str">
        <f>if('Point Intercept 1'!O111 = 'Point Intercept 2'!N111, 'Point Intercept 1'!O111, "ERROR")</f>
        <v/>
      </c>
      <c r="O111" s="9" t="str">
        <f>if('Point Intercept 1'!P111 = 'Point Intercept 2'!O111, 'Point Intercept 1'!P111, "ERROR")</f>
        <v/>
      </c>
    </row>
    <row r="112">
      <c r="A112" s="9">
        <f>if('Point Intercept 1'!A112 = 'Point Intercept 2'!A112, 'Point Intercept 1'!A112, "ERROR")</f>
        <v>2</v>
      </c>
      <c r="B112" s="9">
        <f>if('Point Intercept 1'!B112 = 'Point Intercept 2'!B112, 'Point Intercept 1'!B112, "ERROR")</f>
        <v>2025</v>
      </c>
      <c r="C112" s="14">
        <f>if('Point Intercept 1'!C112 = 'Point Intercept 2'!C112, 'Point Intercept 1'!C112, "ERROR")</f>
        <v>45755</v>
      </c>
      <c r="D112" s="9" t="str">
        <f>if('Point Intercept 1'!D112 = 'Point Intercept 2'!D112, 'Point Intercept 1'!D112, "ERROR")</f>
        <v>MP, TL, CG, BN</v>
      </c>
      <c r="E112" s="9" t="str">
        <f>if('Point Intercept 1'!E112 = 'Point Intercept 2'!E112, 'Point Intercept 1'!E112, "ERROR")</f>
        <v>VB</v>
      </c>
      <c r="F112" s="9">
        <f>if('Point Intercept 1'!F112 = 'Point Intercept 2'!F112, 'Point Intercept 1'!F112, "ERROR")</f>
        <v>1</v>
      </c>
      <c r="G112" s="9" t="str">
        <f>if('Point Intercept 1'!G112 = 'Point Intercept 2'!G112, 'Point Intercept 1'!G112, "ERROR")</f>
        <v>LU</v>
      </c>
      <c r="H112" s="9">
        <f>if('Point Intercept 1'!I112 = 'Point Intercept 2'!I112, 'Point Intercept 1'!I112, "ERROR")</f>
        <v>4</v>
      </c>
      <c r="I112" s="9">
        <f>if('Point Intercept 1'!H112 = 'Point Intercept 2'!H112, 'Point Intercept 1'!H112, "ERROR")</f>
        <v>1</v>
      </c>
      <c r="J112" s="9">
        <f>if('Point Intercept 1'!J112 = 'Point Intercept 2'!J112, 'Point Intercept 1'!J112, "ERROR")</f>
        <v>1.5</v>
      </c>
      <c r="K112" s="9" t="str">
        <f>if('Point Intercept 1'!K112 = 'Point Intercept 2'!K112, 'Point Intercept 1'!K112, "ERROR")</f>
        <v>L</v>
      </c>
      <c r="L112" s="9" t="str">
        <f>if('Point Intercept 1'!L112 = 'Point Intercept 2'!L112, 'Point Intercept 1'!L112, "ERROR")</f>
        <v>Litter</v>
      </c>
      <c r="M112" s="9" t="str">
        <f>if('Point Intercept 1'!N112 = 'Point Intercept 2'!M112, 'Point Intercept 1'!N112, "ERROR")</f>
        <v/>
      </c>
      <c r="N112" s="9" t="str">
        <f>if('Point Intercept 1'!O112 = 'Point Intercept 2'!N112, 'Point Intercept 1'!O112, "ERROR")</f>
        <v/>
      </c>
      <c r="O112" s="9" t="str">
        <f>if('Point Intercept 1'!P112 = 'Point Intercept 2'!O112, 'Point Intercept 1'!P112, "ERROR")</f>
        <v/>
      </c>
    </row>
    <row r="113">
      <c r="A113" s="9">
        <f>if('Point Intercept 1'!A113 = 'Point Intercept 2'!A113, 'Point Intercept 1'!A113, "ERROR")</f>
        <v>2</v>
      </c>
      <c r="B113" s="9">
        <f>if('Point Intercept 1'!B113 = 'Point Intercept 2'!B113, 'Point Intercept 1'!B113, "ERROR")</f>
        <v>2025</v>
      </c>
      <c r="C113" s="14">
        <f>if('Point Intercept 1'!C113 = 'Point Intercept 2'!C113, 'Point Intercept 1'!C113, "ERROR")</f>
        <v>45755</v>
      </c>
      <c r="D113" s="9" t="str">
        <f>if('Point Intercept 1'!D113 = 'Point Intercept 2'!D113, 'Point Intercept 1'!D113, "ERROR")</f>
        <v>MP, TL, CG, BN</v>
      </c>
      <c r="E113" s="9" t="str">
        <f>if('Point Intercept 1'!E113 = 'Point Intercept 2'!E113, 'Point Intercept 1'!E113, "ERROR")</f>
        <v>VB</v>
      </c>
      <c r="F113" s="9">
        <f>if('Point Intercept 1'!F113 = 'Point Intercept 2'!F113, 'Point Intercept 1'!F113, "ERROR")</f>
        <v>1</v>
      </c>
      <c r="G113" s="9" t="str">
        <f>if('Point Intercept 1'!G113 = 'Point Intercept 2'!G113, 'Point Intercept 1'!G113, "ERROR")</f>
        <v>LU</v>
      </c>
      <c r="H113" s="9">
        <f>if('Point Intercept 1'!I113 = 'Point Intercept 2'!I113, 'Point Intercept 1'!I113, "ERROR")</f>
        <v>4</v>
      </c>
      <c r="I113" s="9">
        <f>if('Point Intercept 1'!H113 = 'Point Intercept 2'!H113, 'Point Intercept 1'!H113, "ERROR")</f>
        <v>1</v>
      </c>
      <c r="J113" s="9">
        <f>if('Point Intercept 1'!J113 = 'Point Intercept 2'!J113, 'Point Intercept 1'!J113, "ERROR")</f>
        <v>1.5</v>
      </c>
      <c r="K113" s="9" t="str">
        <f>if('Point Intercept 1'!K113 = 'Point Intercept 2'!K113, 'Point Intercept 1'!K113, "ERROR")</f>
        <v>DEIFAS</v>
      </c>
      <c r="L113" s="9" t="str">
        <f>if('Point Intercept 1'!L113 = 'Point Intercept 2'!L113, 'Point Intercept 1'!L113, "ERROR")</f>
        <v>Deinandra fasciculata</v>
      </c>
      <c r="M113" s="9" t="str">
        <f>if('Point Intercept 1'!N113 = 'Point Intercept 2'!M113, 'Point Intercept 1'!N113, "ERROR")</f>
        <v/>
      </c>
      <c r="N113" s="9" t="str">
        <f>if('Point Intercept 1'!O113 = 'Point Intercept 2'!N113, 'Point Intercept 1'!O113, "ERROR")</f>
        <v/>
      </c>
      <c r="O113" s="9" t="str">
        <f>if('Point Intercept 1'!P113 = 'Point Intercept 2'!O113, 'Point Intercept 1'!P113, "ERROR")</f>
        <v/>
      </c>
    </row>
    <row r="114">
      <c r="A114" s="9">
        <f>if('Point Intercept 1'!A114 = 'Point Intercept 2'!A114, 'Point Intercept 1'!A114, "ERROR")</f>
        <v>2</v>
      </c>
      <c r="B114" s="9">
        <f>if('Point Intercept 1'!B114 = 'Point Intercept 2'!B114, 'Point Intercept 1'!B114, "ERROR")</f>
        <v>2025</v>
      </c>
      <c r="C114" s="14">
        <f>if('Point Intercept 1'!C114 = 'Point Intercept 2'!C114, 'Point Intercept 1'!C114, "ERROR")</f>
        <v>45755</v>
      </c>
      <c r="D114" s="9" t="str">
        <f>if('Point Intercept 1'!D114 = 'Point Intercept 2'!D114, 'Point Intercept 1'!D114, "ERROR")</f>
        <v>MP, TL, CG, BN</v>
      </c>
      <c r="E114" s="9" t="str">
        <f>if('Point Intercept 1'!E114 = 'Point Intercept 2'!E114, 'Point Intercept 1'!E114, "ERROR")</f>
        <v>VB</v>
      </c>
      <c r="F114" s="9">
        <f>if('Point Intercept 1'!F114 = 'Point Intercept 2'!F114, 'Point Intercept 1'!F114, "ERROR")</f>
        <v>1</v>
      </c>
      <c r="G114" s="9" t="str">
        <f>if('Point Intercept 1'!G114 = 'Point Intercept 2'!G114, 'Point Intercept 1'!G114, "ERROR")</f>
        <v>LU</v>
      </c>
      <c r="H114" s="9">
        <f>if('Point Intercept 1'!I114 = 'Point Intercept 2'!I114, 'Point Intercept 1'!I114, "ERROR")</f>
        <v>4</v>
      </c>
      <c r="I114" s="9">
        <f>if('Point Intercept 1'!H114 = 'Point Intercept 2'!H114, 'Point Intercept 1'!H114, "ERROR")</f>
        <v>1</v>
      </c>
      <c r="J114" s="9">
        <f>if('Point Intercept 1'!J114 = 'Point Intercept 2'!J114, 'Point Intercept 1'!J114, "ERROR")</f>
        <v>1.5</v>
      </c>
      <c r="K114" s="9" t="str">
        <f>if('Point Intercept 1'!K114 = 'Point Intercept 2'!K114, 'Point Intercept 1'!K114, "ERROR")</f>
        <v>FESMYU</v>
      </c>
      <c r="L114" s="9" t="str">
        <f>if('Point Intercept 1'!L114 = 'Point Intercept 2'!L114, 'Point Intercept 1'!L114, "ERROR")</f>
        <v>Festuca myuros</v>
      </c>
      <c r="M114" s="9" t="str">
        <f>if('Point Intercept 1'!N114 = 'Point Intercept 2'!M114, 'Point Intercept 1'!N114, "ERROR")</f>
        <v/>
      </c>
      <c r="N114" s="9" t="str">
        <f>if('Point Intercept 1'!O114 = 'Point Intercept 2'!N114, 'Point Intercept 1'!O114, "ERROR")</f>
        <v/>
      </c>
      <c r="O114" s="9" t="str">
        <f>if('Point Intercept 1'!P114 = 'Point Intercept 2'!O114, 'Point Intercept 1'!P114, "ERROR")</f>
        <v/>
      </c>
    </row>
    <row r="115">
      <c r="A115" s="9">
        <f>if('Point Intercept 1'!A115 = 'Point Intercept 2'!A115, 'Point Intercept 1'!A115, "ERROR")</f>
        <v>2</v>
      </c>
      <c r="B115" s="9">
        <f>if('Point Intercept 1'!B115 = 'Point Intercept 2'!B115, 'Point Intercept 1'!B115, "ERROR")</f>
        <v>2025</v>
      </c>
      <c r="C115" s="14">
        <f>if('Point Intercept 1'!C115 = 'Point Intercept 2'!C115, 'Point Intercept 1'!C115, "ERROR")</f>
        <v>45755</v>
      </c>
      <c r="D115" s="9" t="str">
        <f>if('Point Intercept 1'!D115 = 'Point Intercept 2'!D115, 'Point Intercept 1'!D115, "ERROR")</f>
        <v>MP, TL, CG, BN</v>
      </c>
      <c r="E115" s="9" t="str">
        <f>if('Point Intercept 1'!E115 = 'Point Intercept 2'!E115, 'Point Intercept 1'!E115, "ERROR")</f>
        <v>VB</v>
      </c>
      <c r="F115" s="9">
        <f>if('Point Intercept 1'!F115 = 'Point Intercept 2'!F115, 'Point Intercept 1'!F115, "ERROR")</f>
        <v>1</v>
      </c>
      <c r="G115" s="9" t="str">
        <f>if('Point Intercept 1'!G115 = 'Point Intercept 2'!G115, 'Point Intercept 1'!G115, "ERROR")</f>
        <v>LU</v>
      </c>
      <c r="H115" s="9">
        <f>if('Point Intercept 1'!I115 = 'Point Intercept 2'!I115, 'Point Intercept 1'!I115, "ERROR")</f>
        <v>5</v>
      </c>
      <c r="I115" s="9">
        <f>if('Point Intercept 1'!H115 = 'Point Intercept 2'!H115, 'Point Intercept 1'!H115, "ERROR")</f>
        <v>1</v>
      </c>
      <c r="J115" s="9">
        <f>if('Point Intercept 1'!J115 = 'Point Intercept 2'!J115, 'Point Intercept 1'!J115, "ERROR")</f>
        <v>2</v>
      </c>
      <c r="K115" s="9" t="str">
        <f>if('Point Intercept 1'!K115 = 'Point Intercept 2'!K115, 'Point Intercept 1'!K115, "ERROR")</f>
        <v>L</v>
      </c>
      <c r="L115" s="9" t="str">
        <f>if('Point Intercept 1'!L115 = 'Point Intercept 2'!L115, 'Point Intercept 1'!L115, "ERROR")</f>
        <v>Litter</v>
      </c>
      <c r="M115" s="9" t="str">
        <f>if('Point Intercept 1'!N115 = 'Point Intercept 2'!M115, 'Point Intercept 1'!N115, "ERROR")</f>
        <v/>
      </c>
      <c r="N115" s="9" t="str">
        <f>if('Point Intercept 1'!O115 = 'Point Intercept 2'!N115, 'Point Intercept 1'!O115, "ERROR")</f>
        <v/>
      </c>
      <c r="O115" s="9" t="str">
        <f>if('Point Intercept 1'!P115 = 'Point Intercept 2'!O115, 'Point Intercept 1'!P115, "ERROR")</f>
        <v/>
      </c>
    </row>
    <row r="116">
      <c r="A116" s="9">
        <f>if('Point Intercept 1'!A116 = 'Point Intercept 2'!A116, 'Point Intercept 1'!A116, "ERROR")</f>
        <v>2</v>
      </c>
      <c r="B116" s="9">
        <f>if('Point Intercept 1'!B116 = 'Point Intercept 2'!B116, 'Point Intercept 1'!B116, "ERROR")</f>
        <v>2025</v>
      </c>
      <c r="C116" s="14">
        <f>if('Point Intercept 1'!C116 = 'Point Intercept 2'!C116, 'Point Intercept 1'!C116, "ERROR")</f>
        <v>45755</v>
      </c>
      <c r="D116" s="9" t="str">
        <f>if('Point Intercept 1'!D116 = 'Point Intercept 2'!D116, 'Point Intercept 1'!D116, "ERROR")</f>
        <v>MP, TL, CG, BN</v>
      </c>
      <c r="E116" s="9" t="str">
        <f>if('Point Intercept 1'!E116 = 'Point Intercept 2'!E116, 'Point Intercept 1'!E116, "ERROR")</f>
        <v>VB</v>
      </c>
      <c r="F116" s="9">
        <f>if('Point Intercept 1'!F116 = 'Point Intercept 2'!F116, 'Point Intercept 1'!F116, "ERROR")</f>
        <v>1</v>
      </c>
      <c r="G116" s="9" t="str">
        <f>if('Point Intercept 1'!G116 = 'Point Intercept 2'!G116, 'Point Intercept 1'!G116, "ERROR")</f>
        <v>LU</v>
      </c>
      <c r="H116" s="9">
        <f>if('Point Intercept 1'!I116 = 'Point Intercept 2'!I116, 'Point Intercept 1'!I116, "ERROR")</f>
        <v>5</v>
      </c>
      <c r="I116" s="9">
        <f>if('Point Intercept 1'!H116 = 'Point Intercept 2'!H116, 'Point Intercept 1'!H116, "ERROR")</f>
        <v>1</v>
      </c>
      <c r="J116" s="9">
        <f>if('Point Intercept 1'!J116 = 'Point Intercept 2'!J116, 'Point Intercept 1'!J116, "ERROR")</f>
        <v>2</v>
      </c>
      <c r="K116" s="9" t="str">
        <f>if('Point Intercept 1'!K116 = 'Point Intercept 2'!K116, 'Point Intercept 1'!K116, "ERROR")</f>
        <v>CENMEL</v>
      </c>
      <c r="L116" s="9" t="str">
        <f>if('Point Intercept 1'!L116 = 'Point Intercept 2'!L116, 'Point Intercept 1'!L116, "ERROR")</f>
        <v>Centaurea melitensis</v>
      </c>
      <c r="M116" s="9" t="str">
        <f>if('Point Intercept 1'!N116 = 'Point Intercept 2'!M116, 'Point Intercept 1'!N116, "ERROR")</f>
        <v/>
      </c>
      <c r="N116" s="9" t="str">
        <f>if('Point Intercept 1'!O116 = 'Point Intercept 2'!N116, 'Point Intercept 1'!O116, "ERROR")</f>
        <v/>
      </c>
      <c r="O116" s="9" t="str">
        <f>if('Point Intercept 1'!P116 = 'Point Intercept 2'!O116, 'Point Intercept 1'!P116, "ERROR")</f>
        <v/>
      </c>
    </row>
    <row r="117">
      <c r="A117" s="9">
        <f>if('Point Intercept 1'!A117 = 'Point Intercept 2'!A117, 'Point Intercept 1'!A117, "ERROR")</f>
        <v>2</v>
      </c>
      <c r="B117" s="9">
        <f>if('Point Intercept 1'!B117 = 'Point Intercept 2'!B117, 'Point Intercept 1'!B117, "ERROR")</f>
        <v>2025</v>
      </c>
      <c r="C117" s="14">
        <f>if('Point Intercept 1'!C117 = 'Point Intercept 2'!C117, 'Point Intercept 1'!C117, "ERROR")</f>
        <v>45755</v>
      </c>
      <c r="D117" s="9" t="str">
        <f>if('Point Intercept 1'!D117 = 'Point Intercept 2'!D117, 'Point Intercept 1'!D117, "ERROR")</f>
        <v>MP, TL, CG, BN</v>
      </c>
      <c r="E117" s="9" t="str">
        <f>if('Point Intercept 1'!E117 = 'Point Intercept 2'!E117, 'Point Intercept 1'!E117, "ERROR")</f>
        <v>VB</v>
      </c>
      <c r="F117" s="9">
        <f>if('Point Intercept 1'!F117 = 'Point Intercept 2'!F117, 'Point Intercept 1'!F117, "ERROR")</f>
        <v>1</v>
      </c>
      <c r="G117" s="9" t="str">
        <f>if('Point Intercept 1'!G117 = 'Point Intercept 2'!G117, 'Point Intercept 1'!G117, "ERROR")</f>
        <v>LU</v>
      </c>
      <c r="H117" s="9">
        <f>if('Point Intercept 1'!I117 = 'Point Intercept 2'!I117, 'Point Intercept 1'!I117, "ERROR")</f>
        <v>6</v>
      </c>
      <c r="I117" s="9">
        <f>if('Point Intercept 1'!H117 = 'Point Intercept 2'!H117, 'Point Intercept 1'!H117, "ERROR")</f>
        <v>1</v>
      </c>
      <c r="J117" s="9">
        <f>if('Point Intercept 1'!J117 = 'Point Intercept 2'!J117, 'Point Intercept 1'!J117, "ERROR")</f>
        <v>2.5</v>
      </c>
      <c r="K117" s="9" t="str">
        <f>if('Point Intercept 1'!K117 = 'Point Intercept 2'!K117, 'Point Intercept 1'!K117, "ERROR")</f>
        <v>L</v>
      </c>
      <c r="L117" s="9" t="str">
        <f>if('Point Intercept 1'!L117 = 'Point Intercept 2'!L117, 'Point Intercept 1'!L117, "ERROR")</f>
        <v>Litter</v>
      </c>
      <c r="M117" s="9" t="str">
        <f>if('Point Intercept 1'!N117 = 'Point Intercept 2'!M117, 'Point Intercept 1'!N117, "ERROR")</f>
        <v/>
      </c>
      <c r="N117" s="9" t="str">
        <f>if('Point Intercept 1'!O117 = 'Point Intercept 2'!N117, 'Point Intercept 1'!O117, "ERROR")</f>
        <v/>
      </c>
      <c r="O117" s="9" t="str">
        <f>if('Point Intercept 1'!P117 = 'Point Intercept 2'!O117, 'Point Intercept 1'!P117, "ERROR")</f>
        <v/>
      </c>
    </row>
    <row r="118">
      <c r="A118" s="9">
        <f>if('Point Intercept 1'!A118 = 'Point Intercept 2'!A118, 'Point Intercept 1'!A118, "ERROR")</f>
        <v>2</v>
      </c>
      <c r="B118" s="9">
        <f>if('Point Intercept 1'!B118 = 'Point Intercept 2'!B118, 'Point Intercept 1'!B118, "ERROR")</f>
        <v>2025</v>
      </c>
      <c r="C118" s="14">
        <f>if('Point Intercept 1'!C118 = 'Point Intercept 2'!C118, 'Point Intercept 1'!C118, "ERROR")</f>
        <v>45755</v>
      </c>
      <c r="D118" s="9" t="str">
        <f>if('Point Intercept 1'!D118 = 'Point Intercept 2'!D118, 'Point Intercept 1'!D118, "ERROR")</f>
        <v>MP, TL, CG, BN</v>
      </c>
      <c r="E118" s="9" t="str">
        <f>if('Point Intercept 1'!E118 = 'Point Intercept 2'!E118, 'Point Intercept 1'!E118, "ERROR")</f>
        <v>VB</v>
      </c>
      <c r="F118" s="9">
        <f>if('Point Intercept 1'!F118 = 'Point Intercept 2'!F118, 'Point Intercept 1'!F118, "ERROR")</f>
        <v>1</v>
      </c>
      <c r="G118" s="9" t="str">
        <f>if('Point Intercept 1'!G118 = 'Point Intercept 2'!G118, 'Point Intercept 1'!G118, "ERROR")</f>
        <v>LU</v>
      </c>
      <c r="H118" s="9">
        <f>if('Point Intercept 1'!I118 = 'Point Intercept 2'!I118, 'Point Intercept 1'!I118, "ERROR")</f>
        <v>6</v>
      </c>
      <c r="I118" s="9">
        <f>if('Point Intercept 1'!H118 = 'Point Intercept 2'!H118, 'Point Intercept 1'!H118, "ERROR")</f>
        <v>1</v>
      </c>
      <c r="J118" s="9">
        <f>if('Point Intercept 1'!J118 = 'Point Intercept 2'!J118, 'Point Intercept 1'!J118, "ERROR")</f>
        <v>2.5</v>
      </c>
      <c r="K118" s="9" t="str">
        <f>if('Point Intercept 1'!K118 = 'Point Intercept 2'!K118, 'Point Intercept 1'!K118, "ERROR")</f>
        <v>EROCIC</v>
      </c>
      <c r="L118" s="9" t="str">
        <f>if('Point Intercept 1'!L118 = 'Point Intercept 2'!L118, 'Point Intercept 1'!L118, "ERROR")</f>
        <v>Erodium cicutarium</v>
      </c>
      <c r="M118" s="9" t="str">
        <f>if('Point Intercept 1'!N118 = 'Point Intercept 2'!M118, 'Point Intercept 1'!N118, "ERROR")</f>
        <v/>
      </c>
      <c r="N118" s="9" t="str">
        <f>if('Point Intercept 1'!O118 = 'Point Intercept 2'!N118, 'Point Intercept 1'!O118, "ERROR")</f>
        <v/>
      </c>
      <c r="O118" s="9" t="str">
        <f>if('Point Intercept 1'!P118 = 'Point Intercept 2'!O118, 'Point Intercept 1'!P118, "ERROR")</f>
        <v/>
      </c>
    </row>
    <row r="119">
      <c r="A119" s="9">
        <f>if('Point Intercept 1'!A119 = 'Point Intercept 2'!A119, 'Point Intercept 1'!A119, "ERROR")</f>
        <v>2</v>
      </c>
      <c r="B119" s="9">
        <f>if('Point Intercept 1'!B119 = 'Point Intercept 2'!B119, 'Point Intercept 1'!B119, "ERROR")</f>
        <v>2025</v>
      </c>
      <c r="C119" s="14">
        <f>if('Point Intercept 1'!C119 = 'Point Intercept 2'!C119, 'Point Intercept 1'!C119, "ERROR")</f>
        <v>45755</v>
      </c>
      <c r="D119" s="9" t="str">
        <f>if('Point Intercept 1'!D119 = 'Point Intercept 2'!D119, 'Point Intercept 1'!D119, "ERROR")</f>
        <v>MP, TL, CG, BN</v>
      </c>
      <c r="E119" s="9" t="str">
        <f>if('Point Intercept 1'!E119 = 'Point Intercept 2'!E119, 'Point Intercept 1'!E119, "ERROR")</f>
        <v>VB</v>
      </c>
      <c r="F119" s="9">
        <f>if('Point Intercept 1'!F119 = 'Point Intercept 2'!F119, 'Point Intercept 1'!F119, "ERROR")</f>
        <v>1</v>
      </c>
      <c r="G119" s="9" t="str">
        <f>if('Point Intercept 1'!G119 = 'Point Intercept 2'!G119, 'Point Intercept 1'!G119, "ERROR")</f>
        <v>LU</v>
      </c>
      <c r="H119" s="9">
        <f>if('Point Intercept 1'!I119 = 'Point Intercept 2'!I119, 'Point Intercept 1'!I119, "ERROR")</f>
        <v>6</v>
      </c>
      <c r="I119" s="9">
        <f>if('Point Intercept 1'!H119 = 'Point Intercept 2'!H119, 'Point Intercept 1'!H119, "ERROR")</f>
        <v>1</v>
      </c>
      <c r="J119" s="9">
        <f>if('Point Intercept 1'!J119 = 'Point Intercept 2'!J119, 'Point Intercept 1'!J119, "ERROR")</f>
        <v>2.5</v>
      </c>
      <c r="K119" s="9" t="str">
        <f>if('Point Intercept 1'!K119 = 'Point Intercept 2'!K119, 'Point Intercept 1'!K119, "ERROR")</f>
        <v>CENMEL</v>
      </c>
      <c r="L119" s="9" t="str">
        <f>if('Point Intercept 1'!L119 = 'Point Intercept 2'!L119, 'Point Intercept 1'!L119, "ERROR")</f>
        <v>Centaurea melitensis</v>
      </c>
      <c r="M119" s="9" t="str">
        <f>if('Point Intercept 1'!N119 = 'Point Intercept 2'!M119, 'Point Intercept 1'!N119, "ERROR")</f>
        <v/>
      </c>
      <c r="N119" s="9" t="str">
        <f>if('Point Intercept 1'!O119 = 'Point Intercept 2'!N119, 'Point Intercept 1'!O119, "ERROR")</f>
        <v/>
      </c>
      <c r="O119" s="9" t="str">
        <f>if('Point Intercept 1'!P119 = 'Point Intercept 2'!O119, 'Point Intercept 1'!P119, "ERROR")</f>
        <v/>
      </c>
    </row>
    <row r="120">
      <c r="A120" s="9">
        <f>if('Point Intercept 1'!A120 = 'Point Intercept 2'!A120, 'Point Intercept 1'!A120, "ERROR")</f>
        <v>2</v>
      </c>
      <c r="B120" s="9">
        <f>if('Point Intercept 1'!B120 = 'Point Intercept 2'!B120, 'Point Intercept 1'!B120, "ERROR")</f>
        <v>2025</v>
      </c>
      <c r="C120" s="14">
        <f>if('Point Intercept 1'!C120 = 'Point Intercept 2'!C120, 'Point Intercept 1'!C120, "ERROR")</f>
        <v>45755</v>
      </c>
      <c r="D120" s="9" t="str">
        <f>if('Point Intercept 1'!D120 = 'Point Intercept 2'!D120, 'Point Intercept 1'!D120, "ERROR")</f>
        <v>MP, TL, CG, BN</v>
      </c>
      <c r="E120" s="9" t="str">
        <f>if('Point Intercept 1'!E120 = 'Point Intercept 2'!E120, 'Point Intercept 1'!E120, "ERROR")</f>
        <v>VB</v>
      </c>
      <c r="F120" s="9">
        <f>if('Point Intercept 1'!F120 = 'Point Intercept 2'!F120, 'Point Intercept 1'!F120, "ERROR")</f>
        <v>1</v>
      </c>
      <c r="G120" s="9" t="str">
        <f>if('Point Intercept 1'!G120 = 'Point Intercept 2'!G120, 'Point Intercept 1'!G120, "ERROR")</f>
        <v>LU</v>
      </c>
      <c r="H120" s="9">
        <f>if('Point Intercept 1'!I120 = 'Point Intercept 2'!I120, 'Point Intercept 1'!I120, "ERROR")</f>
        <v>6</v>
      </c>
      <c r="I120" s="9">
        <f>if('Point Intercept 1'!H120 = 'Point Intercept 2'!H120, 'Point Intercept 1'!H120, "ERROR")</f>
        <v>1</v>
      </c>
      <c r="J120" s="9">
        <f>if('Point Intercept 1'!J120 = 'Point Intercept 2'!J120, 'Point Intercept 1'!J120, "ERROR")</f>
        <v>2.5</v>
      </c>
      <c r="K120" s="9" t="str">
        <f>if('Point Intercept 1'!K120 = 'Point Intercept 2'!K120, 'Point Intercept 1'!K120, "ERROR")</f>
        <v>SONSPP</v>
      </c>
      <c r="L120" s="9" t="str">
        <f>if('Point Intercept 1'!L120 = 'Point Intercept 2'!L120, 'Point Intercept 1'!L120, "ERROR")</f>
        <v>Sonchus species</v>
      </c>
      <c r="M120" s="9" t="str">
        <f>if('Point Intercept 1'!N120 = 'Point Intercept 2'!M120, 'Point Intercept 1'!N120, "ERROR")</f>
        <v/>
      </c>
      <c r="N120" s="9" t="str">
        <f>if('Point Intercept 1'!O120 = 'Point Intercept 2'!N120, 'Point Intercept 1'!O120, "ERROR")</f>
        <v/>
      </c>
      <c r="O120" s="9" t="str">
        <f>if('Point Intercept 1'!P120 = 'Point Intercept 2'!O120, 'Point Intercept 1'!P120, "ERROR")</f>
        <v/>
      </c>
    </row>
    <row r="121">
      <c r="A121" s="9">
        <f>if('Point Intercept 1'!A121 = 'Point Intercept 2'!A121, 'Point Intercept 1'!A121, "ERROR")</f>
        <v>2</v>
      </c>
      <c r="B121" s="9">
        <f>if('Point Intercept 1'!B121 = 'Point Intercept 2'!B121, 'Point Intercept 1'!B121, "ERROR")</f>
        <v>2025</v>
      </c>
      <c r="C121" s="14">
        <f>if('Point Intercept 1'!C121 = 'Point Intercept 2'!C121, 'Point Intercept 1'!C121, "ERROR")</f>
        <v>45755</v>
      </c>
      <c r="D121" s="9" t="str">
        <f>if('Point Intercept 1'!D121 = 'Point Intercept 2'!D121, 'Point Intercept 1'!D121, "ERROR")</f>
        <v>MP, TL, CG, BN</v>
      </c>
      <c r="E121" s="9" t="str">
        <f>if('Point Intercept 1'!E121 = 'Point Intercept 2'!E121, 'Point Intercept 1'!E121, "ERROR")</f>
        <v>VB</v>
      </c>
      <c r="F121" s="9">
        <f>if('Point Intercept 1'!F121 = 'Point Intercept 2'!F121, 'Point Intercept 1'!F121, "ERROR")</f>
        <v>1</v>
      </c>
      <c r="G121" s="9" t="str">
        <f>if('Point Intercept 1'!G121 = 'Point Intercept 2'!G121, 'Point Intercept 1'!G121, "ERROR")</f>
        <v>LU</v>
      </c>
      <c r="H121" s="9">
        <f>if('Point Intercept 1'!I121 = 'Point Intercept 2'!I121, 'Point Intercept 1'!I121, "ERROR")</f>
        <v>7</v>
      </c>
      <c r="I121" s="9">
        <f>if('Point Intercept 1'!H121 = 'Point Intercept 2'!H121, 'Point Intercept 1'!H121, "ERROR")</f>
        <v>1</v>
      </c>
      <c r="J121" s="9">
        <f>if('Point Intercept 1'!J121 = 'Point Intercept 2'!J121, 'Point Intercept 1'!J121, "ERROR")</f>
        <v>3</v>
      </c>
      <c r="K121" s="9" t="str">
        <f>if('Point Intercept 1'!K121 = 'Point Intercept 2'!K121, 'Point Intercept 1'!K121, "ERROR")</f>
        <v>L</v>
      </c>
      <c r="L121" s="9" t="str">
        <f>if('Point Intercept 1'!L121 = 'Point Intercept 2'!L121, 'Point Intercept 1'!L121, "ERROR")</f>
        <v>Litter</v>
      </c>
      <c r="M121" s="9" t="str">
        <f>if('Point Intercept 1'!N121 = 'Point Intercept 2'!M121, 'Point Intercept 1'!N121, "ERROR")</f>
        <v/>
      </c>
      <c r="N121" s="9" t="str">
        <f>if('Point Intercept 1'!O121 = 'Point Intercept 2'!N121, 'Point Intercept 1'!O121, "ERROR")</f>
        <v/>
      </c>
      <c r="O121" s="9" t="str">
        <f>if('Point Intercept 1'!P121 = 'Point Intercept 2'!O121, 'Point Intercept 1'!P121, "ERROR")</f>
        <v/>
      </c>
    </row>
    <row r="122">
      <c r="A122" s="9">
        <f>if('Point Intercept 1'!A122 = 'Point Intercept 2'!A122, 'Point Intercept 1'!A122, "ERROR")</f>
        <v>2</v>
      </c>
      <c r="B122" s="9">
        <f>if('Point Intercept 1'!B122 = 'Point Intercept 2'!B122, 'Point Intercept 1'!B122, "ERROR")</f>
        <v>2025</v>
      </c>
      <c r="C122" s="14">
        <f>if('Point Intercept 1'!C122 = 'Point Intercept 2'!C122, 'Point Intercept 1'!C122, "ERROR")</f>
        <v>45755</v>
      </c>
      <c r="D122" s="9" t="str">
        <f>if('Point Intercept 1'!D122 = 'Point Intercept 2'!D122, 'Point Intercept 1'!D122, "ERROR")</f>
        <v>MP, TL, CG, BN</v>
      </c>
      <c r="E122" s="9" t="str">
        <f>if('Point Intercept 1'!E122 = 'Point Intercept 2'!E122, 'Point Intercept 1'!E122, "ERROR")</f>
        <v>VB</v>
      </c>
      <c r="F122" s="9">
        <f>if('Point Intercept 1'!F122 = 'Point Intercept 2'!F122, 'Point Intercept 1'!F122, "ERROR")</f>
        <v>1</v>
      </c>
      <c r="G122" s="9" t="str">
        <f>if('Point Intercept 1'!G122 = 'Point Intercept 2'!G122, 'Point Intercept 1'!G122, "ERROR")</f>
        <v>LU</v>
      </c>
      <c r="H122" s="9">
        <f>if('Point Intercept 1'!I122 = 'Point Intercept 2'!I122, 'Point Intercept 1'!I122, "ERROR")</f>
        <v>7</v>
      </c>
      <c r="I122" s="9">
        <f>if('Point Intercept 1'!H122 = 'Point Intercept 2'!H122, 'Point Intercept 1'!H122, "ERROR")</f>
        <v>1</v>
      </c>
      <c r="J122" s="9">
        <f>if('Point Intercept 1'!J122 = 'Point Intercept 2'!J122, 'Point Intercept 1'!J122, "ERROR")</f>
        <v>3</v>
      </c>
      <c r="K122" s="9" t="str">
        <f>if('Point Intercept 1'!K122 = 'Point Intercept 2'!K122, 'Point Intercept 1'!K122, "ERROR")</f>
        <v>OPULIT</v>
      </c>
      <c r="L122" s="9" t="str">
        <f>if('Point Intercept 1'!L122 = 'Point Intercept 2'!L122, 'Point Intercept 1'!L122, "ERROR")</f>
        <v>Opuntia littoralis</v>
      </c>
      <c r="M122" s="9" t="str">
        <f>if('Point Intercept 1'!N122 = 'Point Intercept 2'!M122, 'Point Intercept 1'!N122, "ERROR")</f>
        <v/>
      </c>
      <c r="N122" s="9" t="str">
        <f>if('Point Intercept 1'!O122 = 'Point Intercept 2'!N122, 'Point Intercept 1'!O122, "ERROR")</f>
        <v/>
      </c>
      <c r="O122" s="9" t="str">
        <f>if('Point Intercept 1'!P122 = 'Point Intercept 2'!O122, 'Point Intercept 1'!P122, "ERROR")</f>
        <v/>
      </c>
    </row>
    <row r="123">
      <c r="A123" s="9">
        <f>if('Point Intercept 1'!A123 = 'Point Intercept 2'!A123, 'Point Intercept 1'!A123, "ERROR")</f>
        <v>2</v>
      </c>
      <c r="B123" s="9">
        <f>if('Point Intercept 1'!B123 = 'Point Intercept 2'!B123, 'Point Intercept 1'!B123, "ERROR")</f>
        <v>2025</v>
      </c>
      <c r="C123" s="14">
        <f>if('Point Intercept 1'!C123 = 'Point Intercept 2'!C123, 'Point Intercept 1'!C123, "ERROR")</f>
        <v>45755</v>
      </c>
      <c r="D123" s="9" t="str">
        <f>if('Point Intercept 1'!D123 = 'Point Intercept 2'!D123, 'Point Intercept 1'!D123, "ERROR")</f>
        <v>MP, TL, CG, BN</v>
      </c>
      <c r="E123" s="9" t="str">
        <f>if('Point Intercept 1'!E123 = 'Point Intercept 2'!E123, 'Point Intercept 1'!E123, "ERROR")</f>
        <v>VB</v>
      </c>
      <c r="F123" s="9">
        <f>if('Point Intercept 1'!F123 = 'Point Intercept 2'!F123, 'Point Intercept 1'!F123, "ERROR")</f>
        <v>1</v>
      </c>
      <c r="G123" s="9" t="str">
        <f>if('Point Intercept 1'!G123 = 'Point Intercept 2'!G123, 'Point Intercept 1'!G123, "ERROR")</f>
        <v>LU</v>
      </c>
      <c r="H123" s="9">
        <f>if('Point Intercept 1'!I123 = 'Point Intercept 2'!I123, 'Point Intercept 1'!I123, "ERROR")</f>
        <v>7</v>
      </c>
      <c r="I123" s="9">
        <f>if('Point Intercept 1'!H123 = 'Point Intercept 2'!H123, 'Point Intercept 1'!H123, "ERROR")</f>
        <v>1</v>
      </c>
      <c r="J123" s="9">
        <f>if('Point Intercept 1'!J123 = 'Point Intercept 2'!J123, 'Point Intercept 1'!J123, "ERROR")</f>
        <v>3</v>
      </c>
      <c r="K123" s="9" t="str">
        <f>if('Point Intercept 1'!K123 = 'Point Intercept 2'!K123, 'Point Intercept 1'!K123, "ERROR")</f>
        <v>DEIFAS</v>
      </c>
      <c r="L123" s="9" t="str">
        <f>if('Point Intercept 1'!L123 = 'Point Intercept 2'!L123, 'Point Intercept 1'!L123, "ERROR")</f>
        <v>Deinandra fasciculata</v>
      </c>
      <c r="M123" s="9" t="str">
        <f>if('Point Intercept 1'!N123 = 'Point Intercept 2'!M123, 'Point Intercept 1'!N123, "ERROR")</f>
        <v/>
      </c>
      <c r="N123" s="9" t="str">
        <f>if('Point Intercept 1'!O123 = 'Point Intercept 2'!N123, 'Point Intercept 1'!O123, "ERROR")</f>
        <v/>
      </c>
      <c r="O123" s="9" t="str">
        <f>if('Point Intercept 1'!P123 = 'Point Intercept 2'!O123, 'Point Intercept 1'!P123, "ERROR")</f>
        <v/>
      </c>
    </row>
    <row r="124">
      <c r="A124" s="9">
        <f>if('Point Intercept 1'!A124 = 'Point Intercept 2'!A124, 'Point Intercept 1'!A124, "ERROR")</f>
        <v>2</v>
      </c>
      <c r="B124" s="9">
        <f>if('Point Intercept 1'!B124 = 'Point Intercept 2'!B124, 'Point Intercept 1'!B124, "ERROR")</f>
        <v>2025</v>
      </c>
      <c r="C124" s="14">
        <f>if('Point Intercept 1'!C124 = 'Point Intercept 2'!C124, 'Point Intercept 1'!C124, "ERROR")</f>
        <v>45755</v>
      </c>
      <c r="D124" s="9" t="str">
        <f>if('Point Intercept 1'!D124 = 'Point Intercept 2'!D124, 'Point Intercept 1'!D124, "ERROR")</f>
        <v>MP, TL, CG, BN</v>
      </c>
      <c r="E124" s="9" t="str">
        <f>if('Point Intercept 1'!E124 = 'Point Intercept 2'!E124, 'Point Intercept 1'!E124, "ERROR")</f>
        <v>VB</v>
      </c>
      <c r="F124" s="9">
        <f>if('Point Intercept 1'!F124 = 'Point Intercept 2'!F124, 'Point Intercept 1'!F124, "ERROR")</f>
        <v>1</v>
      </c>
      <c r="G124" s="9" t="str">
        <f>if('Point Intercept 1'!G124 = 'Point Intercept 2'!G124, 'Point Intercept 1'!G124, "ERROR")</f>
        <v>LU</v>
      </c>
      <c r="H124" s="9">
        <f>if('Point Intercept 1'!I124 = 'Point Intercept 2'!I124, 'Point Intercept 1'!I124, "ERROR")</f>
        <v>7</v>
      </c>
      <c r="I124" s="9">
        <f>if('Point Intercept 1'!H124 = 'Point Intercept 2'!H124, 'Point Intercept 1'!H124, "ERROR")</f>
        <v>1</v>
      </c>
      <c r="J124" s="9">
        <f>if('Point Intercept 1'!J124 = 'Point Intercept 2'!J124, 'Point Intercept 1'!J124, "ERROR")</f>
        <v>3</v>
      </c>
      <c r="K124" s="9" t="str">
        <f>if('Point Intercept 1'!K124 = 'Point Intercept 2'!K124, 'Point Intercept 1'!K124, "ERROR")</f>
        <v>STEDIE</v>
      </c>
      <c r="L124" s="9" t="str">
        <f>if('Point Intercept 1'!L124 = 'Point Intercept 2'!L124, 'Point Intercept 1'!L124, "ERROR")</f>
        <v>Stephanomeria diegensis</v>
      </c>
      <c r="M124" s="9" t="str">
        <f>if('Point Intercept 1'!N124 = 'Point Intercept 2'!M124, 'Point Intercept 1'!N124, "ERROR")</f>
        <v/>
      </c>
      <c r="N124" s="9" t="str">
        <f>if('Point Intercept 1'!O124 = 'Point Intercept 2'!N124, 'Point Intercept 1'!O124, "ERROR")</f>
        <v/>
      </c>
      <c r="O124" s="9" t="str">
        <f>if('Point Intercept 1'!P124 = 'Point Intercept 2'!O124, 'Point Intercept 1'!P124, "ERROR")</f>
        <v/>
      </c>
    </row>
    <row r="125">
      <c r="A125" s="9">
        <f>if('Point Intercept 1'!A125 = 'Point Intercept 2'!A125, 'Point Intercept 1'!A125, "ERROR")</f>
        <v>2</v>
      </c>
      <c r="B125" s="9">
        <f>if('Point Intercept 1'!B125 = 'Point Intercept 2'!B125, 'Point Intercept 1'!B125, "ERROR")</f>
        <v>2025</v>
      </c>
      <c r="C125" s="14">
        <f>if('Point Intercept 1'!C125 = 'Point Intercept 2'!C125, 'Point Intercept 1'!C125, "ERROR")</f>
        <v>45755</v>
      </c>
      <c r="D125" s="9" t="str">
        <f>if('Point Intercept 1'!D125 = 'Point Intercept 2'!D125, 'Point Intercept 1'!D125, "ERROR")</f>
        <v>MP, TL, CG, BN</v>
      </c>
      <c r="E125" s="9" t="str">
        <f>if('Point Intercept 1'!E125 = 'Point Intercept 2'!E125, 'Point Intercept 1'!E125, "ERROR")</f>
        <v>VB</v>
      </c>
      <c r="F125" s="9">
        <f>if('Point Intercept 1'!F125 = 'Point Intercept 2'!F125, 'Point Intercept 1'!F125, "ERROR")</f>
        <v>1</v>
      </c>
      <c r="G125" s="9" t="str">
        <f>if('Point Intercept 1'!G125 = 'Point Intercept 2'!G125, 'Point Intercept 1'!G125, "ERROR")</f>
        <v>LU</v>
      </c>
      <c r="H125" s="9">
        <f>if('Point Intercept 1'!I125 = 'Point Intercept 2'!I125, 'Point Intercept 1'!I125, "ERROR")</f>
        <v>8</v>
      </c>
      <c r="I125" s="9">
        <f>if('Point Intercept 1'!H125 = 'Point Intercept 2'!H125, 'Point Intercept 1'!H125, "ERROR")</f>
        <v>1</v>
      </c>
      <c r="J125" s="9">
        <f>if('Point Intercept 1'!J125 = 'Point Intercept 2'!J125, 'Point Intercept 1'!J125, "ERROR")</f>
        <v>3.5</v>
      </c>
      <c r="K125" s="9" t="str">
        <f>if('Point Intercept 1'!K125 = 'Point Intercept 2'!K125, 'Point Intercept 1'!K125, "ERROR")</f>
        <v>L</v>
      </c>
      <c r="L125" s="9" t="str">
        <f>if('Point Intercept 1'!L125 = 'Point Intercept 2'!L125, 'Point Intercept 1'!L125, "ERROR")</f>
        <v>Litter</v>
      </c>
      <c r="M125" s="9" t="str">
        <f>if('Point Intercept 1'!N125 = 'Point Intercept 2'!M125, 'Point Intercept 1'!N125, "ERROR")</f>
        <v/>
      </c>
      <c r="N125" s="9" t="str">
        <f>if('Point Intercept 1'!O125 = 'Point Intercept 2'!N125, 'Point Intercept 1'!O125, "ERROR")</f>
        <v/>
      </c>
      <c r="O125" s="9" t="str">
        <f>if('Point Intercept 1'!P125 = 'Point Intercept 2'!O125, 'Point Intercept 1'!P125, "ERROR")</f>
        <v/>
      </c>
    </row>
    <row r="126">
      <c r="A126" s="9">
        <f>if('Point Intercept 1'!A126 = 'Point Intercept 2'!A126, 'Point Intercept 1'!A126, "ERROR")</f>
        <v>2</v>
      </c>
      <c r="B126" s="9">
        <f>if('Point Intercept 1'!B126 = 'Point Intercept 2'!B126, 'Point Intercept 1'!B126, "ERROR")</f>
        <v>2025</v>
      </c>
      <c r="C126" s="14">
        <f>if('Point Intercept 1'!C126 = 'Point Intercept 2'!C126, 'Point Intercept 1'!C126, "ERROR")</f>
        <v>45755</v>
      </c>
      <c r="D126" s="9" t="str">
        <f>if('Point Intercept 1'!D126 = 'Point Intercept 2'!D126, 'Point Intercept 1'!D126, "ERROR")</f>
        <v>MP, TL, CG, BN</v>
      </c>
      <c r="E126" s="9" t="str">
        <f>if('Point Intercept 1'!E126 = 'Point Intercept 2'!E126, 'Point Intercept 1'!E126, "ERROR")</f>
        <v>VB</v>
      </c>
      <c r="F126" s="9">
        <f>if('Point Intercept 1'!F126 = 'Point Intercept 2'!F126, 'Point Intercept 1'!F126, "ERROR")</f>
        <v>1</v>
      </c>
      <c r="G126" s="9" t="str">
        <f>if('Point Intercept 1'!G126 = 'Point Intercept 2'!G126, 'Point Intercept 1'!G126, "ERROR")</f>
        <v>LU</v>
      </c>
      <c r="H126" s="9">
        <f>if('Point Intercept 1'!I126 = 'Point Intercept 2'!I126, 'Point Intercept 1'!I126, "ERROR")</f>
        <v>8</v>
      </c>
      <c r="I126" s="9">
        <f>if('Point Intercept 1'!H126 = 'Point Intercept 2'!H126, 'Point Intercept 1'!H126, "ERROR")</f>
        <v>1</v>
      </c>
      <c r="J126" s="9">
        <f>if('Point Intercept 1'!J126 = 'Point Intercept 2'!J126, 'Point Intercept 1'!J126, "ERROR")</f>
        <v>3.5</v>
      </c>
      <c r="K126" s="9" t="str">
        <f>if('Point Intercept 1'!K126 = 'Point Intercept 2'!K126, 'Point Intercept 1'!K126, "ERROR")</f>
        <v>DEIFAS</v>
      </c>
      <c r="L126" s="9" t="str">
        <f>if('Point Intercept 1'!L126 = 'Point Intercept 2'!L126, 'Point Intercept 1'!L126, "ERROR")</f>
        <v>Deinandra fasciculata</v>
      </c>
      <c r="M126" s="9" t="str">
        <f>if('Point Intercept 1'!N126 = 'Point Intercept 2'!M126, 'Point Intercept 1'!N126, "ERROR")</f>
        <v/>
      </c>
      <c r="N126" s="9" t="str">
        <f>if('Point Intercept 1'!O126 = 'Point Intercept 2'!N126, 'Point Intercept 1'!O126, "ERROR")</f>
        <v/>
      </c>
      <c r="O126" s="9" t="str">
        <f>if('Point Intercept 1'!P126 = 'Point Intercept 2'!O126, 'Point Intercept 1'!P126, "ERROR")</f>
        <v/>
      </c>
    </row>
    <row r="127">
      <c r="A127" s="9">
        <f>if('Point Intercept 1'!A127 = 'Point Intercept 2'!A127, 'Point Intercept 1'!A127, "ERROR")</f>
        <v>2</v>
      </c>
      <c r="B127" s="9">
        <f>if('Point Intercept 1'!B127 = 'Point Intercept 2'!B127, 'Point Intercept 1'!B127, "ERROR")</f>
        <v>2025</v>
      </c>
      <c r="C127" s="14">
        <f>if('Point Intercept 1'!C127 = 'Point Intercept 2'!C127, 'Point Intercept 1'!C127, "ERROR")</f>
        <v>45755</v>
      </c>
      <c r="D127" s="9" t="str">
        <f>if('Point Intercept 1'!D127 = 'Point Intercept 2'!D127, 'Point Intercept 1'!D127, "ERROR")</f>
        <v>MP, TL, CG, BN</v>
      </c>
      <c r="E127" s="9" t="str">
        <f>if('Point Intercept 1'!E127 = 'Point Intercept 2'!E127, 'Point Intercept 1'!E127, "ERROR")</f>
        <v>VB</v>
      </c>
      <c r="F127" s="9">
        <f>if('Point Intercept 1'!F127 = 'Point Intercept 2'!F127, 'Point Intercept 1'!F127, "ERROR")</f>
        <v>1</v>
      </c>
      <c r="G127" s="9" t="str">
        <f>if('Point Intercept 1'!G127 = 'Point Intercept 2'!G127, 'Point Intercept 1'!G127, "ERROR")</f>
        <v>LU</v>
      </c>
      <c r="H127" s="9">
        <f>if('Point Intercept 1'!I127 = 'Point Intercept 2'!I127, 'Point Intercept 1'!I127, "ERROR")</f>
        <v>8</v>
      </c>
      <c r="I127" s="9">
        <f>if('Point Intercept 1'!H127 = 'Point Intercept 2'!H127, 'Point Intercept 1'!H127, "ERROR")</f>
        <v>1</v>
      </c>
      <c r="J127" s="9">
        <f>if('Point Intercept 1'!J127 = 'Point Intercept 2'!J127, 'Point Intercept 1'!J127, "ERROR")</f>
        <v>3.5</v>
      </c>
      <c r="K127" s="9" t="str">
        <f>if('Point Intercept 1'!K127 = 'Point Intercept 2'!K127, 'Point Intercept 1'!K127, "ERROR")</f>
        <v>EROCIC</v>
      </c>
      <c r="L127" s="9" t="str">
        <f>if('Point Intercept 1'!L127 = 'Point Intercept 2'!L127, 'Point Intercept 1'!L127, "ERROR")</f>
        <v>Erodium cicutarium</v>
      </c>
      <c r="M127" s="9" t="str">
        <f>if('Point Intercept 1'!N127 = 'Point Intercept 2'!M127, 'Point Intercept 1'!N127, "ERROR")</f>
        <v/>
      </c>
      <c r="N127" s="9" t="str">
        <f>if('Point Intercept 1'!O127 = 'Point Intercept 2'!N127, 'Point Intercept 1'!O127, "ERROR")</f>
        <v/>
      </c>
      <c r="O127" s="9" t="str">
        <f>if('Point Intercept 1'!P127 = 'Point Intercept 2'!O127, 'Point Intercept 1'!P127, "ERROR")</f>
        <v/>
      </c>
    </row>
    <row r="128">
      <c r="A128" s="9">
        <f>if('Point Intercept 1'!A128 = 'Point Intercept 2'!A128, 'Point Intercept 1'!A128, "ERROR")</f>
        <v>2</v>
      </c>
      <c r="B128" s="9">
        <f>if('Point Intercept 1'!B128 = 'Point Intercept 2'!B128, 'Point Intercept 1'!B128, "ERROR")</f>
        <v>2025</v>
      </c>
      <c r="C128" s="14">
        <f>if('Point Intercept 1'!C128 = 'Point Intercept 2'!C128, 'Point Intercept 1'!C128, "ERROR")</f>
        <v>45755</v>
      </c>
      <c r="D128" s="9" t="str">
        <f>if('Point Intercept 1'!D128 = 'Point Intercept 2'!D128, 'Point Intercept 1'!D128, "ERROR")</f>
        <v>MP, TL, CG, BN</v>
      </c>
      <c r="E128" s="9" t="str">
        <f>if('Point Intercept 1'!E128 = 'Point Intercept 2'!E128, 'Point Intercept 1'!E128, "ERROR")</f>
        <v>VB</v>
      </c>
      <c r="F128" s="9">
        <f>if('Point Intercept 1'!F128 = 'Point Intercept 2'!F128, 'Point Intercept 1'!F128, "ERROR")</f>
        <v>1</v>
      </c>
      <c r="G128" s="9" t="str">
        <f>if('Point Intercept 1'!G128 = 'Point Intercept 2'!G128, 'Point Intercept 1'!G128, "ERROR")</f>
        <v>LU</v>
      </c>
      <c r="H128" s="9">
        <f>if('Point Intercept 1'!I128 = 'Point Intercept 2'!I128, 'Point Intercept 1'!I128, "ERROR")</f>
        <v>9</v>
      </c>
      <c r="I128" s="9">
        <f>if('Point Intercept 1'!H128 = 'Point Intercept 2'!H128, 'Point Intercept 1'!H128, "ERROR")</f>
        <v>1</v>
      </c>
      <c r="J128" s="9">
        <f>if('Point Intercept 1'!J128 = 'Point Intercept 2'!J128, 'Point Intercept 1'!J128, "ERROR")</f>
        <v>4</v>
      </c>
      <c r="K128" s="9" t="str">
        <f>if('Point Intercept 1'!K128 = 'Point Intercept 2'!K128, 'Point Intercept 1'!K128, "ERROR")</f>
        <v>L</v>
      </c>
      <c r="L128" s="9" t="str">
        <f>if('Point Intercept 1'!L128 = 'Point Intercept 2'!L128, 'Point Intercept 1'!L128, "ERROR")</f>
        <v>Litter</v>
      </c>
      <c r="M128" s="9" t="str">
        <f>if('Point Intercept 1'!N128 = 'Point Intercept 2'!M128, 'Point Intercept 1'!N128, "ERROR")</f>
        <v/>
      </c>
      <c r="N128" s="9" t="str">
        <f>if('Point Intercept 1'!O128 = 'Point Intercept 2'!N128, 'Point Intercept 1'!O128, "ERROR")</f>
        <v/>
      </c>
      <c r="O128" s="9" t="str">
        <f>if('Point Intercept 1'!P128 = 'Point Intercept 2'!O128, 'Point Intercept 1'!P128, "ERROR")</f>
        <v/>
      </c>
    </row>
    <row r="129">
      <c r="A129" s="9">
        <f>if('Point Intercept 1'!A129 = 'Point Intercept 2'!A129, 'Point Intercept 1'!A129, "ERROR")</f>
        <v>2</v>
      </c>
      <c r="B129" s="9">
        <f>if('Point Intercept 1'!B129 = 'Point Intercept 2'!B129, 'Point Intercept 1'!B129, "ERROR")</f>
        <v>2025</v>
      </c>
      <c r="C129" s="14">
        <f>if('Point Intercept 1'!C129 = 'Point Intercept 2'!C129, 'Point Intercept 1'!C129, "ERROR")</f>
        <v>45755</v>
      </c>
      <c r="D129" s="9" t="str">
        <f>if('Point Intercept 1'!D129 = 'Point Intercept 2'!D129, 'Point Intercept 1'!D129, "ERROR")</f>
        <v>MP, TL, CG, BN</v>
      </c>
      <c r="E129" s="9" t="str">
        <f>if('Point Intercept 1'!E129 = 'Point Intercept 2'!E129, 'Point Intercept 1'!E129, "ERROR")</f>
        <v>VB</v>
      </c>
      <c r="F129" s="9">
        <f>if('Point Intercept 1'!F129 = 'Point Intercept 2'!F129, 'Point Intercept 1'!F129, "ERROR")</f>
        <v>1</v>
      </c>
      <c r="G129" s="9" t="str">
        <f>if('Point Intercept 1'!G129 = 'Point Intercept 2'!G129, 'Point Intercept 1'!G129, "ERROR")</f>
        <v>LU</v>
      </c>
      <c r="H129" s="9">
        <f>if('Point Intercept 1'!I129 = 'Point Intercept 2'!I129, 'Point Intercept 1'!I129, "ERROR")</f>
        <v>9</v>
      </c>
      <c r="I129" s="9">
        <f>if('Point Intercept 1'!H129 = 'Point Intercept 2'!H129, 'Point Intercept 1'!H129, "ERROR")</f>
        <v>1</v>
      </c>
      <c r="J129" s="9">
        <f>if('Point Intercept 1'!J129 = 'Point Intercept 2'!J129, 'Point Intercept 1'!J129, "ERROR")</f>
        <v>4</v>
      </c>
      <c r="K129" s="9" t="str">
        <f>if('Point Intercept 1'!K129 = 'Point Intercept 2'!K129, 'Point Intercept 1'!K129, "ERROR")</f>
        <v>DEIFAS</v>
      </c>
      <c r="L129" s="9" t="str">
        <f>if('Point Intercept 1'!L129 = 'Point Intercept 2'!L129, 'Point Intercept 1'!L129, "ERROR")</f>
        <v>Deinandra fasciculata</v>
      </c>
      <c r="M129" s="9" t="str">
        <f>if('Point Intercept 1'!N129 = 'Point Intercept 2'!M129, 'Point Intercept 1'!N129, "ERROR")</f>
        <v/>
      </c>
      <c r="N129" s="9" t="str">
        <f>if('Point Intercept 1'!O129 = 'Point Intercept 2'!N129, 'Point Intercept 1'!O129, "ERROR")</f>
        <v/>
      </c>
      <c r="O129" s="9" t="str">
        <f>if('Point Intercept 1'!P129 = 'Point Intercept 2'!O129, 'Point Intercept 1'!P129, "ERROR")</f>
        <v/>
      </c>
    </row>
    <row r="130">
      <c r="A130" s="9">
        <f>if('Point Intercept 1'!A130 = 'Point Intercept 2'!A130, 'Point Intercept 1'!A130, "ERROR")</f>
        <v>2</v>
      </c>
      <c r="B130" s="9">
        <f>if('Point Intercept 1'!B130 = 'Point Intercept 2'!B130, 'Point Intercept 1'!B130, "ERROR")</f>
        <v>2025</v>
      </c>
      <c r="C130" s="14">
        <f>if('Point Intercept 1'!C130 = 'Point Intercept 2'!C130, 'Point Intercept 1'!C130, "ERROR")</f>
        <v>45755</v>
      </c>
      <c r="D130" s="9" t="str">
        <f>if('Point Intercept 1'!D130 = 'Point Intercept 2'!D130, 'Point Intercept 1'!D130, "ERROR")</f>
        <v>MP, TL, CG, BN</v>
      </c>
      <c r="E130" s="9" t="str">
        <f>if('Point Intercept 1'!E130 = 'Point Intercept 2'!E130, 'Point Intercept 1'!E130, "ERROR")</f>
        <v>VB</v>
      </c>
      <c r="F130" s="9">
        <f>if('Point Intercept 1'!F130 = 'Point Intercept 2'!F130, 'Point Intercept 1'!F130, "ERROR")</f>
        <v>1</v>
      </c>
      <c r="G130" s="9" t="str">
        <f>if('Point Intercept 1'!G130 = 'Point Intercept 2'!G130, 'Point Intercept 1'!G130, "ERROR")</f>
        <v>LU</v>
      </c>
      <c r="H130" s="9">
        <f>if('Point Intercept 1'!I130 = 'Point Intercept 2'!I130, 'Point Intercept 1'!I130, "ERROR")</f>
        <v>9</v>
      </c>
      <c r="I130" s="9">
        <f>if('Point Intercept 1'!H130 = 'Point Intercept 2'!H130, 'Point Intercept 1'!H130, "ERROR")</f>
        <v>1</v>
      </c>
      <c r="J130" s="9">
        <f>if('Point Intercept 1'!J130 = 'Point Intercept 2'!J130, 'Point Intercept 1'!J130, "ERROR")</f>
        <v>4</v>
      </c>
      <c r="K130" s="9" t="str">
        <f>if('Point Intercept 1'!K130 = 'Point Intercept 2'!K130, 'Point Intercept 1'!K130, "ERROR")</f>
        <v>EROCIC</v>
      </c>
      <c r="L130" s="9" t="str">
        <f>if('Point Intercept 1'!L130 = 'Point Intercept 2'!L130, 'Point Intercept 1'!L130, "ERROR")</f>
        <v>Erodium cicutarium</v>
      </c>
      <c r="M130" s="9" t="str">
        <f>if('Point Intercept 1'!N130 = 'Point Intercept 2'!M130, 'Point Intercept 1'!N130, "ERROR")</f>
        <v/>
      </c>
      <c r="N130" s="9" t="str">
        <f>if('Point Intercept 1'!O130 = 'Point Intercept 2'!N130, 'Point Intercept 1'!O130, "ERROR")</f>
        <v/>
      </c>
      <c r="O130" s="9" t="str">
        <f>if('Point Intercept 1'!P130 = 'Point Intercept 2'!O130, 'Point Intercept 1'!P130, "ERROR")</f>
        <v/>
      </c>
    </row>
    <row r="131">
      <c r="A131" s="9">
        <f>if('Point Intercept 1'!A131 = 'Point Intercept 2'!A131, 'Point Intercept 1'!A131, "ERROR")</f>
        <v>2</v>
      </c>
      <c r="B131" s="9">
        <f>if('Point Intercept 1'!B131 = 'Point Intercept 2'!B131, 'Point Intercept 1'!B131, "ERROR")</f>
        <v>2025</v>
      </c>
      <c r="C131" s="14">
        <f>if('Point Intercept 1'!C131 = 'Point Intercept 2'!C131, 'Point Intercept 1'!C131, "ERROR")</f>
        <v>45755</v>
      </c>
      <c r="D131" s="9" t="str">
        <f>if('Point Intercept 1'!D131 = 'Point Intercept 2'!D131, 'Point Intercept 1'!D131, "ERROR")</f>
        <v>MP, TL, CG, BN</v>
      </c>
      <c r="E131" s="9" t="str">
        <f>if('Point Intercept 1'!E131 = 'Point Intercept 2'!E131, 'Point Intercept 1'!E131, "ERROR")</f>
        <v>VB</v>
      </c>
      <c r="F131" s="9">
        <f>if('Point Intercept 1'!F131 = 'Point Intercept 2'!F131, 'Point Intercept 1'!F131, "ERROR")</f>
        <v>1</v>
      </c>
      <c r="G131" s="9" t="str">
        <f>if('Point Intercept 1'!G131 = 'Point Intercept 2'!G131, 'Point Intercept 1'!G131, "ERROR")</f>
        <v>LU</v>
      </c>
      <c r="H131" s="9">
        <f>if('Point Intercept 1'!I131 = 'Point Intercept 2'!I131, 'Point Intercept 1'!I131, "ERROR")</f>
        <v>10</v>
      </c>
      <c r="I131" s="9">
        <f>if('Point Intercept 1'!H131 = 'Point Intercept 2'!H131, 'Point Intercept 1'!H131, "ERROR")</f>
        <v>1</v>
      </c>
      <c r="J131" s="9">
        <f>if('Point Intercept 1'!J131 = 'Point Intercept 2'!J131, 'Point Intercept 1'!J131, "ERROR")</f>
        <v>4.5</v>
      </c>
      <c r="K131" s="9" t="str">
        <f>if('Point Intercept 1'!K131 = 'Point Intercept 2'!K131, 'Point Intercept 1'!K131, "ERROR")</f>
        <v>L</v>
      </c>
      <c r="L131" s="9" t="str">
        <f>if('Point Intercept 1'!L131 = 'Point Intercept 2'!L131, 'Point Intercept 1'!L131, "ERROR")</f>
        <v>Litter</v>
      </c>
      <c r="M131" s="9" t="str">
        <f>if('Point Intercept 1'!N131 = 'Point Intercept 2'!M131, 'Point Intercept 1'!N131, "ERROR")</f>
        <v/>
      </c>
      <c r="N131" s="9" t="str">
        <f>if('Point Intercept 1'!O131 = 'Point Intercept 2'!N131, 'Point Intercept 1'!O131, "ERROR")</f>
        <v/>
      </c>
      <c r="O131" s="9" t="str">
        <f>if('Point Intercept 1'!P131 = 'Point Intercept 2'!O131, 'Point Intercept 1'!P131, "ERROR")</f>
        <v/>
      </c>
    </row>
    <row r="132">
      <c r="A132" s="9">
        <f>if('Point Intercept 1'!A132 = 'Point Intercept 2'!A132, 'Point Intercept 1'!A132, "ERROR")</f>
        <v>2</v>
      </c>
      <c r="B132" s="9">
        <f>if('Point Intercept 1'!B132 = 'Point Intercept 2'!B132, 'Point Intercept 1'!B132, "ERROR")</f>
        <v>2025</v>
      </c>
      <c r="C132" s="14">
        <f>if('Point Intercept 1'!C132 = 'Point Intercept 2'!C132, 'Point Intercept 1'!C132, "ERROR")</f>
        <v>45755</v>
      </c>
      <c r="D132" s="9" t="str">
        <f>if('Point Intercept 1'!D132 = 'Point Intercept 2'!D132, 'Point Intercept 1'!D132, "ERROR")</f>
        <v>MP, TL, CG, BN</v>
      </c>
      <c r="E132" s="9" t="str">
        <f>if('Point Intercept 1'!E132 = 'Point Intercept 2'!E132, 'Point Intercept 1'!E132, "ERROR")</f>
        <v>VB</v>
      </c>
      <c r="F132" s="9">
        <f>if('Point Intercept 1'!F132 = 'Point Intercept 2'!F132, 'Point Intercept 1'!F132, "ERROR")</f>
        <v>1</v>
      </c>
      <c r="G132" s="9" t="str">
        <f>if('Point Intercept 1'!G132 = 'Point Intercept 2'!G132, 'Point Intercept 1'!G132, "ERROR")</f>
        <v>LU</v>
      </c>
      <c r="H132" s="9">
        <f>if('Point Intercept 1'!I132 = 'Point Intercept 2'!I132, 'Point Intercept 1'!I132, "ERROR")</f>
        <v>10</v>
      </c>
      <c r="I132" s="9">
        <f>if('Point Intercept 1'!H132 = 'Point Intercept 2'!H132, 'Point Intercept 1'!H132, "ERROR")</f>
        <v>1</v>
      </c>
      <c r="J132" s="9">
        <f>if('Point Intercept 1'!J132 = 'Point Intercept 2'!J132, 'Point Intercept 1'!J132, "ERROR")</f>
        <v>4.5</v>
      </c>
      <c r="K132" s="9" t="str">
        <f>if('Point Intercept 1'!K132 = 'Point Intercept 2'!K132, 'Point Intercept 1'!K132, "ERROR")</f>
        <v>DEIFAS</v>
      </c>
      <c r="L132" s="9" t="str">
        <f>if('Point Intercept 1'!L132 = 'Point Intercept 2'!L132, 'Point Intercept 1'!L132, "ERROR")</f>
        <v>Deinandra fasciculata</v>
      </c>
      <c r="M132" s="9" t="str">
        <f>if('Point Intercept 1'!N132 = 'Point Intercept 2'!M132, 'Point Intercept 1'!N132, "ERROR")</f>
        <v/>
      </c>
      <c r="N132" s="9" t="str">
        <f>if('Point Intercept 1'!O132 = 'Point Intercept 2'!N132, 'Point Intercept 1'!O132, "ERROR")</f>
        <v/>
      </c>
      <c r="O132" s="9" t="str">
        <f>if('Point Intercept 1'!P132 = 'Point Intercept 2'!O132, 'Point Intercept 1'!P132, "ERROR")</f>
        <v/>
      </c>
    </row>
    <row r="133">
      <c r="A133" s="9">
        <f>if('Point Intercept 1'!A133 = 'Point Intercept 2'!A133, 'Point Intercept 1'!A133, "ERROR")</f>
        <v>2</v>
      </c>
      <c r="B133" s="9">
        <f>if('Point Intercept 1'!B133 = 'Point Intercept 2'!B133, 'Point Intercept 1'!B133, "ERROR")</f>
        <v>2025</v>
      </c>
      <c r="C133" s="14">
        <f>if('Point Intercept 1'!C133 = 'Point Intercept 2'!C133, 'Point Intercept 1'!C133, "ERROR")</f>
        <v>45755</v>
      </c>
      <c r="D133" s="9" t="str">
        <f>if('Point Intercept 1'!D133 = 'Point Intercept 2'!D133, 'Point Intercept 1'!D133, "ERROR")</f>
        <v>MP, TL, CG, BN</v>
      </c>
      <c r="E133" s="9" t="str">
        <f>if('Point Intercept 1'!E133 = 'Point Intercept 2'!E133, 'Point Intercept 1'!E133, "ERROR")</f>
        <v>VB</v>
      </c>
      <c r="F133" s="9">
        <f>if('Point Intercept 1'!F133 = 'Point Intercept 2'!F133, 'Point Intercept 1'!F133, "ERROR")</f>
        <v>1</v>
      </c>
      <c r="G133" s="9" t="str">
        <f>if('Point Intercept 1'!G133 = 'Point Intercept 2'!G133, 'Point Intercept 1'!G133, "ERROR")</f>
        <v>LU</v>
      </c>
      <c r="H133" s="9">
        <f>if('Point Intercept 1'!I133 = 'Point Intercept 2'!I133, 'Point Intercept 1'!I133, "ERROR")</f>
        <v>10</v>
      </c>
      <c r="I133" s="9">
        <f>if('Point Intercept 1'!H133 = 'Point Intercept 2'!H133, 'Point Intercept 1'!H133, "ERROR")</f>
        <v>1</v>
      </c>
      <c r="J133" s="9">
        <f>if('Point Intercept 1'!J133 = 'Point Intercept 2'!J133, 'Point Intercept 1'!J133, "ERROR")</f>
        <v>4.5</v>
      </c>
      <c r="K133" s="9" t="str">
        <f>if('Point Intercept 1'!K133 = 'Point Intercept 2'!K133, 'Point Intercept 1'!K133, "ERROR")</f>
        <v>BROMAD</v>
      </c>
      <c r="L133" s="9" t="str">
        <f>if('Point Intercept 1'!L133 = 'Point Intercept 2'!L133, 'Point Intercept 1'!L133, "ERROR")</f>
        <v>Bromus madritensis</v>
      </c>
      <c r="M133" s="9" t="str">
        <f>if('Point Intercept 1'!N133 = 'Point Intercept 2'!M133, 'Point Intercept 1'!N133, "ERROR")</f>
        <v/>
      </c>
      <c r="N133" s="9" t="str">
        <f>if('Point Intercept 1'!O133 = 'Point Intercept 2'!N133, 'Point Intercept 1'!O133, "ERROR")</f>
        <v/>
      </c>
      <c r="O133" s="9" t="str">
        <f>if('Point Intercept 1'!P133 = 'Point Intercept 2'!O133, 'Point Intercept 1'!P133, "ERROR")</f>
        <v/>
      </c>
    </row>
    <row r="134">
      <c r="A134" s="9">
        <f>if('Point Intercept 1'!A134 = 'Point Intercept 2'!A134, 'Point Intercept 1'!A134, "ERROR")</f>
        <v>2</v>
      </c>
      <c r="B134" s="9">
        <f>if('Point Intercept 1'!B134 = 'Point Intercept 2'!B134, 'Point Intercept 1'!B134, "ERROR")</f>
        <v>2025</v>
      </c>
      <c r="C134" s="14">
        <f>if('Point Intercept 1'!C134 = 'Point Intercept 2'!C134, 'Point Intercept 1'!C134, "ERROR")</f>
        <v>45755</v>
      </c>
      <c r="D134" s="9" t="str">
        <f>if('Point Intercept 1'!D134 = 'Point Intercept 2'!D134, 'Point Intercept 1'!D134, "ERROR")</f>
        <v>MP, TL, CG, BN</v>
      </c>
      <c r="E134" s="9" t="str">
        <f>if('Point Intercept 1'!E134 = 'Point Intercept 2'!E134, 'Point Intercept 1'!E134, "ERROR")</f>
        <v>VB</v>
      </c>
      <c r="F134" s="9">
        <f>if('Point Intercept 1'!F134 = 'Point Intercept 2'!F134, 'Point Intercept 1'!F134, "ERROR")</f>
        <v>1</v>
      </c>
      <c r="G134" s="9" t="str">
        <f>if('Point Intercept 1'!G134 = 'Point Intercept 2'!G134, 'Point Intercept 1'!G134, "ERROR")</f>
        <v>LU</v>
      </c>
      <c r="H134" s="9">
        <f>if('Point Intercept 1'!I134 = 'Point Intercept 2'!I134, 'Point Intercept 1'!I134, "ERROR")</f>
        <v>11</v>
      </c>
      <c r="I134" s="9">
        <f>if('Point Intercept 1'!H134 = 'Point Intercept 2'!H134, 'Point Intercept 1'!H134, "ERROR")</f>
        <v>1</v>
      </c>
      <c r="J134" s="9">
        <f>if('Point Intercept 1'!J134 = 'Point Intercept 2'!J134, 'Point Intercept 1'!J134, "ERROR")</f>
        <v>5</v>
      </c>
      <c r="K134" s="9" t="str">
        <f>if('Point Intercept 1'!K134 = 'Point Intercept 2'!K134, 'Point Intercept 1'!K134, "ERROR")</f>
        <v>L</v>
      </c>
      <c r="L134" s="9" t="str">
        <f>if('Point Intercept 1'!L134 = 'Point Intercept 2'!L134, 'Point Intercept 1'!L134, "ERROR")</f>
        <v>Litter</v>
      </c>
      <c r="M134" s="9" t="str">
        <f>if('Point Intercept 1'!N134 = 'Point Intercept 2'!M134, 'Point Intercept 1'!N134, "ERROR")</f>
        <v/>
      </c>
      <c r="N134" s="9" t="str">
        <f>if('Point Intercept 1'!O134 = 'Point Intercept 2'!N134, 'Point Intercept 1'!O134, "ERROR")</f>
        <v/>
      </c>
      <c r="O134" s="9" t="str">
        <f>if('Point Intercept 1'!P134 = 'Point Intercept 2'!O134, 'Point Intercept 1'!P134, "ERROR")</f>
        <v/>
      </c>
    </row>
    <row r="135">
      <c r="A135" s="9">
        <f>if('Point Intercept 1'!A135 = 'Point Intercept 2'!A135, 'Point Intercept 1'!A135, "ERROR")</f>
        <v>2</v>
      </c>
      <c r="B135" s="9">
        <f>if('Point Intercept 1'!B135 = 'Point Intercept 2'!B135, 'Point Intercept 1'!B135, "ERROR")</f>
        <v>2025</v>
      </c>
      <c r="C135" s="14">
        <f>if('Point Intercept 1'!C135 = 'Point Intercept 2'!C135, 'Point Intercept 1'!C135, "ERROR")</f>
        <v>45755</v>
      </c>
      <c r="D135" s="9" t="str">
        <f>if('Point Intercept 1'!D135 = 'Point Intercept 2'!D135, 'Point Intercept 1'!D135, "ERROR")</f>
        <v>MP, TL, CG, BN</v>
      </c>
      <c r="E135" s="9" t="str">
        <f>if('Point Intercept 1'!E135 = 'Point Intercept 2'!E135, 'Point Intercept 1'!E135, "ERROR")</f>
        <v>VB</v>
      </c>
      <c r="F135" s="9">
        <f>if('Point Intercept 1'!F135 = 'Point Intercept 2'!F135, 'Point Intercept 1'!F135, "ERROR")</f>
        <v>1</v>
      </c>
      <c r="G135" s="9" t="str">
        <f>if('Point Intercept 1'!G135 = 'Point Intercept 2'!G135, 'Point Intercept 1'!G135, "ERROR")</f>
        <v>LU</v>
      </c>
      <c r="H135" s="9">
        <f>if('Point Intercept 1'!I135 = 'Point Intercept 2'!I135, 'Point Intercept 1'!I135, "ERROR")</f>
        <v>11</v>
      </c>
      <c r="I135" s="9">
        <f>if('Point Intercept 1'!H135 = 'Point Intercept 2'!H135, 'Point Intercept 1'!H135, "ERROR")</f>
        <v>1</v>
      </c>
      <c r="J135" s="9">
        <f>if('Point Intercept 1'!J135 = 'Point Intercept 2'!J135, 'Point Intercept 1'!J135, "ERROR")</f>
        <v>5</v>
      </c>
      <c r="K135" s="9" t="str">
        <f>if('Point Intercept 1'!K135 = 'Point Intercept 2'!K135, 'Point Intercept 1'!K135, "ERROR")</f>
        <v>DEIFAS</v>
      </c>
      <c r="L135" s="9" t="str">
        <f>if('Point Intercept 1'!L135 = 'Point Intercept 2'!L135, 'Point Intercept 1'!L135, "ERROR")</f>
        <v>Deinandra fasciculata</v>
      </c>
      <c r="M135" s="9" t="str">
        <f>if('Point Intercept 1'!N135 = 'Point Intercept 2'!M135, 'Point Intercept 1'!N135, "ERROR")</f>
        <v/>
      </c>
      <c r="N135" s="9" t="str">
        <f>if('Point Intercept 1'!O135 = 'Point Intercept 2'!N135, 'Point Intercept 1'!O135, "ERROR")</f>
        <v/>
      </c>
      <c r="O135" s="9" t="str">
        <f>if('Point Intercept 1'!P135 = 'Point Intercept 2'!O135, 'Point Intercept 1'!P135, "ERROR")</f>
        <v/>
      </c>
    </row>
    <row r="136">
      <c r="A136" s="9">
        <f>if('Point Intercept 1'!A136 = 'Point Intercept 2'!A136, 'Point Intercept 1'!A136, "ERROR")</f>
        <v>2</v>
      </c>
      <c r="B136" s="9">
        <f>if('Point Intercept 1'!B136 = 'Point Intercept 2'!B136, 'Point Intercept 1'!B136, "ERROR")</f>
        <v>2025</v>
      </c>
      <c r="C136" s="14">
        <f>if('Point Intercept 1'!C136 = 'Point Intercept 2'!C136, 'Point Intercept 1'!C136, "ERROR")</f>
        <v>45755</v>
      </c>
      <c r="D136" s="9" t="str">
        <f>if('Point Intercept 1'!D136 = 'Point Intercept 2'!D136, 'Point Intercept 1'!D136, "ERROR")</f>
        <v>MP, TL, CG, BN</v>
      </c>
      <c r="E136" s="9" t="str">
        <f>if('Point Intercept 1'!E136 = 'Point Intercept 2'!E136, 'Point Intercept 1'!E136, "ERROR")</f>
        <v>VB</v>
      </c>
      <c r="F136" s="9">
        <f>if('Point Intercept 1'!F136 = 'Point Intercept 2'!F136, 'Point Intercept 1'!F136, "ERROR")</f>
        <v>1</v>
      </c>
      <c r="G136" s="9" t="str">
        <f>if('Point Intercept 1'!G136 = 'Point Intercept 2'!G136, 'Point Intercept 1'!G136, "ERROR")</f>
        <v>LU</v>
      </c>
      <c r="H136" s="9">
        <f>if('Point Intercept 1'!I136 = 'Point Intercept 2'!I136, 'Point Intercept 1'!I136, "ERROR")</f>
        <v>11</v>
      </c>
      <c r="I136" s="9">
        <f>if('Point Intercept 1'!H136 = 'Point Intercept 2'!H136, 'Point Intercept 1'!H136, "ERROR")</f>
        <v>1</v>
      </c>
      <c r="J136" s="9">
        <f>if('Point Intercept 1'!J136 = 'Point Intercept 2'!J136, 'Point Intercept 1'!J136, "ERROR")</f>
        <v>5</v>
      </c>
      <c r="K136" s="9" t="str">
        <f>if('Point Intercept 1'!K136 = 'Point Intercept 2'!K136, 'Point Intercept 1'!K136, "ERROR")</f>
        <v>BROMAD</v>
      </c>
      <c r="L136" s="9" t="str">
        <f>if('Point Intercept 1'!L136 = 'Point Intercept 2'!L136, 'Point Intercept 1'!L136, "ERROR")</f>
        <v>Bromus madritensis</v>
      </c>
      <c r="M136" s="9" t="str">
        <f>if('Point Intercept 1'!N136 = 'Point Intercept 2'!M136, 'Point Intercept 1'!N136, "ERROR")</f>
        <v/>
      </c>
      <c r="N136" s="9" t="str">
        <f>if('Point Intercept 1'!O136 = 'Point Intercept 2'!N136, 'Point Intercept 1'!O136, "ERROR")</f>
        <v/>
      </c>
      <c r="O136" s="9" t="str">
        <f>if('Point Intercept 1'!P136 = 'Point Intercept 2'!O136, 'Point Intercept 1'!P136, "ERROR")</f>
        <v/>
      </c>
    </row>
    <row r="137">
      <c r="A137" s="9">
        <f>if('Point Intercept 1'!A137 = 'Point Intercept 2'!A137, 'Point Intercept 1'!A137, "ERROR")</f>
        <v>2</v>
      </c>
      <c r="B137" s="9">
        <f>if('Point Intercept 1'!B137 = 'Point Intercept 2'!B137, 'Point Intercept 1'!B137, "ERROR")</f>
        <v>2025</v>
      </c>
      <c r="C137" s="14">
        <f>if('Point Intercept 1'!C137 = 'Point Intercept 2'!C137, 'Point Intercept 1'!C137, "ERROR")</f>
        <v>45755</v>
      </c>
      <c r="D137" s="9" t="str">
        <f>if('Point Intercept 1'!D137 = 'Point Intercept 2'!D137, 'Point Intercept 1'!D137, "ERROR")</f>
        <v>MP, TL, CG, BN</v>
      </c>
      <c r="E137" s="9" t="str">
        <f>if('Point Intercept 1'!E137 = 'Point Intercept 2'!E137, 'Point Intercept 1'!E137, "ERROR")</f>
        <v>VB</v>
      </c>
      <c r="F137" s="9">
        <f>if('Point Intercept 1'!F137 = 'Point Intercept 2'!F137, 'Point Intercept 1'!F137, "ERROR")</f>
        <v>1</v>
      </c>
      <c r="G137" s="9" t="str">
        <f>if('Point Intercept 1'!G137 = 'Point Intercept 2'!G137, 'Point Intercept 1'!G137, "ERROR")</f>
        <v>LU</v>
      </c>
      <c r="H137" s="9">
        <f>if('Point Intercept 1'!I137 = 'Point Intercept 2'!I137, 'Point Intercept 1'!I137, "ERROR")</f>
        <v>12</v>
      </c>
      <c r="I137" s="9">
        <f>if('Point Intercept 1'!H137 = 'Point Intercept 2'!H137, 'Point Intercept 1'!H137, "ERROR")</f>
        <v>1</v>
      </c>
      <c r="J137" s="9">
        <f>if('Point Intercept 1'!J137 = 'Point Intercept 2'!J137, 'Point Intercept 1'!J137, "ERROR")</f>
        <v>5.5</v>
      </c>
      <c r="K137" s="9" t="str">
        <f>if('Point Intercept 1'!K137 = 'Point Intercept 2'!K137, 'Point Intercept 1'!K137, "ERROR")</f>
        <v>L</v>
      </c>
      <c r="L137" s="9" t="str">
        <f>if('Point Intercept 1'!L137 = 'Point Intercept 2'!L137, 'Point Intercept 1'!L137, "ERROR")</f>
        <v>Litter</v>
      </c>
      <c r="M137" s="9" t="str">
        <f>if('Point Intercept 1'!N137 = 'Point Intercept 2'!M137, 'Point Intercept 1'!N137, "ERROR")</f>
        <v/>
      </c>
      <c r="N137" s="9" t="str">
        <f>if('Point Intercept 1'!O137 = 'Point Intercept 2'!N137, 'Point Intercept 1'!O137, "ERROR")</f>
        <v/>
      </c>
      <c r="O137" s="9" t="str">
        <f>if('Point Intercept 1'!P137 = 'Point Intercept 2'!O137, 'Point Intercept 1'!P137, "ERROR")</f>
        <v/>
      </c>
    </row>
    <row r="138">
      <c r="A138" s="9">
        <f>if('Point Intercept 1'!A138 = 'Point Intercept 2'!A138, 'Point Intercept 1'!A138, "ERROR")</f>
        <v>2</v>
      </c>
      <c r="B138" s="9">
        <f>if('Point Intercept 1'!B138 = 'Point Intercept 2'!B138, 'Point Intercept 1'!B138, "ERROR")</f>
        <v>2025</v>
      </c>
      <c r="C138" s="14">
        <f>if('Point Intercept 1'!C138 = 'Point Intercept 2'!C138, 'Point Intercept 1'!C138, "ERROR")</f>
        <v>45755</v>
      </c>
      <c r="D138" s="9" t="str">
        <f>if('Point Intercept 1'!D138 = 'Point Intercept 2'!D138, 'Point Intercept 1'!D138, "ERROR")</f>
        <v>MP, TL, CG, BN</v>
      </c>
      <c r="E138" s="9" t="str">
        <f>if('Point Intercept 1'!E138 = 'Point Intercept 2'!E138, 'Point Intercept 1'!E138, "ERROR")</f>
        <v>VB</v>
      </c>
      <c r="F138" s="9">
        <f>if('Point Intercept 1'!F138 = 'Point Intercept 2'!F138, 'Point Intercept 1'!F138, "ERROR")</f>
        <v>1</v>
      </c>
      <c r="G138" s="9" t="str">
        <f>if('Point Intercept 1'!G138 = 'Point Intercept 2'!G138, 'Point Intercept 1'!G138, "ERROR")</f>
        <v>LU</v>
      </c>
      <c r="H138" s="9">
        <f>if('Point Intercept 1'!I138 = 'Point Intercept 2'!I138, 'Point Intercept 1'!I138, "ERROR")</f>
        <v>12</v>
      </c>
      <c r="I138" s="9">
        <f>if('Point Intercept 1'!H138 = 'Point Intercept 2'!H138, 'Point Intercept 1'!H138, "ERROR")</f>
        <v>1</v>
      </c>
      <c r="J138" s="9">
        <f>if('Point Intercept 1'!J138 = 'Point Intercept 2'!J138, 'Point Intercept 1'!J138, "ERROR")</f>
        <v>5.5</v>
      </c>
      <c r="K138" s="9" t="str">
        <f>if('Point Intercept 1'!K138 = 'Point Intercept 2'!K138, 'Point Intercept 1'!K138, "ERROR")</f>
        <v>SONASP</v>
      </c>
      <c r="L138" s="9" t="str">
        <f>if('Point Intercept 1'!L138 = 'Point Intercept 2'!L138, 'Point Intercept 1'!L138, "ERROR")</f>
        <v>Sonchus asper</v>
      </c>
      <c r="M138" s="9" t="str">
        <f>if('Point Intercept 1'!N138 = 'Point Intercept 2'!M138, 'Point Intercept 1'!N138, "ERROR")</f>
        <v/>
      </c>
      <c r="N138" s="9" t="str">
        <f>if('Point Intercept 1'!O138 = 'Point Intercept 2'!N138, 'Point Intercept 1'!O138, "ERROR")</f>
        <v/>
      </c>
      <c r="O138" s="9" t="str">
        <f>if('Point Intercept 1'!P138 = 'Point Intercept 2'!O138, 'Point Intercept 1'!P138, "ERROR")</f>
        <v/>
      </c>
    </row>
    <row r="139">
      <c r="A139" s="9">
        <f>if('Point Intercept 1'!A139 = 'Point Intercept 2'!A139, 'Point Intercept 1'!A139, "ERROR")</f>
        <v>2</v>
      </c>
      <c r="B139" s="9">
        <f>if('Point Intercept 1'!B139 = 'Point Intercept 2'!B139, 'Point Intercept 1'!B139, "ERROR")</f>
        <v>2025</v>
      </c>
      <c r="C139" s="14">
        <f>if('Point Intercept 1'!C139 = 'Point Intercept 2'!C139, 'Point Intercept 1'!C139, "ERROR")</f>
        <v>45755</v>
      </c>
      <c r="D139" s="9" t="str">
        <f>if('Point Intercept 1'!D139 = 'Point Intercept 2'!D139, 'Point Intercept 1'!D139, "ERROR")</f>
        <v>MP, TL, CG, BN</v>
      </c>
      <c r="E139" s="9" t="str">
        <f>if('Point Intercept 1'!E139 = 'Point Intercept 2'!E139, 'Point Intercept 1'!E139, "ERROR")</f>
        <v>VB</v>
      </c>
      <c r="F139" s="9">
        <f>if('Point Intercept 1'!F139 = 'Point Intercept 2'!F139, 'Point Intercept 1'!F139, "ERROR")</f>
        <v>1</v>
      </c>
      <c r="G139" s="9" t="str">
        <f>if('Point Intercept 1'!G139 = 'Point Intercept 2'!G139, 'Point Intercept 1'!G139, "ERROR")</f>
        <v>LU</v>
      </c>
      <c r="H139" s="9">
        <f>if('Point Intercept 1'!I139 = 'Point Intercept 2'!I139, 'Point Intercept 1'!I139, "ERROR")</f>
        <v>13</v>
      </c>
      <c r="I139" s="9">
        <f>if('Point Intercept 1'!H139 = 'Point Intercept 2'!H139, 'Point Intercept 1'!H139, "ERROR")</f>
        <v>1</v>
      </c>
      <c r="J139" s="9">
        <f>if('Point Intercept 1'!J139 = 'Point Intercept 2'!J139, 'Point Intercept 1'!J139, "ERROR")</f>
        <v>6.5</v>
      </c>
      <c r="K139" s="9" t="str">
        <f>if('Point Intercept 1'!K139 = 'Point Intercept 2'!K139, 'Point Intercept 1'!K139, "ERROR")</f>
        <v>L</v>
      </c>
      <c r="L139" s="9" t="str">
        <f>if('Point Intercept 1'!L139 = 'Point Intercept 2'!L139, 'Point Intercept 1'!L139, "ERROR")</f>
        <v>Litter</v>
      </c>
      <c r="M139" s="9" t="str">
        <f>if('Point Intercept 1'!N139 = 'Point Intercept 2'!M139, 'Point Intercept 1'!N139, "ERROR")</f>
        <v/>
      </c>
      <c r="N139" s="9" t="str">
        <f>if('Point Intercept 1'!O139 = 'Point Intercept 2'!N139, 'Point Intercept 1'!O139, "ERROR")</f>
        <v/>
      </c>
      <c r="O139" s="9" t="str">
        <f>if('Point Intercept 1'!P139 = 'Point Intercept 2'!O139, 'Point Intercept 1'!P139, "ERROR")</f>
        <v/>
      </c>
    </row>
    <row r="140">
      <c r="A140" s="9">
        <f>if('Point Intercept 1'!A140 = 'Point Intercept 2'!A140, 'Point Intercept 1'!A140, "ERROR")</f>
        <v>2</v>
      </c>
      <c r="B140" s="9">
        <f>if('Point Intercept 1'!B140 = 'Point Intercept 2'!B140, 'Point Intercept 1'!B140, "ERROR")</f>
        <v>2025</v>
      </c>
      <c r="C140" s="14">
        <f>if('Point Intercept 1'!C140 = 'Point Intercept 2'!C140, 'Point Intercept 1'!C140, "ERROR")</f>
        <v>45755</v>
      </c>
      <c r="D140" s="9" t="str">
        <f>if('Point Intercept 1'!D140 = 'Point Intercept 2'!D140, 'Point Intercept 1'!D140, "ERROR")</f>
        <v>MP, TL, CG, BN</v>
      </c>
      <c r="E140" s="9" t="str">
        <f>if('Point Intercept 1'!E140 = 'Point Intercept 2'!E140, 'Point Intercept 1'!E140, "ERROR")</f>
        <v>VB</v>
      </c>
      <c r="F140" s="9">
        <f>if('Point Intercept 1'!F140 = 'Point Intercept 2'!F140, 'Point Intercept 1'!F140, "ERROR")</f>
        <v>1</v>
      </c>
      <c r="G140" s="9" t="str">
        <f>if('Point Intercept 1'!G140 = 'Point Intercept 2'!G140, 'Point Intercept 1'!G140, "ERROR")</f>
        <v>LU</v>
      </c>
      <c r="H140" s="9">
        <f>if('Point Intercept 1'!I140 = 'Point Intercept 2'!I140, 'Point Intercept 1'!I140, "ERROR")</f>
        <v>13</v>
      </c>
      <c r="I140" s="9">
        <f>if('Point Intercept 1'!H140 = 'Point Intercept 2'!H140, 'Point Intercept 1'!H140, "ERROR")</f>
        <v>1</v>
      </c>
      <c r="J140" s="9">
        <f>if('Point Intercept 1'!J140 = 'Point Intercept 2'!J140, 'Point Intercept 1'!J140, "ERROR")</f>
        <v>6.5</v>
      </c>
      <c r="K140" s="9" t="str">
        <f>if('Point Intercept 1'!K140 = 'Point Intercept 2'!K140, 'Point Intercept 1'!K140, "ERROR")</f>
        <v>CENMEL</v>
      </c>
      <c r="L140" s="9" t="str">
        <f>if('Point Intercept 1'!L140 = 'Point Intercept 2'!L140, 'Point Intercept 1'!L140, "ERROR")</f>
        <v>Centaurea melitensis</v>
      </c>
      <c r="M140" s="9" t="str">
        <f>if('Point Intercept 1'!N140 = 'Point Intercept 2'!M140, 'Point Intercept 1'!N140, "ERROR")</f>
        <v/>
      </c>
      <c r="N140" s="9" t="str">
        <f>if('Point Intercept 1'!O140 = 'Point Intercept 2'!N140, 'Point Intercept 1'!O140, "ERROR")</f>
        <v/>
      </c>
      <c r="O140" s="9" t="str">
        <f>if('Point Intercept 1'!P140 = 'Point Intercept 2'!O140, 'Point Intercept 1'!P140, "ERROR")</f>
        <v/>
      </c>
    </row>
    <row r="141">
      <c r="A141" s="9">
        <f>if('Point Intercept 1'!A141 = 'Point Intercept 2'!A141, 'Point Intercept 1'!A141, "ERROR")</f>
        <v>2</v>
      </c>
      <c r="B141" s="9">
        <f>if('Point Intercept 1'!B141 = 'Point Intercept 2'!B141, 'Point Intercept 1'!B141, "ERROR")</f>
        <v>2025</v>
      </c>
      <c r="C141" s="14">
        <f>if('Point Intercept 1'!C141 = 'Point Intercept 2'!C141, 'Point Intercept 1'!C141, "ERROR")</f>
        <v>45755</v>
      </c>
      <c r="D141" s="9" t="str">
        <f>if('Point Intercept 1'!D141 = 'Point Intercept 2'!D141, 'Point Intercept 1'!D141, "ERROR")</f>
        <v>MP, TL, CG, BN</v>
      </c>
      <c r="E141" s="9" t="str">
        <f>if('Point Intercept 1'!E141 = 'Point Intercept 2'!E141, 'Point Intercept 1'!E141, "ERROR")</f>
        <v>VB</v>
      </c>
      <c r="F141" s="9">
        <f>if('Point Intercept 1'!F141 = 'Point Intercept 2'!F141, 'Point Intercept 1'!F141, "ERROR")</f>
        <v>1</v>
      </c>
      <c r="G141" s="9" t="str">
        <f>if('Point Intercept 1'!G141 = 'Point Intercept 2'!G141, 'Point Intercept 1'!G141, "ERROR")</f>
        <v>LU</v>
      </c>
      <c r="H141" s="9">
        <f>if('Point Intercept 1'!I141 = 'Point Intercept 2'!I141, 'Point Intercept 1'!I141, "ERROR")</f>
        <v>13</v>
      </c>
      <c r="I141" s="9">
        <f>if('Point Intercept 1'!H141 = 'Point Intercept 2'!H141, 'Point Intercept 1'!H141, "ERROR")</f>
        <v>1</v>
      </c>
      <c r="J141" s="9">
        <f>if('Point Intercept 1'!J141 = 'Point Intercept 2'!J141, 'Point Intercept 1'!J141, "ERROR")</f>
        <v>6.5</v>
      </c>
      <c r="K141" s="9" t="str">
        <f>if('Point Intercept 1'!K141 = 'Point Intercept 2'!K141, 'Point Intercept 1'!K141, "ERROR")</f>
        <v>EROCIC</v>
      </c>
      <c r="L141" s="9" t="str">
        <f>if('Point Intercept 1'!L141 = 'Point Intercept 2'!L141, 'Point Intercept 1'!L141, "ERROR")</f>
        <v>Erodium cicutarium</v>
      </c>
      <c r="M141" s="9" t="str">
        <f>if('Point Intercept 1'!N141 = 'Point Intercept 2'!M141, 'Point Intercept 1'!N141, "ERROR")</f>
        <v/>
      </c>
      <c r="N141" s="9" t="str">
        <f>if('Point Intercept 1'!O141 = 'Point Intercept 2'!N141, 'Point Intercept 1'!O141, "ERROR")</f>
        <v/>
      </c>
      <c r="O141" s="9" t="str">
        <f>if('Point Intercept 1'!P141 = 'Point Intercept 2'!O141, 'Point Intercept 1'!P141, "ERROR")</f>
        <v/>
      </c>
    </row>
    <row r="142">
      <c r="A142" s="9">
        <f>if('Point Intercept 1'!A142 = 'Point Intercept 2'!A142, 'Point Intercept 1'!A142, "ERROR")</f>
        <v>2</v>
      </c>
      <c r="B142" s="9">
        <f>if('Point Intercept 1'!B142 = 'Point Intercept 2'!B142, 'Point Intercept 1'!B142, "ERROR")</f>
        <v>2025</v>
      </c>
      <c r="C142" s="14">
        <f>if('Point Intercept 1'!C142 = 'Point Intercept 2'!C142, 'Point Intercept 1'!C142, "ERROR")</f>
        <v>45755</v>
      </c>
      <c r="D142" s="9" t="str">
        <f>if('Point Intercept 1'!D142 = 'Point Intercept 2'!D142, 'Point Intercept 1'!D142, "ERROR")</f>
        <v>MP, TL, CG, BN</v>
      </c>
      <c r="E142" s="9" t="str">
        <f>if('Point Intercept 1'!E142 = 'Point Intercept 2'!E142, 'Point Intercept 1'!E142, "ERROR")</f>
        <v>VB</v>
      </c>
      <c r="F142" s="9">
        <f>if('Point Intercept 1'!F142 = 'Point Intercept 2'!F142, 'Point Intercept 1'!F142, "ERROR")</f>
        <v>1</v>
      </c>
      <c r="G142" s="9" t="str">
        <f>if('Point Intercept 1'!G142 = 'Point Intercept 2'!G142, 'Point Intercept 1'!G142, "ERROR")</f>
        <v>LU</v>
      </c>
      <c r="H142" s="9">
        <f>if('Point Intercept 1'!I142 = 'Point Intercept 2'!I142, 'Point Intercept 1'!I142, "ERROR")</f>
        <v>14</v>
      </c>
      <c r="I142" s="9">
        <f>if('Point Intercept 1'!H142 = 'Point Intercept 2'!H142, 'Point Intercept 1'!H142, "ERROR")</f>
        <v>1</v>
      </c>
      <c r="J142" s="9">
        <f>if('Point Intercept 1'!J142 = 'Point Intercept 2'!J142, 'Point Intercept 1'!J142, "ERROR")</f>
        <v>7</v>
      </c>
      <c r="K142" s="9" t="str">
        <f>if('Point Intercept 1'!K142 = 'Point Intercept 2'!K142, 'Point Intercept 1'!K142, "ERROR")</f>
        <v>L</v>
      </c>
      <c r="L142" s="9" t="str">
        <f>if('Point Intercept 1'!L142 = 'Point Intercept 2'!L142, 'Point Intercept 1'!L142, "ERROR")</f>
        <v>Litter</v>
      </c>
      <c r="M142" s="9" t="str">
        <f>if('Point Intercept 1'!N142 = 'Point Intercept 2'!M142, 'Point Intercept 1'!N142, "ERROR")</f>
        <v/>
      </c>
      <c r="N142" s="9" t="str">
        <f>if('Point Intercept 1'!O142 = 'Point Intercept 2'!N142, 'Point Intercept 1'!O142, "ERROR")</f>
        <v/>
      </c>
      <c r="O142" s="9" t="str">
        <f>if('Point Intercept 1'!P142 = 'Point Intercept 2'!O142, 'Point Intercept 1'!P142, "ERROR")</f>
        <v/>
      </c>
    </row>
    <row r="143">
      <c r="A143" s="9">
        <f>if('Point Intercept 1'!A143 = 'Point Intercept 2'!A143, 'Point Intercept 1'!A143, "ERROR")</f>
        <v>2</v>
      </c>
      <c r="B143" s="9">
        <f>if('Point Intercept 1'!B143 = 'Point Intercept 2'!B143, 'Point Intercept 1'!B143, "ERROR")</f>
        <v>2025</v>
      </c>
      <c r="C143" s="14">
        <f>if('Point Intercept 1'!C143 = 'Point Intercept 2'!C143, 'Point Intercept 1'!C143, "ERROR")</f>
        <v>45755</v>
      </c>
      <c r="D143" s="9" t="str">
        <f>if('Point Intercept 1'!D143 = 'Point Intercept 2'!D143, 'Point Intercept 1'!D143, "ERROR")</f>
        <v>MP, TL, CG, BN</v>
      </c>
      <c r="E143" s="9" t="str">
        <f>if('Point Intercept 1'!E143 = 'Point Intercept 2'!E143, 'Point Intercept 1'!E143, "ERROR")</f>
        <v>VB</v>
      </c>
      <c r="F143" s="9">
        <f>if('Point Intercept 1'!F143 = 'Point Intercept 2'!F143, 'Point Intercept 1'!F143, "ERROR")</f>
        <v>1</v>
      </c>
      <c r="G143" s="9" t="str">
        <f>if('Point Intercept 1'!G143 = 'Point Intercept 2'!G143, 'Point Intercept 1'!G143, "ERROR")</f>
        <v>LU</v>
      </c>
      <c r="H143" s="9">
        <f>if('Point Intercept 1'!I143 = 'Point Intercept 2'!I143, 'Point Intercept 1'!I143, "ERROR")</f>
        <v>14</v>
      </c>
      <c r="I143" s="9">
        <f>if('Point Intercept 1'!H143 = 'Point Intercept 2'!H143, 'Point Intercept 1'!H143, "ERROR")</f>
        <v>1</v>
      </c>
      <c r="J143" s="9">
        <f>if('Point Intercept 1'!J143 = 'Point Intercept 2'!J143, 'Point Intercept 1'!J143, "ERROR")</f>
        <v>7</v>
      </c>
      <c r="K143" s="9" t="str">
        <f>if('Point Intercept 1'!K143 = 'Point Intercept 2'!K143, 'Point Intercept 1'!K143, "ERROR")</f>
        <v>SONOLE</v>
      </c>
      <c r="L143" s="9" t="str">
        <f>if('Point Intercept 1'!L143 = 'Point Intercept 2'!L143, 'Point Intercept 1'!L143, "ERROR")</f>
        <v>Sonchus oleraceus</v>
      </c>
      <c r="M143" s="9" t="str">
        <f>if('Point Intercept 1'!N143 = 'Point Intercept 2'!M143, 'Point Intercept 1'!N143, "ERROR")</f>
        <v/>
      </c>
      <c r="N143" s="9" t="str">
        <f>if('Point Intercept 1'!O143 = 'Point Intercept 2'!N143, 'Point Intercept 1'!O143, "ERROR")</f>
        <v/>
      </c>
      <c r="O143" s="9" t="str">
        <f>if('Point Intercept 1'!P143 = 'Point Intercept 2'!O143, 'Point Intercept 1'!P143, "ERROR")</f>
        <v/>
      </c>
    </row>
    <row r="144">
      <c r="A144" s="9">
        <f>if('Point Intercept 1'!A144 = 'Point Intercept 2'!A144, 'Point Intercept 1'!A144, "ERROR")</f>
        <v>2</v>
      </c>
      <c r="B144" s="9">
        <f>if('Point Intercept 1'!B144 = 'Point Intercept 2'!B144, 'Point Intercept 1'!B144, "ERROR")</f>
        <v>2025</v>
      </c>
      <c r="C144" s="14">
        <f>if('Point Intercept 1'!C144 = 'Point Intercept 2'!C144, 'Point Intercept 1'!C144, "ERROR")</f>
        <v>45755</v>
      </c>
      <c r="D144" s="9" t="str">
        <f>if('Point Intercept 1'!D144 = 'Point Intercept 2'!D144, 'Point Intercept 1'!D144, "ERROR")</f>
        <v>MP, TL, CG, BN</v>
      </c>
      <c r="E144" s="9" t="str">
        <f>if('Point Intercept 1'!E144 = 'Point Intercept 2'!E144, 'Point Intercept 1'!E144, "ERROR")</f>
        <v>VB</v>
      </c>
      <c r="F144" s="9">
        <f>if('Point Intercept 1'!F144 = 'Point Intercept 2'!F144, 'Point Intercept 1'!F144, "ERROR")</f>
        <v>1</v>
      </c>
      <c r="G144" s="9" t="str">
        <f>if('Point Intercept 1'!G144 = 'Point Intercept 2'!G144, 'Point Intercept 1'!G144, "ERROR")</f>
        <v>LU</v>
      </c>
      <c r="H144" s="9">
        <f>if('Point Intercept 1'!I144 = 'Point Intercept 2'!I144, 'Point Intercept 1'!I144, "ERROR")</f>
        <v>15</v>
      </c>
      <c r="I144" s="9">
        <f>if('Point Intercept 1'!H144 = 'Point Intercept 2'!H144, 'Point Intercept 1'!H144, "ERROR")</f>
        <v>1</v>
      </c>
      <c r="J144" s="9">
        <f>if('Point Intercept 1'!J144 = 'Point Intercept 2'!J144, 'Point Intercept 1'!J144, "ERROR")</f>
        <v>7.5</v>
      </c>
      <c r="K144" s="9" t="str">
        <f>if('Point Intercept 1'!K144 = 'Point Intercept 2'!K144, 'Point Intercept 1'!K144, "ERROR")</f>
        <v>L</v>
      </c>
      <c r="L144" s="9" t="str">
        <f>if('Point Intercept 1'!L144 = 'Point Intercept 2'!L144, 'Point Intercept 1'!L144, "ERROR")</f>
        <v>Litter</v>
      </c>
      <c r="M144" s="9" t="str">
        <f>if('Point Intercept 1'!N144 = 'Point Intercept 2'!M144, 'Point Intercept 1'!N144, "ERROR")</f>
        <v/>
      </c>
      <c r="N144" s="9" t="str">
        <f>if('Point Intercept 1'!O144 = 'Point Intercept 2'!N144, 'Point Intercept 1'!O144, "ERROR")</f>
        <v/>
      </c>
      <c r="O144" s="9" t="str">
        <f>if('Point Intercept 1'!P144 = 'Point Intercept 2'!O144, 'Point Intercept 1'!P144, "ERROR")</f>
        <v/>
      </c>
    </row>
    <row r="145">
      <c r="A145" s="9">
        <f>if('Point Intercept 1'!A145 = 'Point Intercept 2'!A145, 'Point Intercept 1'!A145, "ERROR")</f>
        <v>2</v>
      </c>
      <c r="B145" s="9">
        <f>if('Point Intercept 1'!B145 = 'Point Intercept 2'!B145, 'Point Intercept 1'!B145, "ERROR")</f>
        <v>2025</v>
      </c>
      <c r="C145" s="14">
        <f>if('Point Intercept 1'!C145 = 'Point Intercept 2'!C145, 'Point Intercept 1'!C145, "ERROR")</f>
        <v>45755</v>
      </c>
      <c r="D145" s="9" t="str">
        <f>if('Point Intercept 1'!D145 = 'Point Intercept 2'!D145, 'Point Intercept 1'!D145, "ERROR")</f>
        <v>MP, TL, CG, BN</v>
      </c>
      <c r="E145" s="9" t="str">
        <f>if('Point Intercept 1'!E145 = 'Point Intercept 2'!E145, 'Point Intercept 1'!E145, "ERROR")</f>
        <v>VB</v>
      </c>
      <c r="F145" s="9">
        <f>if('Point Intercept 1'!F145 = 'Point Intercept 2'!F145, 'Point Intercept 1'!F145, "ERROR")</f>
        <v>1</v>
      </c>
      <c r="G145" s="9" t="str">
        <f>if('Point Intercept 1'!G145 = 'Point Intercept 2'!G145, 'Point Intercept 1'!G145, "ERROR")</f>
        <v>LU</v>
      </c>
      <c r="H145" s="9">
        <f>if('Point Intercept 1'!I145 = 'Point Intercept 2'!I145, 'Point Intercept 1'!I145, "ERROR")</f>
        <v>15</v>
      </c>
      <c r="I145" s="9">
        <f>if('Point Intercept 1'!H145 = 'Point Intercept 2'!H145, 'Point Intercept 1'!H145, "ERROR")</f>
        <v>1</v>
      </c>
      <c r="J145" s="9">
        <f>if('Point Intercept 1'!J145 = 'Point Intercept 2'!J145, 'Point Intercept 1'!J145, "ERROR")</f>
        <v>7.5</v>
      </c>
      <c r="K145" s="9" t="str">
        <f>if('Point Intercept 1'!K145 = 'Point Intercept 2'!K145, 'Point Intercept 1'!K145, "ERROR")</f>
        <v>ANAARV</v>
      </c>
      <c r="L145" s="9" t="str">
        <f>if('Point Intercept 1'!L145 = 'Point Intercept 2'!L145, 'Point Intercept 1'!L145, "ERROR")</f>
        <v>Anagallis arvensis</v>
      </c>
      <c r="M145" s="9" t="str">
        <f>if('Point Intercept 1'!N145 = 'Point Intercept 2'!M145, 'Point Intercept 1'!N145, "ERROR")</f>
        <v/>
      </c>
      <c r="N145" s="9" t="str">
        <f>if('Point Intercept 1'!O145 = 'Point Intercept 2'!N145, 'Point Intercept 1'!O145, "ERROR")</f>
        <v/>
      </c>
      <c r="O145" s="9" t="str">
        <f>if('Point Intercept 1'!P145 = 'Point Intercept 2'!O145, 'Point Intercept 1'!P145, "ERROR")</f>
        <v/>
      </c>
    </row>
    <row r="146">
      <c r="A146" s="9">
        <f>if('Point Intercept 1'!A146 = 'Point Intercept 2'!A146, 'Point Intercept 1'!A146, "ERROR")</f>
        <v>2</v>
      </c>
      <c r="B146" s="9">
        <f>if('Point Intercept 1'!B146 = 'Point Intercept 2'!B146, 'Point Intercept 1'!B146, "ERROR")</f>
        <v>2025</v>
      </c>
      <c r="C146" s="14">
        <f>if('Point Intercept 1'!C146 = 'Point Intercept 2'!C146, 'Point Intercept 1'!C146, "ERROR")</f>
        <v>45755</v>
      </c>
      <c r="D146" s="9" t="str">
        <f>if('Point Intercept 1'!D146 = 'Point Intercept 2'!D146, 'Point Intercept 1'!D146, "ERROR")</f>
        <v>MP, TL, CG, BN</v>
      </c>
      <c r="E146" s="9" t="str">
        <f>if('Point Intercept 1'!E146 = 'Point Intercept 2'!E146, 'Point Intercept 1'!E146, "ERROR")</f>
        <v>VB</v>
      </c>
      <c r="F146" s="9">
        <f>if('Point Intercept 1'!F146 = 'Point Intercept 2'!F146, 'Point Intercept 1'!F146, "ERROR")</f>
        <v>1</v>
      </c>
      <c r="G146" s="9" t="str">
        <f>if('Point Intercept 1'!G146 = 'Point Intercept 2'!G146, 'Point Intercept 1'!G146, "ERROR")</f>
        <v>LU</v>
      </c>
      <c r="H146" s="9">
        <f>if('Point Intercept 1'!I146 = 'Point Intercept 2'!I146, 'Point Intercept 1'!I146, "ERROR")</f>
        <v>15</v>
      </c>
      <c r="I146" s="9">
        <f>if('Point Intercept 1'!H146 = 'Point Intercept 2'!H146, 'Point Intercept 1'!H146, "ERROR")</f>
        <v>1</v>
      </c>
      <c r="J146" s="9">
        <f>if('Point Intercept 1'!J146 = 'Point Intercept 2'!J146, 'Point Intercept 1'!J146, "ERROR")</f>
        <v>7.5</v>
      </c>
      <c r="K146" s="9" t="str">
        <f>if('Point Intercept 1'!K146 = 'Point Intercept 2'!K146, 'Point Intercept 1'!K146, "ERROR")</f>
        <v>EROCIC</v>
      </c>
      <c r="L146" s="9" t="str">
        <f>if('Point Intercept 1'!L146 = 'Point Intercept 2'!L146, 'Point Intercept 1'!L146, "ERROR")</f>
        <v>Erodium cicutarium</v>
      </c>
      <c r="M146" s="9" t="str">
        <f>if('Point Intercept 1'!N146 = 'Point Intercept 2'!M146, 'Point Intercept 1'!N146, "ERROR")</f>
        <v/>
      </c>
      <c r="N146" s="9" t="str">
        <f>if('Point Intercept 1'!O146 = 'Point Intercept 2'!N146, 'Point Intercept 1'!O146, "ERROR")</f>
        <v/>
      </c>
      <c r="O146" s="9" t="str">
        <f>if('Point Intercept 1'!P146 = 'Point Intercept 2'!O146, 'Point Intercept 1'!P146, "ERROR")</f>
        <v/>
      </c>
    </row>
    <row r="147">
      <c r="A147" s="9">
        <f>if('Point Intercept 1'!A147 = 'Point Intercept 2'!A147, 'Point Intercept 1'!A147, "ERROR")</f>
        <v>2</v>
      </c>
      <c r="B147" s="9">
        <f>if('Point Intercept 1'!B147 = 'Point Intercept 2'!B147, 'Point Intercept 1'!B147, "ERROR")</f>
        <v>2025</v>
      </c>
      <c r="C147" s="14">
        <f>if('Point Intercept 1'!C147 = 'Point Intercept 2'!C147, 'Point Intercept 1'!C147, "ERROR")</f>
        <v>45755</v>
      </c>
      <c r="D147" s="9" t="str">
        <f>if('Point Intercept 1'!D147 = 'Point Intercept 2'!D147, 'Point Intercept 1'!D147, "ERROR")</f>
        <v>MP, TL, CG, BN</v>
      </c>
      <c r="E147" s="9" t="str">
        <f>if('Point Intercept 1'!E147 = 'Point Intercept 2'!E147, 'Point Intercept 1'!E147, "ERROR")</f>
        <v>VB</v>
      </c>
      <c r="F147" s="9">
        <f>if('Point Intercept 1'!F147 = 'Point Intercept 2'!F147, 'Point Intercept 1'!F147, "ERROR")</f>
        <v>1</v>
      </c>
      <c r="G147" s="9" t="str">
        <f>if('Point Intercept 1'!G147 = 'Point Intercept 2'!G147, 'Point Intercept 1'!G147, "ERROR")</f>
        <v>LU</v>
      </c>
      <c r="H147" s="9">
        <f>if('Point Intercept 1'!I147 = 'Point Intercept 2'!I147, 'Point Intercept 1'!I147, "ERROR")</f>
        <v>1</v>
      </c>
      <c r="I147" s="9">
        <f>if('Point Intercept 1'!H147 = 'Point Intercept 2'!H147, 'Point Intercept 1'!H147, "ERROR")</f>
        <v>2</v>
      </c>
      <c r="J147" s="9">
        <f>if('Point Intercept 1'!J147 = 'Point Intercept 2'!J147, 'Point Intercept 1'!J147, "ERROR")</f>
        <v>0</v>
      </c>
      <c r="K147" s="9" t="str">
        <f>if('Point Intercept 1'!K147 = 'Point Intercept 2'!K147, 'Point Intercept 1'!K147, "ERROR")</f>
        <v>L</v>
      </c>
      <c r="L147" s="9" t="str">
        <f>if('Point Intercept 1'!L147 = 'Point Intercept 2'!L147, 'Point Intercept 1'!L147, "ERROR")</f>
        <v>Litter</v>
      </c>
      <c r="M147" s="9" t="str">
        <f>if('Point Intercept 1'!N147 = 'Point Intercept 2'!M147, 'Point Intercept 1'!N147, "ERROR")</f>
        <v/>
      </c>
      <c r="N147" s="9" t="str">
        <f>if('Point Intercept 1'!O147 = 'Point Intercept 2'!N147, 'Point Intercept 1'!O147, "ERROR")</f>
        <v/>
      </c>
      <c r="O147" s="9" t="str">
        <f>if('Point Intercept 1'!P147 = 'Point Intercept 2'!O147, 'Point Intercept 1'!P147, "ERROR")</f>
        <v/>
      </c>
    </row>
    <row r="148">
      <c r="A148" s="9">
        <f>if('Point Intercept 1'!A148 = 'Point Intercept 2'!A148, 'Point Intercept 1'!A148, "ERROR")</f>
        <v>2</v>
      </c>
      <c r="B148" s="9">
        <f>if('Point Intercept 1'!B148 = 'Point Intercept 2'!B148, 'Point Intercept 1'!B148, "ERROR")</f>
        <v>2025</v>
      </c>
      <c r="C148" s="14">
        <f>if('Point Intercept 1'!C148 = 'Point Intercept 2'!C148, 'Point Intercept 1'!C148, "ERROR")</f>
        <v>45755</v>
      </c>
      <c r="D148" s="9" t="str">
        <f>if('Point Intercept 1'!D148 = 'Point Intercept 2'!D148, 'Point Intercept 1'!D148, "ERROR")</f>
        <v>MP, TL, CG, BN</v>
      </c>
      <c r="E148" s="9" t="str">
        <f>if('Point Intercept 1'!E148 = 'Point Intercept 2'!E148, 'Point Intercept 1'!E148, "ERROR")</f>
        <v>VB</v>
      </c>
      <c r="F148" s="9">
        <f>if('Point Intercept 1'!F148 = 'Point Intercept 2'!F148, 'Point Intercept 1'!F148, "ERROR")</f>
        <v>1</v>
      </c>
      <c r="G148" s="9" t="str">
        <f>if('Point Intercept 1'!G148 = 'Point Intercept 2'!G148, 'Point Intercept 1'!G148, "ERROR")</f>
        <v>LU</v>
      </c>
      <c r="H148" s="9">
        <f>if('Point Intercept 1'!I148 = 'Point Intercept 2'!I148, 'Point Intercept 1'!I148, "ERROR")</f>
        <v>1</v>
      </c>
      <c r="I148" s="9">
        <f>if('Point Intercept 1'!H148 = 'Point Intercept 2'!H148, 'Point Intercept 1'!H148, "ERROR")</f>
        <v>2</v>
      </c>
      <c r="J148" s="9">
        <f>if('Point Intercept 1'!J148 = 'Point Intercept 2'!J148, 'Point Intercept 1'!J148, "ERROR")</f>
        <v>0</v>
      </c>
      <c r="K148" s="9" t="str">
        <f>if('Point Intercept 1'!K148 = 'Point Intercept 2'!K148, 'Point Intercept 1'!K148, "ERROR")</f>
        <v>CENMEL</v>
      </c>
      <c r="L148" s="9" t="str">
        <f>if('Point Intercept 1'!L148 = 'Point Intercept 2'!L148, 'Point Intercept 1'!L148, "ERROR")</f>
        <v>Centaurea melitensis</v>
      </c>
      <c r="M148" s="9" t="str">
        <f>if('Point Intercept 1'!N148 = 'Point Intercept 2'!M148, 'Point Intercept 1'!N148, "ERROR")</f>
        <v/>
      </c>
      <c r="N148" s="9" t="str">
        <f>if('Point Intercept 1'!O148 = 'Point Intercept 2'!N148, 'Point Intercept 1'!O148, "ERROR")</f>
        <v/>
      </c>
      <c r="O148" s="9" t="str">
        <f>if('Point Intercept 1'!P148 = 'Point Intercept 2'!O148, 'Point Intercept 1'!P148, "ERROR")</f>
        <v/>
      </c>
    </row>
    <row r="149">
      <c r="A149" s="9">
        <f>if('Point Intercept 1'!A149 = 'Point Intercept 2'!A149, 'Point Intercept 1'!A149, "ERROR")</f>
        <v>2</v>
      </c>
      <c r="B149" s="9">
        <f>if('Point Intercept 1'!B149 = 'Point Intercept 2'!B149, 'Point Intercept 1'!B149, "ERROR")</f>
        <v>2025</v>
      </c>
      <c r="C149" s="14">
        <f>if('Point Intercept 1'!C149 = 'Point Intercept 2'!C149, 'Point Intercept 1'!C149, "ERROR")</f>
        <v>45755</v>
      </c>
      <c r="D149" s="9" t="str">
        <f>if('Point Intercept 1'!D149 = 'Point Intercept 2'!D149, 'Point Intercept 1'!D149, "ERROR")</f>
        <v>MP, TL, CG, BN</v>
      </c>
      <c r="E149" s="9" t="str">
        <f>if('Point Intercept 1'!E149 = 'Point Intercept 2'!E149, 'Point Intercept 1'!E149, "ERROR")</f>
        <v>VB</v>
      </c>
      <c r="F149" s="9">
        <f>if('Point Intercept 1'!F149 = 'Point Intercept 2'!F149, 'Point Intercept 1'!F149, "ERROR")</f>
        <v>1</v>
      </c>
      <c r="G149" s="9" t="str">
        <f>if('Point Intercept 1'!G149 = 'Point Intercept 2'!G149, 'Point Intercept 1'!G149, "ERROR")</f>
        <v>LU</v>
      </c>
      <c r="H149" s="9">
        <f>if('Point Intercept 1'!I149 = 'Point Intercept 2'!I149, 'Point Intercept 1'!I149, "ERROR")</f>
        <v>1</v>
      </c>
      <c r="I149" s="9">
        <f>if('Point Intercept 1'!H149 = 'Point Intercept 2'!H149, 'Point Intercept 1'!H149, "ERROR")</f>
        <v>2</v>
      </c>
      <c r="J149" s="9">
        <f>if('Point Intercept 1'!J149 = 'Point Intercept 2'!J149, 'Point Intercept 1'!J149, "ERROR")</f>
        <v>0</v>
      </c>
      <c r="K149" s="9" t="str">
        <f>if('Point Intercept 1'!K149 = 'Point Intercept 2'!K149, 'Point Intercept 1'!K149, "ERROR")</f>
        <v>MEDPOL</v>
      </c>
      <c r="L149" s="9" t="str">
        <f>if('Point Intercept 1'!L149 = 'Point Intercept 2'!L149, 'Point Intercept 1'!L149, "ERROR")</f>
        <v>Medicago polymorpha</v>
      </c>
      <c r="M149" s="9" t="str">
        <f>if('Point Intercept 1'!N149 = 'Point Intercept 2'!M149, 'Point Intercept 1'!N149, "ERROR")</f>
        <v/>
      </c>
      <c r="N149" s="9" t="str">
        <f>if('Point Intercept 1'!O149 = 'Point Intercept 2'!N149, 'Point Intercept 1'!O149, "ERROR")</f>
        <v/>
      </c>
      <c r="O149" s="9" t="str">
        <f>if('Point Intercept 1'!P149 = 'Point Intercept 2'!O149, 'Point Intercept 1'!P149, "ERROR")</f>
        <v/>
      </c>
    </row>
    <row r="150">
      <c r="A150" s="9">
        <f>if('Point Intercept 1'!A150 = 'Point Intercept 2'!A150, 'Point Intercept 1'!A150, "ERROR")</f>
        <v>2</v>
      </c>
      <c r="B150" s="9">
        <f>if('Point Intercept 1'!B150 = 'Point Intercept 2'!B150, 'Point Intercept 1'!B150, "ERROR")</f>
        <v>2025</v>
      </c>
      <c r="C150" s="14">
        <f>if('Point Intercept 1'!C150 = 'Point Intercept 2'!C150, 'Point Intercept 1'!C150, "ERROR")</f>
        <v>45755</v>
      </c>
      <c r="D150" s="9" t="str">
        <f>if('Point Intercept 1'!D150 = 'Point Intercept 2'!D150, 'Point Intercept 1'!D150, "ERROR")</f>
        <v>MP, TL, CG, BN</v>
      </c>
      <c r="E150" s="9" t="str">
        <f>if('Point Intercept 1'!E150 = 'Point Intercept 2'!E150, 'Point Intercept 1'!E150, "ERROR")</f>
        <v>VB</v>
      </c>
      <c r="F150" s="9">
        <f>if('Point Intercept 1'!F150 = 'Point Intercept 2'!F150, 'Point Intercept 1'!F150, "ERROR")</f>
        <v>1</v>
      </c>
      <c r="G150" s="9" t="str">
        <f>if('Point Intercept 1'!G150 = 'Point Intercept 2'!G150, 'Point Intercept 1'!G150, "ERROR")</f>
        <v>LU</v>
      </c>
      <c r="H150" s="9">
        <f>if('Point Intercept 1'!I150 = 'Point Intercept 2'!I150, 'Point Intercept 1'!I150, "ERROR")</f>
        <v>1</v>
      </c>
      <c r="I150" s="9">
        <f>if('Point Intercept 1'!H150 = 'Point Intercept 2'!H150, 'Point Intercept 1'!H150, "ERROR")</f>
        <v>2</v>
      </c>
      <c r="J150" s="9">
        <f>if('Point Intercept 1'!J150 = 'Point Intercept 2'!J150, 'Point Intercept 1'!J150, "ERROR")</f>
        <v>0</v>
      </c>
      <c r="K150" s="9" t="str">
        <f>if('Point Intercept 1'!K150 = 'Point Intercept 2'!K150, 'Point Intercept 1'!K150, "ERROR")</f>
        <v>FESMYU</v>
      </c>
      <c r="L150" s="9" t="str">
        <f>if('Point Intercept 1'!L150 = 'Point Intercept 2'!L150, 'Point Intercept 1'!L150, "ERROR")</f>
        <v>Festuca myuros</v>
      </c>
      <c r="M150" s="9" t="str">
        <f>if('Point Intercept 1'!N150 = 'Point Intercept 2'!M150, 'Point Intercept 1'!N150, "ERROR")</f>
        <v/>
      </c>
      <c r="N150" s="9" t="str">
        <f>if('Point Intercept 1'!O150 = 'Point Intercept 2'!N150, 'Point Intercept 1'!O150, "ERROR")</f>
        <v/>
      </c>
      <c r="O150" s="9" t="str">
        <f>if('Point Intercept 1'!P150 = 'Point Intercept 2'!O150, 'Point Intercept 1'!P150, "ERROR")</f>
        <v/>
      </c>
    </row>
    <row r="151">
      <c r="A151" s="9">
        <f>if('Point Intercept 1'!A151 = 'Point Intercept 2'!A151, 'Point Intercept 1'!A151, "ERROR")</f>
        <v>2</v>
      </c>
      <c r="B151" s="9">
        <f>if('Point Intercept 1'!B151 = 'Point Intercept 2'!B151, 'Point Intercept 1'!B151, "ERROR")</f>
        <v>2025</v>
      </c>
      <c r="C151" s="14">
        <f>if('Point Intercept 1'!C151 = 'Point Intercept 2'!C151, 'Point Intercept 1'!C151, "ERROR")</f>
        <v>45755</v>
      </c>
      <c r="D151" s="9" t="str">
        <f>if('Point Intercept 1'!D151 = 'Point Intercept 2'!D151, 'Point Intercept 1'!D151, "ERROR")</f>
        <v>MP, TL, CG, BN</v>
      </c>
      <c r="E151" s="9" t="str">
        <f>if('Point Intercept 1'!E151 = 'Point Intercept 2'!E151, 'Point Intercept 1'!E151, "ERROR")</f>
        <v>VB</v>
      </c>
      <c r="F151" s="9">
        <f>if('Point Intercept 1'!F151 = 'Point Intercept 2'!F151, 'Point Intercept 1'!F151, "ERROR")</f>
        <v>1</v>
      </c>
      <c r="G151" s="9" t="str">
        <f>if('Point Intercept 1'!G151 = 'Point Intercept 2'!G151, 'Point Intercept 1'!G151, "ERROR")</f>
        <v>LU</v>
      </c>
      <c r="H151" s="9">
        <f>if('Point Intercept 1'!I151 = 'Point Intercept 2'!I151, 'Point Intercept 1'!I151, "ERROR")</f>
        <v>2</v>
      </c>
      <c r="I151" s="9">
        <f>if('Point Intercept 1'!H151 = 'Point Intercept 2'!H151, 'Point Intercept 1'!H151, "ERROR")</f>
        <v>2</v>
      </c>
      <c r="J151" s="9">
        <f>if('Point Intercept 1'!J151 = 'Point Intercept 2'!J151, 'Point Intercept 1'!J151, "ERROR")</f>
        <v>0.5</v>
      </c>
      <c r="K151" s="9" t="str">
        <f>if('Point Intercept 1'!K151 = 'Point Intercept 2'!K151, 'Point Intercept 1'!K151, "ERROR")</f>
        <v>L</v>
      </c>
      <c r="L151" s="9" t="str">
        <f>if('Point Intercept 1'!L151 = 'Point Intercept 2'!L151, 'Point Intercept 1'!L151, "ERROR")</f>
        <v>Litter</v>
      </c>
      <c r="M151" s="9" t="str">
        <f>if('Point Intercept 1'!N151 = 'Point Intercept 2'!M151, 'Point Intercept 1'!N151, "ERROR")</f>
        <v/>
      </c>
      <c r="N151" s="9" t="str">
        <f>if('Point Intercept 1'!O151 = 'Point Intercept 2'!N151, 'Point Intercept 1'!O151, "ERROR")</f>
        <v/>
      </c>
      <c r="O151" s="9" t="str">
        <f>if('Point Intercept 1'!P151 = 'Point Intercept 2'!O151, 'Point Intercept 1'!P151, "ERROR")</f>
        <v/>
      </c>
    </row>
    <row r="152">
      <c r="A152" s="9">
        <f>if('Point Intercept 1'!A152 = 'Point Intercept 2'!A152, 'Point Intercept 1'!A152, "ERROR")</f>
        <v>2</v>
      </c>
      <c r="B152" s="9">
        <f>if('Point Intercept 1'!B152 = 'Point Intercept 2'!B152, 'Point Intercept 1'!B152, "ERROR")</f>
        <v>2025</v>
      </c>
      <c r="C152" s="14">
        <f>if('Point Intercept 1'!C152 = 'Point Intercept 2'!C152, 'Point Intercept 1'!C152, "ERROR")</f>
        <v>45755</v>
      </c>
      <c r="D152" s="9" t="str">
        <f>if('Point Intercept 1'!D152 = 'Point Intercept 2'!D152, 'Point Intercept 1'!D152, "ERROR")</f>
        <v>MP, TL, CG, BN</v>
      </c>
      <c r="E152" s="9" t="str">
        <f>if('Point Intercept 1'!E152 = 'Point Intercept 2'!E152, 'Point Intercept 1'!E152, "ERROR")</f>
        <v>VB</v>
      </c>
      <c r="F152" s="9">
        <f>if('Point Intercept 1'!F152 = 'Point Intercept 2'!F152, 'Point Intercept 1'!F152, "ERROR")</f>
        <v>1</v>
      </c>
      <c r="G152" s="9" t="str">
        <f>if('Point Intercept 1'!G152 = 'Point Intercept 2'!G152, 'Point Intercept 1'!G152, "ERROR")</f>
        <v>LU</v>
      </c>
      <c r="H152" s="9">
        <f>if('Point Intercept 1'!I152 = 'Point Intercept 2'!I152, 'Point Intercept 1'!I152, "ERROR")</f>
        <v>2</v>
      </c>
      <c r="I152" s="9">
        <f>if('Point Intercept 1'!H152 = 'Point Intercept 2'!H152, 'Point Intercept 1'!H152, "ERROR")</f>
        <v>2</v>
      </c>
      <c r="J152" s="9">
        <f>if('Point Intercept 1'!J152 = 'Point Intercept 2'!J152, 'Point Intercept 1'!J152, "ERROR")</f>
        <v>0.5</v>
      </c>
      <c r="K152" s="9" t="str">
        <f>if('Point Intercept 1'!K152 = 'Point Intercept 2'!K152, 'Point Intercept 1'!K152, "ERROR")</f>
        <v>OPULIT</v>
      </c>
      <c r="L152" s="9" t="str">
        <f>if('Point Intercept 1'!L152 = 'Point Intercept 2'!L152, 'Point Intercept 1'!L152, "ERROR")</f>
        <v>Opuntia littoralis</v>
      </c>
      <c r="M152" s="9" t="str">
        <f>if('Point Intercept 1'!N152 = 'Point Intercept 2'!M152, 'Point Intercept 1'!N152, "ERROR")</f>
        <v/>
      </c>
      <c r="N152" s="9" t="str">
        <f>if('Point Intercept 1'!O152 = 'Point Intercept 2'!N152, 'Point Intercept 1'!O152, "ERROR")</f>
        <v/>
      </c>
      <c r="O152" s="9" t="str">
        <f>if('Point Intercept 1'!P152 = 'Point Intercept 2'!O152, 'Point Intercept 1'!P152, "ERROR")</f>
        <v/>
      </c>
    </row>
    <row r="153">
      <c r="A153" s="9">
        <f>if('Point Intercept 1'!A153 = 'Point Intercept 2'!A153, 'Point Intercept 1'!A153, "ERROR")</f>
        <v>2</v>
      </c>
      <c r="B153" s="9">
        <f>if('Point Intercept 1'!B153 = 'Point Intercept 2'!B153, 'Point Intercept 1'!B153, "ERROR")</f>
        <v>2025</v>
      </c>
      <c r="C153" s="14">
        <f>if('Point Intercept 1'!C153 = 'Point Intercept 2'!C153, 'Point Intercept 1'!C153, "ERROR")</f>
        <v>45755</v>
      </c>
      <c r="D153" s="9" t="str">
        <f>if('Point Intercept 1'!D153 = 'Point Intercept 2'!D153, 'Point Intercept 1'!D153, "ERROR")</f>
        <v>MP, TL, CG, BN</v>
      </c>
      <c r="E153" s="9" t="str">
        <f>if('Point Intercept 1'!E153 = 'Point Intercept 2'!E153, 'Point Intercept 1'!E153, "ERROR")</f>
        <v>VB</v>
      </c>
      <c r="F153" s="9">
        <f>if('Point Intercept 1'!F153 = 'Point Intercept 2'!F153, 'Point Intercept 1'!F153, "ERROR")</f>
        <v>1</v>
      </c>
      <c r="G153" s="9" t="str">
        <f>if('Point Intercept 1'!G153 = 'Point Intercept 2'!G153, 'Point Intercept 1'!G153, "ERROR")</f>
        <v>LU</v>
      </c>
      <c r="H153" s="9">
        <f>if('Point Intercept 1'!I153 = 'Point Intercept 2'!I153, 'Point Intercept 1'!I153, "ERROR")</f>
        <v>2</v>
      </c>
      <c r="I153" s="9">
        <f>if('Point Intercept 1'!H153 = 'Point Intercept 2'!H153, 'Point Intercept 1'!H153, "ERROR")</f>
        <v>2</v>
      </c>
      <c r="J153" s="9">
        <f>if('Point Intercept 1'!J153 = 'Point Intercept 2'!J153, 'Point Intercept 1'!J153, "ERROR")</f>
        <v>0.5</v>
      </c>
      <c r="K153" s="9" t="str">
        <f>if('Point Intercept 1'!K153 = 'Point Intercept 2'!K153, 'Point Intercept 1'!K153, "ERROR")</f>
        <v>MEDPOL</v>
      </c>
      <c r="L153" s="9" t="str">
        <f>if('Point Intercept 1'!L153 = 'Point Intercept 2'!L153, 'Point Intercept 1'!L153, "ERROR")</f>
        <v>Medicago polymorpha</v>
      </c>
      <c r="M153" s="9" t="str">
        <f>if('Point Intercept 1'!N153 = 'Point Intercept 2'!M153, 'Point Intercept 1'!N153, "ERROR")</f>
        <v/>
      </c>
      <c r="N153" s="9" t="str">
        <f>if('Point Intercept 1'!O153 = 'Point Intercept 2'!N153, 'Point Intercept 1'!O153, "ERROR")</f>
        <v/>
      </c>
      <c r="O153" s="9" t="str">
        <f>if('Point Intercept 1'!P153 = 'Point Intercept 2'!O153, 'Point Intercept 1'!P153, "ERROR")</f>
        <v/>
      </c>
    </row>
    <row r="154">
      <c r="A154" s="9">
        <f>if('Point Intercept 1'!A154 = 'Point Intercept 2'!A154, 'Point Intercept 1'!A154, "ERROR")</f>
        <v>2</v>
      </c>
      <c r="B154" s="9">
        <f>if('Point Intercept 1'!B154 = 'Point Intercept 2'!B154, 'Point Intercept 1'!B154, "ERROR")</f>
        <v>2025</v>
      </c>
      <c r="C154" s="14">
        <f>if('Point Intercept 1'!C154 = 'Point Intercept 2'!C154, 'Point Intercept 1'!C154, "ERROR")</f>
        <v>45755</v>
      </c>
      <c r="D154" s="9" t="str">
        <f>if('Point Intercept 1'!D154 = 'Point Intercept 2'!D154, 'Point Intercept 1'!D154, "ERROR")</f>
        <v>MP, TL, CG, BN</v>
      </c>
      <c r="E154" s="9" t="str">
        <f>if('Point Intercept 1'!E154 = 'Point Intercept 2'!E154, 'Point Intercept 1'!E154, "ERROR")</f>
        <v>VB</v>
      </c>
      <c r="F154" s="9">
        <f>if('Point Intercept 1'!F154 = 'Point Intercept 2'!F154, 'Point Intercept 1'!F154, "ERROR")</f>
        <v>1</v>
      </c>
      <c r="G154" s="9" t="str">
        <f>if('Point Intercept 1'!G154 = 'Point Intercept 2'!G154, 'Point Intercept 1'!G154, "ERROR")</f>
        <v>LU</v>
      </c>
      <c r="H154" s="9">
        <f>if('Point Intercept 1'!I154 = 'Point Intercept 2'!I154, 'Point Intercept 1'!I154, "ERROR")</f>
        <v>2</v>
      </c>
      <c r="I154" s="9">
        <f>if('Point Intercept 1'!H154 = 'Point Intercept 2'!H154, 'Point Intercept 1'!H154, "ERROR")</f>
        <v>2</v>
      </c>
      <c r="J154" s="9">
        <f>if('Point Intercept 1'!J154 = 'Point Intercept 2'!J154, 'Point Intercept 1'!J154, "ERROR")</f>
        <v>0.5</v>
      </c>
      <c r="K154" s="9" t="str">
        <f>if('Point Intercept 1'!K154 = 'Point Intercept 2'!K154, 'Point Intercept 1'!K154, "ERROR")</f>
        <v>CRYMAR</v>
      </c>
      <c r="L154" s="9" t="str">
        <f>if('Point Intercept 1'!L154 = 'Point Intercept 2'!L154, 'Point Intercept 1'!L154, "ERROR")</f>
        <v>Crypantha maritima</v>
      </c>
      <c r="M154" s="9" t="str">
        <f>if('Point Intercept 1'!N154 = 'Point Intercept 2'!M154, 'Point Intercept 1'!N154, "ERROR")</f>
        <v/>
      </c>
      <c r="N154" s="9" t="str">
        <f>if('Point Intercept 1'!O154 = 'Point Intercept 2'!N154, 'Point Intercept 1'!O154, "ERROR")</f>
        <v/>
      </c>
      <c r="O154" s="9" t="str">
        <f>if('Point Intercept 1'!P154 = 'Point Intercept 2'!O154, 'Point Intercept 1'!P154, "ERROR")</f>
        <v/>
      </c>
    </row>
    <row r="155">
      <c r="A155" s="9">
        <f>if('Point Intercept 1'!A155 = 'Point Intercept 2'!A155, 'Point Intercept 1'!A155, "ERROR")</f>
        <v>2</v>
      </c>
      <c r="B155" s="9">
        <f>if('Point Intercept 1'!B155 = 'Point Intercept 2'!B155, 'Point Intercept 1'!B155, "ERROR")</f>
        <v>2025</v>
      </c>
      <c r="C155" s="14">
        <f>if('Point Intercept 1'!C155 = 'Point Intercept 2'!C155, 'Point Intercept 1'!C155, "ERROR")</f>
        <v>45755</v>
      </c>
      <c r="D155" s="9" t="str">
        <f>if('Point Intercept 1'!D155 = 'Point Intercept 2'!D155, 'Point Intercept 1'!D155, "ERROR")</f>
        <v>MP, TL, CG, BN</v>
      </c>
      <c r="E155" s="9" t="str">
        <f>if('Point Intercept 1'!E155 = 'Point Intercept 2'!E155, 'Point Intercept 1'!E155, "ERROR")</f>
        <v>VB</v>
      </c>
      <c r="F155" s="9">
        <f>if('Point Intercept 1'!F155 = 'Point Intercept 2'!F155, 'Point Intercept 1'!F155, "ERROR")</f>
        <v>1</v>
      </c>
      <c r="G155" s="9" t="str">
        <f>if('Point Intercept 1'!G155 = 'Point Intercept 2'!G155, 'Point Intercept 1'!G155, "ERROR")</f>
        <v>LU</v>
      </c>
      <c r="H155" s="9">
        <f>if('Point Intercept 1'!I155 = 'Point Intercept 2'!I155, 'Point Intercept 1'!I155, "ERROR")</f>
        <v>2</v>
      </c>
      <c r="I155" s="9">
        <f>if('Point Intercept 1'!H155 = 'Point Intercept 2'!H155, 'Point Intercept 1'!H155, "ERROR")</f>
        <v>2</v>
      </c>
      <c r="J155" s="9">
        <f>if('Point Intercept 1'!J155 = 'Point Intercept 2'!J155, 'Point Intercept 1'!J155, "ERROR")</f>
        <v>0.5</v>
      </c>
      <c r="K155" s="9" t="str">
        <f>if('Point Intercept 1'!K155 = 'Point Intercept 2'!K155, 'Point Intercept 1'!K155, "ERROR")</f>
        <v>CENMEL</v>
      </c>
      <c r="L155" s="9" t="str">
        <f>if('Point Intercept 1'!L155 = 'Point Intercept 2'!L155, 'Point Intercept 1'!L155, "ERROR")</f>
        <v>Centaurea melitensis</v>
      </c>
      <c r="M155" s="9" t="str">
        <f>if('Point Intercept 1'!N155 = 'Point Intercept 2'!M155, 'Point Intercept 1'!N155, "ERROR")</f>
        <v/>
      </c>
      <c r="N155" s="9" t="str">
        <f>if('Point Intercept 1'!O155 = 'Point Intercept 2'!N155, 'Point Intercept 1'!O155, "ERROR")</f>
        <v/>
      </c>
      <c r="O155" s="9" t="str">
        <f>if('Point Intercept 1'!P155 = 'Point Intercept 2'!O155, 'Point Intercept 1'!P155, "ERROR")</f>
        <v/>
      </c>
    </row>
    <row r="156">
      <c r="A156" s="9">
        <f>if('Point Intercept 1'!A156 = 'Point Intercept 2'!A156, 'Point Intercept 1'!A156, "ERROR")</f>
        <v>2</v>
      </c>
      <c r="B156" s="9">
        <f>if('Point Intercept 1'!B156 = 'Point Intercept 2'!B156, 'Point Intercept 1'!B156, "ERROR")</f>
        <v>2025</v>
      </c>
      <c r="C156" s="14">
        <f>if('Point Intercept 1'!C156 = 'Point Intercept 2'!C156, 'Point Intercept 1'!C156, "ERROR")</f>
        <v>45755</v>
      </c>
      <c r="D156" s="9" t="str">
        <f>if('Point Intercept 1'!D156 = 'Point Intercept 2'!D156, 'Point Intercept 1'!D156, "ERROR")</f>
        <v>MP, TL, CG, BN</v>
      </c>
      <c r="E156" s="9" t="str">
        <f>if('Point Intercept 1'!E156 = 'Point Intercept 2'!E156, 'Point Intercept 1'!E156, "ERROR")</f>
        <v>VB</v>
      </c>
      <c r="F156" s="9">
        <f>if('Point Intercept 1'!F156 = 'Point Intercept 2'!F156, 'Point Intercept 1'!F156, "ERROR")</f>
        <v>1</v>
      </c>
      <c r="G156" s="9" t="str">
        <f>if('Point Intercept 1'!G156 = 'Point Intercept 2'!G156, 'Point Intercept 1'!G156, "ERROR")</f>
        <v>LU</v>
      </c>
      <c r="H156" s="9">
        <f>if('Point Intercept 1'!I156 = 'Point Intercept 2'!I156, 'Point Intercept 1'!I156, "ERROR")</f>
        <v>3</v>
      </c>
      <c r="I156" s="9">
        <f>if('Point Intercept 1'!H156 = 'Point Intercept 2'!H156, 'Point Intercept 1'!H156, "ERROR")</f>
        <v>2</v>
      </c>
      <c r="J156" s="9">
        <f>if('Point Intercept 1'!J156 = 'Point Intercept 2'!J156, 'Point Intercept 1'!J156, "ERROR")</f>
        <v>1</v>
      </c>
      <c r="K156" s="9" t="str">
        <f>if('Point Intercept 1'!K156 = 'Point Intercept 2'!K156, 'Point Intercept 1'!K156, "ERROR")</f>
        <v>S</v>
      </c>
      <c r="L156" s="9" t="str">
        <f>if('Point Intercept 1'!L156 = 'Point Intercept 2'!L156, 'Point Intercept 1'!L156, "ERROR")</f>
        <v>Stem</v>
      </c>
      <c r="M156" s="9" t="str">
        <f>if('Point Intercept 1'!N156 = 'Point Intercept 2'!M156, 'Point Intercept 1'!N156, "ERROR")</f>
        <v/>
      </c>
      <c r="N156" s="9" t="str">
        <f>if('Point Intercept 1'!O156 = 'Point Intercept 2'!N156, 'Point Intercept 1'!O156, "ERROR")</f>
        <v/>
      </c>
      <c r="O156" s="9" t="str">
        <f>if('Point Intercept 1'!P156 = 'Point Intercept 2'!O156, 'Point Intercept 1'!P156, "ERROR")</f>
        <v/>
      </c>
    </row>
    <row r="157">
      <c r="A157" s="9">
        <f>if('Point Intercept 1'!A157 = 'Point Intercept 2'!A157, 'Point Intercept 1'!A157, "ERROR")</f>
        <v>2</v>
      </c>
      <c r="B157" s="9">
        <f>if('Point Intercept 1'!B157 = 'Point Intercept 2'!B157, 'Point Intercept 1'!B157, "ERROR")</f>
        <v>2025</v>
      </c>
      <c r="C157" s="14">
        <f>if('Point Intercept 1'!C157 = 'Point Intercept 2'!C157, 'Point Intercept 1'!C157, "ERROR")</f>
        <v>45755</v>
      </c>
      <c r="D157" s="9" t="str">
        <f>if('Point Intercept 1'!D157 = 'Point Intercept 2'!D157, 'Point Intercept 1'!D157, "ERROR")</f>
        <v>MP, TL, CG, BN</v>
      </c>
      <c r="E157" s="9" t="str">
        <f>if('Point Intercept 1'!E157 = 'Point Intercept 2'!E157, 'Point Intercept 1'!E157, "ERROR")</f>
        <v>VB</v>
      </c>
      <c r="F157" s="9">
        <f>if('Point Intercept 1'!F157 = 'Point Intercept 2'!F157, 'Point Intercept 1'!F157, "ERROR")</f>
        <v>1</v>
      </c>
      <c r="G157" s="9" t="str">
        <f>if('Point Intercept 1'!G157 = 'Point Intercept 2'!G157, 'Point Intercept 1'!G157, "ERROR")</f>
        <v>LU</v>
      </c>
      <c r="H157" s="9">
        <f>if('Point Intercept 1'!I157 = 'Point Intercept 2'!I157, 'Point Intercept 1'!I157, "ERROR")</f>
        <v>3</v>
      </c>
      <c r="I157" s="9">
        <f>if('Point Intercept 1'!H157 = 'Point Intercept 2'!H157, 'Point Intercept 1'!H157, "ERROR")</f>
        <v>2</v>
      </c>
      <c r="J157" s="9">
        <f>if('Point Intercept 1'!J157 = 'Point Intercept 2'!J157, 'Point Intercept 1'!J157, "ERROR")</f>
        <v>1</v>
      </c>
      <c r="K157" s="9" t="str">
        <f>if('Point Intercept 1'!K157 = 'Point Intercept 2'!K157, 'Point Intercept 1'!K157, "ERROR")</f>
        <v>CENMEL</v>
      </c>
      <c r="L157" s="9" t="str">
        <f>if('Point Intercept 1'!L157 = 'Point Intercept 2'!L157, 'Point Intercept 1'!L157, "ERROR")</f>
        <v>Centaurea melitensis</v>
      </c>
      <c r="M157" s="9" t="str">
        <f>if('Point Intercept 1'!N157 = 'Point Intercept 2'!M157, 'Point Intercept 1'!N157, "ERROR")</f>
        <v/>
      </c>
      <c r="N157" s="9" t="str">
        <f>if('Point Intercept 1'!O157 = 'Point Intercept 2'!N157, 'Point Intercept 1'!O157, "ERROR")</f>
        <v/>
      </c>
      <c r="O157" s="9" t="str">
        <f>if('Point Intercept 1'!P157 = 'Point Intercept 2'!O157, 'Point Intercept 1'!P157, "ERROR")</f>
        <v/>
      </c>
    </row>
    <row r="158">
      <c r="A158" s="9">
        <f>if('Point Intercept 1'!A158 = 'Point Intercept 2'!A158, 'Point Intercept 1'!A158, "ERROR")</f>
        <v>2</v>
      </c>
      <c r="B158" s="9">
        <f>if('Point Intercept 1'!B158 = 'Point Intercept 2'!B158, 'Point Intercept 1'!B158, "ERROR")</f>
        <v>2025</v>
      </c>
      <c r="C158" s="14">
        <f>if('Point Intercept 1'!C158 = 'Point Intercept 2'!C158, 'Point Intercept 1'!C158, "ERROR")</f>
        <v>45755</v>
      </c>
      <c r="D158" s="9" t="str">
        <f>if('Point Intercept 1'!D158 = 'Point Intercept 2'!D158, 'Point Intercept 1'!D158, "ERROR")</f>
        <v>MP, TL, CG, BN</v>
      </c>
      <c r="E158" s="9" t="str">
        <f>if('Point Intercept 1'!E158 = 'Point Intercept 2'!E158, 'Point Intercept 1'!E158, "ERROR")</f>
        <v>VB</v>
      </c>
      <c r="F158" s="9">
        <f>if('Point Intercept 1'!F158 = 'Point Intercept 2'!F158, 'Point Intercept 1'!F158, "ERROR")</f>
        <v>1</v>
      </c>
      <c r="G158" s="9" t="str">
        <f>if('Point Intercept 1'!G158 = 'Point Intercept 2'!G158, 'Point Intercept 1'!G158, "ERROR")</f>
        <v>LU</v>
      </c>
      <c r="H158" s="9">
        <f>if('Point Intercept 1'!I158 = 'Point Intercept 2'!I158, 'Point Intercept 1'!I158, "ERROR")</f>
        <v>3</v>
      </c>
      <c r="I158" s="9">
        <f>if('Point Intercept 1'!H158 = 'Point Intercept 2'!H158, 'Point Intercept 1'!H158, "ERROR")</f>
        <v>2</v>
      </c>
      <c r="J158" s="9">
        <f>if('Point Intercept 1'!J158 = 'Point Intercept 2'!J158, 'Point Intercept 1'!J158, "ERROR")</f>
        <v>1</v>
      </c>
      <c r="K158" s="9" t="str">
        <f>if('Point Intercept 1'!K158 = 'Point Intercept 2'!K158, 'Point Intercept 1'!K158, "ERROR")</f>
        <v>EROCIC</v>
      </c>
      <c r="L158" s="9" t="str">
        <f>if('Point Intercept 1'!L158 = 'Point Intercept 2'!L158, 'Point Intercept 1'!L158, "ERROR")</f>
        <v>Erodium cicutarium</v>
      </c>
      <c r="M158" s="9" t="str">
        <f>if('Point Intercept 1'!N158 = 'Point Intercept 2'!M158, 'Point Intercept 1'!N158, "ERROR")</f>
        <v/>
      </c>
      <c r="N158" s="9" t="str">
        <f>if('Point Intercept 1'!O158 = 'Point Intercept 2'!N158, 'Point Intercept 1'!O158, "ERROR")</f>
        <v/>
      </c>
      <c r="O158" s="9" t="str">
        <f>if('Point Intercept 1'!P158 = 'Point Intercept 2'!O158, 'Point Intercept 1'!P158, "ERROR")</f>
        <v/>
      </c>
    </row>
    <row r="159">
      <c r="A159" s="9">
        <f>if('Point Intercept 1'!A159 = 'Point Intercept 2'!A159, 'Point Intercept 1'!A159, "ERROR")</f>
        <v>2</v>
      </c>
      <c r="B159" s="9">
        <f>if('Point Intercept 1'!B159 = 'Point Intercept 2'!B159, 'Point Intercept 1'!B159, "ERROR")</f>
        <v>2025</v>
      </c>
      <c r="C159" s="14">
        <f>if('Point Intercept 1'!C159 = 'Point Intercept 2'!C159, 'Point Intercept 1'!C159, "ERROR")</f>
        <v>45755</v>
      </c>
      <c r="D159" s="9" t="str">
        <f>if('Point Intercept 1'!D159 = 'Point Intercept 2'!D159, 'Point Intercept 1'!D159, "ERROR")</f>
        <v>MP, TL, CG, BN</v>
      </c>
      <c r="E159" s="9" t="str">
        <f>if('Point Intercept 1'!E159 = 'Point Intercept 2'!E159, 'Point Intercept 1'!E159, "ERROR")</f>
        <v>VB</v>
      </c>
      <c r="F159" s="9">
        <f>if('Point Intercept 1'!F159 = 'Point Intercept 2'!F159, 'Point Intercept 1'!F159, "ERROR")</f>
        <v>1</v>
      </c>
      <c r="G159" s="9" t="str">
        <f>if('Point Intercept 1'!G159 = 'Point Intercept 2'!G159, 'Point Intercept 1'!G159, "ERROR")</f>
        <v>LU</v>
      </c>
      <c r="H159" s="9">
        <f>if('Point Intercept 1'!I159 = 'Point Intercept 2'!I159, 'Point Intercept 1'!I159, "ERROR")</f>
        <v>3</v>
      </c>
      <c r="I159" s="9">
        <f>if('Point Intercept 1'!H159 = 'Point Intercept 2'!H159, 'Point Intercept 1'!H159, "ERROR")</f>
        <v>2</v>
      </c>
      <c r="J159" s="9">
        <f>if('Point Intercept 1'!J159 = 'Point Intercept 2'!J159, 'Point Intercept 1'!J159, "ERROR")</f>
        <v>1</v>
      </c>
      <c r="K159" s="9" t="str">
        <f>if('Point Intercept 1'!K159 = 'Point Intercept 2'!K159, 'Point Intercept 1'!K159, "ERROR")</f>
        <v>FESMYU</v>
      </c>
      <c r="L159" s="9" t="str">
        <f>if('Point Intercept 1'!L159 = 'Point Intercept 2'!L159, 'Point Intercept 1'!L159, "ERROR")</f>
        <v>Festuca myuros</v>
      </c>
      <c r="M159" s="9" t="str">
        <f>if('Point Intercept 1'!N159 = 'Point Intercept 2'!M159, 'Point Intercept 1'!N159, "ERROR")</f>
        <v/>
      </c>
      <c r="N159" s="9" t="str">
        <f>if('Point Intercept 1'!O159 = 'Point Intercept 2'!N159, 'Point Intercept 1'!O159, "ERROR")</f>
        <v/>
      </c>
      <c r="O159" s="9" t="str">
        <f>if('Point Intercept 1'!P159 = 'Point Intercept 2'!O159, 'Point Intercept 1'!P159, "ERROR")</f>
        <v/>
      </c>
    </row>
    <row r="160">
      <c r="A160" s="9">
        <f>if('Point Intercept 1'!A160 = 'Point Intercept 2'!A160, 'Point Intercept 1'!A160, "ERROR")</f>
        <v>2</v>
      </c>
      <c r="B160" s="9">
        <f>if('Point Intercept 1'!B160 = 'Point Intercept 2'!B160, 'Point Intercept 1'!B160, "ERROR")</f>
        <v>2025</v>
      </c>
      <c r="C160" s="14">
        <f>if('Point Intercept 1'!C160 = 'Point Intercept 2'!C160, 'Point Intercept 1'!C160, "ERROR")</f>
        <v>45755</v>
      </c>
      <c r="D160" s="9" t="str">
        <f>if('Point Intercept 1'!D160 = 'Point Intercept 2'!D160, 'Point Intercept 1'!D160, "ERROR")</f>
        <v>MP, TL, CG, BN</v>
      </c>
      <c r="E160" s="9" t="str">
        <f>if('Point Intercept 1'!E160 = 'Point Intercept 2'!E160, 'Point Intercept 1'!E160, "ERROR")</f>
        <v>VB</v>
      </c>
      <c r="F160" s="9">
        <f>if('Point Intercept 1'!F160 = 'Point Intercept 2'!F160, 'Point Intercept 1'!F160, "ERROR")</f>
        <v>1</v>
      </c>
      <c r="G160" s="9" t="str">
        <f>if('Point Intercept 1'!G160 = 'Point Intercept 2'!G160, 'Point Intercept 1'!G160, "ERROR")</f>
        <v>LU</v>
      </c>
      <c r="H160" s="9">
        <f>if('Point Intercept 1'!I160 = 'Point Intercept 2'!I160, 'Point Intercept 1'!I160, "ERROR")</f>
        <v>4</v>
      </c>
      <c r="I160" s="9">
        <f>if('Point Intercept 1'!H160 = 'Point Intercept 2'!H160, 'Point Intercept 1'!H160, "ERROR")</f>
        <v>2</v>
      </c>
      <c r="J160" s="9">
        <f>if('Point Intercept 1'!J160 = 'Point Intercept 2'!J160, 'Point Intercept 1'!J160, "ERROR")</f>
        <v>1.5</v>
      </c>
      <c r="K160" s="9" t="str">
        <f>if('Point Intercept 1'!K160 = 'Point Intercept 2'!K160, 'Point Intercept 1'!K160, "ERROR")</f>
        <v>L</v>
      </c>
      <c r="L160" s="9" t="str">
        <f>if('Point Intercept 1'!L160 = 'Point Intercept 2'!L160, 'Point Intercept 1'!L160, "ERROR")</f>
        <v>Litter</v>
      </c>
      <c r="M160" s="9" t="str">
        <f>if('Point Intercept 1'!N160 = 'Point Intercept 2'!M160, 'Point Intercept 1'!N160, "ERROR")</f>
        <v/>
      </c>
      <c r="N160" s="9" t="str">
        <f>if('Point Intercept 1'!O160 = 'Point Intercept 2'!N160, 'Point Intercept 1'!O160, "ERROR")</f>
        <v/>
      </c>
      <c r="O160" s="9" t="str">
        <f>if('Point Intercept 1'!P160 = 'Point Intercept 2'!O160, 'Point Intercept 1'!P160, "ERROR")</f>
        <v/>
      </c>
    </row>
    <row r="161">
      <c r="A161" s="9">
        <f>if('Point Intercept 1'!A161 = 'Point Intercept 2'!A161, 'Point Intercept 1'!A161, "ERROR")</f>
        <v>2</v>
      </c>
      <c r="B161" s="9">
        <f>if('Point Intercept 1'!B161 = 'Point Intercept 2'!B161, 'Point Intercept 1'!B161, "ERROR")</f>
        <v>2025</v>
      </c>
      <c r="C161" s="14">
        <f>if('Point Intercept 1'!C161 = 'Point Intercept 2'!C161, 'Point Intercept 1'!C161, "ERROR")</f>
        <v>45755</v>
      </c>
      <c r="D161" s="9" t="str">
        <f>if('Point Intercept 1'!D161 = 'Point Intercept 2'!D161, 'Point Intercept 1'!D161, "ERROR")</f>
        <v>MP, TL, CG, BN</v>
      </c>
      <c r="E161" s="9" t="str">
        <f>if('Point Intercept 1'!E161 = 'Point Intercept 2'!E161, 'Point Intercept 1'!E161, "ERROR")</f>
        <v>VB</v>
      </c>
      <c r="F161" s="9">
        <f>if('Point Intercept 1'!F161 = 'Point Intercept 2'!F161, 'Point Intercept 1'!F161, "ERROR")</f>
        <v>1</v>
      </c>
      <c r="G161" s="9" t="str">
        <f>if('Point Intercept 1'!G161 = 'Point Intercept 2'!G161, 'Point Intercept 1'!G161, "ERROR")</f>
        <v>LU</v>
      </c>
      <c r="H161" s="9">
        <f>if('Point Intercept 1'!I161 = 'Point Intercept 2'!I161, 'Point Intercept 1'!I161, "ERROR")</f>
        <v>4</v>
      </c>
      <c r="I161" s="9">
        <f>if('Point Intercept 1'!H161 = 'Point Intercept 2'!H161, 'Point Intercept 1'!H161, "ERROR")</f>
        <v>2</v>
      </c>
      <c r="J161" s="9">
        <f>if('Point Intercept 1'!J161 = 'Point Intercept 2'!J161, 'Point Intercept 1'!J161, "ERROR")</f>
        <v>1.5</v>
      </c>
      <c r="K161" s="9" t="str">
        <f>if('Point Intercept 1'!K161 = 'Point Intercept 2'!K161, 'Point Intercept 1'!K161, "ERROR")</f>
        <v>MEDPOL</v>
      </c>
      <c r="L161" s="9" t="str">
        <f>if('Point Intercept 1'!L161 = 'Point Intercept 2'!L161, 'Point Intercept 1'!L161, "ERROR")</f>
        <v>Medicago polymorpha</v>
      </c>
      <c r="M161" s="9" t="str">
        <f>if('Point Intercept 1'!N161 = 'Point Intercept 2'!M161, 'Point Intercept 1'!N161, "ERROR")</f>
        <v/>
      </c>
      <c r="N161" s="9" t="str">
        <f>if('Point Intercept 1'!O161 = 'Point Intercept 2'!N161, 'Point Intercept 1'!O161, "ERROR")</f>
        <v/>
      </c>
      <c r="O161" s="9" t="str">
        <f>if('Point Intercept 1'!P161 = 'Point Intercept 2'!O161, 'Point Intercept 1'!P161, "ERROR")</f>
        <v/>
      </c>
    </row>
    <row r="162">
      <c r="A162" s="9">
        <f>if('Point Intercept 1'!A162 = 'Point Intercept 2'!A162, 'Point Intercept 1'!A162, "ERROR")</f>
        <v>2</v>
      </c>
      <c r="B162" s="9">
        <f>if('Point Intercept 1'!B162 = 'Point Intercept 2'!B162, 'Point Intercept 1'!B162, "ERROR")</f>
        <v>2025</v>
      </c>
      <c r="C162" s="14">
        <f>if('Point Intercept 1'!C162 = 'Point Intercept 2'!C162, 'Point Intercept 1'!C162, "ERROR")</f>
        <v>45755</v>
      </c>
      <c r="D162" s="9" t="str">
        <f>if('Point Intercept 1'!D162 = 'Point Intercept 2'!D162, 'Point Intercept 1'!D162, "ERROR")</f>
        <v>MP, TL, CG, BN</v>
      </c>
      <c r="E162" s="9" t="str">
        <f>if('Point Intercept 1'!E162 = 'Point Intercept 2'!E162, 'Point Intercept 1'!E162, "ERROR")</f>
        <v>VB</v>
      </c>
      <c r="F162" s="9">
        <f>if('Point Intercept 1'!F162 = 'Point Intercept 2'!F162, 'Point Intercept 1'!F162, "ERROR")</f>
        <v>1</v>
      </c>
      <c r="G162" s="9" t="str">
        <f>if('Point Intercept 1'!G162 = 'Point Intercept 2'!G162, 'Point Intercept 1'!G162, "ERROR")</f>
        <v>LU</v>
      </c>
      <c r="H162" s="9">
        <f>if('Point Intercept 1'!I162 = 'Point Intercept 2'!I162, 'Point Intercept 1'!I162, "ERROR")</f>
        <v>4</v>
      </c>
      <c r="I162" s="9">
        <f>if('Point Intercept 1'!H162 = 'Point Intercept 2'!H162, 'Point Intercept 1'!H162, "ERROR")</f>
        <v>2</v>
      </c>
      <c r="J162" s="9">
        <f>if('Point Intercept 1'!J162 = 'Point Intercept 2'!J162, 'Point Intercept 1'!J162, "ERROR")</f>
        <v>1.5</v>
      </c>
      <c r="K162" s="9" t="str">
        <f>if('Point Intercept 1'!K162 = 'Point Intercept 2'!K162, 'Point Intercept 1'!K162, "ERROR")</f>
        <v>CYLPRO</v>
      </c>
      <c r="L162" s="9" t="str">
        <f>if('Point Intercept 1'!L162 = 'Point Intercept 2'!L162, 'Point Intercept 1'!L162, "ERROR")</f>
        <v>Cylindropuntia prolifera</v>
      </c>
      <c r="M162" s="9" t="str">
        <f>if('Point Intercept 1'!N162 = 'Point Intercept 2'!M162, 'Point Intercept 1'!N162, "ERROR")</f>
        <v/>
      </c>
      <c r="N162" s="9" t="str">
        <f>if('Point Intercept 1'!O162 = 'Point Intercept 2'!N162, 'Point Intercept 1'!O162, "ERROR")</f>
        <v/>
      </c>
      <c r="O162" s="9" t="str">
        <f>if('Point Intercept 1'!P162 = 'Point Intercept 2'!O162, 'Point Intercept 1'!P162, "ERROR")</f>
        <v/>
      </c>
    </row>
    <row r="163">
      <c r="A163" s="9">
        <f>if('Point Intercept 1'!A163 = 'Point Intercept 2'!A163, 'Point Intercept 1'!A163, "ERROR")</f>
        <v>2</v>
      </c>
      <c r="B163" s="9">
        <f>if('Point Intercept 1'!B163 = 'Point Intercept 2'!B163, 'Point Intercept 1'!B163, "ERROR")</f>
        <v>2025</v>
      </c>
      <c r="C163" s="14">
        <f>if('Point Intercept 1'!C163 = 'Point Intercept 2'!C163, 'Point Intercept 1'!C163, "ERROR")</f>
        <v>45755</v>
      </c>
      <c r="D163" s="9" t="str">
        <f>if('Point Intercept 1'!D163 = 'Point Intercept 2'!D163, 'Point Intercept 1'!D163, "ERROR")</f>
        <v>MP, TL, CG, BN</v>
      </c>
      <c r="E163" s="9" t="str">
        <f>if('Point Intercept 1'!E163 = 'Point Intercept 2'!E163, 'Point Intercept 1'!E163, "ERROR")</f>
        <v>VB</v>
      </c>
      <c r="F163" s="9">
        <f>if('Point Intercept 1'!F163 = 'Point Intercept 2'!F163, 'Point Intercept 1'!F163, "ERROR")</f>
        <v>1</v>
      </c>
      <c r="G163" s="9" t="str">
        <f>if('Point Intercept 1'!G163 = 'Point Intercept 2'!G163, 'Point Intercept 1'!G163, "ERROR")</f>
        <v>LU</v>
      </c>
      <c r="H163" s="9">
        <f>if('Point Intercept 1'!I163 = 'Point Intercept 2'!I163, 'Point Intercept 1'!I163, "ERROR")</f>
        <v>4</v>
      </c>
      <c r="I163" s="9">
        <f>if('Point Intercept 1'!H163 = 'Point Intercept 2'!H163, 'Point Intercept 1'!H163, "ERROR")</f>
        <v>2</v>
      </c>
      <c r="J163" s="9">
        <f>if('Point Intercept 1'!J163 = 'Point Intercept 2'!J163, 'Point Intercept 1'!J163, "ERROR")</f>
        <v>1.5</v>
      </c>
      <c r="K163" s="9" t="str">
        <f>if('Point Intercept 1'!K163 = 'Point Intercept 2'!K163, 'Point Intercept 1'!K163, "ERROR")</f>
        <v>CENMEL</v>
      </c>
      <c r="L163" s="9" t="str">
        <f>if('Point Intercept 1'!L163 = 'Point Intercept 2'!L163, 'Point Intercept 1'!L163, "ERROR")</f>
        <v>Centaurea melitensis</v>
      </c>
      <c r="M163" s="9" t="str">
        <f>if('Point Intercept 1'!N163 = 'Point Intercept 2'!M163, 'Point Intercept 1'!N163, "ERROR")</f>
        <v/>
      </c>
      <c r="N163" s="9" t="str">
        <f>if('Point Intercept 1'!O163 = 'Point Intercept 2'!N163, 'Point Intercept 1'!O163, "ERROR")</f>
        <v/>
      </c>
      <c r="O163" s="9" t="str">
        <f>if('Point Intercept 1'!P163 = 'Point Intercept 2'!O163, 'Point Intercept 1'!P163, "ERROR")</f>
        <v/>
      </c>
    </row>
    <row r="164">
      <c r="A164" s="9">
        <f>if('Point Intercept 1'!A164 = 'Point Intercept 2'!A164, 'Point Intercept 1'!A164, "ERROR")</f>
        <v>2</v>
      </c>
      <c r="B164" s="9">
        <f>if('Point Intercept 1'!B164 = 'Point Intercept 2'!B164, 'Point Intercept 1'!B164, "ERROR")</f>
        <v>2025</v>
      </c>
      <c r="C164" s="14">
        <f>if('Point Intercept 1'!C164 = 'Point Intercept 2'!C164, 'Point Intercept 1'!C164, "ERROR")</f>
        <v>45755</v>
      </c>
      <c r="D164" s="9" t="str">
        <f>if('Point Intercept 1'!D164 = 'Point Intercept 2'!D164, 'Point Intercept 1'!D164, "ERROR")</f>
        <v>MP, TL, CG, BN</v>
      </c>
      <c r="E164" s="9" t="str">
        <f>if('Point Intercept 1'!E164 = 'Point Intercept 2'!E164, 'Point Intercept 1'!E164, "ERROR")</f>
        <v>VB</v>
      </c>
      <c r="F164" s="9">
        <f>if('Point Intercept 1'!F164 = 'Point Intercept 2'!F164, 'Point Intercept 1'!F164, "ERROR")</f>
        <v>1</v>
      </c>
      <c r="G164" s="9" t="str">
        <f>if('Point Intercept 1'!G164 = 'Point Intercept 2'!G164, 'Point Intercept 1'!G164, "ERROR")</f>
        <v>LU</v>
      </c>
      <c r="H164" s="9">
        <f>if('Point Intercept 1'!I164 = 'Point Intercept 2'!I164, 'Point Intercept 1'!I164, "ERROR")</f>
        <v>5</v>
      </c>
      <c r="I164" s="9">
        <f>if('Point Intercept 1'!H164 = 'Point Intercept 2'!H164, 'Point Intercept 1'!H164, "ERROR")</f>
        <v>2</v>
      </c>
      <c r="J164" s="9">
        <f>if('Point Intercept 1'!J164 = 'Point Intercept 2'!J164, 'Point Intercept 1'!J164, "ERROR")</f>
        <v>2.5</v>
      </c>
      <c r="K164" s="9" t="str">
        <f>if('Point Intercept 1'!K164 = 'Point Intercept 2'!K164, 'Point Intercept 1'!K164, "ERROR")</f>
        <v>L</v>
      </c>
      <c r="L164" s="9" t="str">
        <f>if('Point Intercept 1'!L164 = 'Point Intercept 2'!L164, 'Point Intercept 1'!L164, "ERROR")</f>
        <v>Litter</v>
      </c>
      <c r="M164" s="9" t="str">
        <f>if('Point Intercept 1'!N164 = 'Point Intercept 2'!M164, 'Point Intercept 1'!N164, "ERROR")</f>
        <v/>
      </c>
      <c r="N164" s="9" t="str">
        <f>if('Point Intercept 1'!O164 = 'Point Intercept 2'!N164, 'Point Intercept 1'!O164, "ERROR")</f>
        <v/>
      </c>
      <c r="O164" s="9" t="str">
        <f>if('Point Intercept 1'!P164 = 'Point Intercept 2'!O164, 'Point Intercept 1'!P164, "ERROR")</f>
        <v/>
      </c>
    </row>
    <row r="165">
      <c r="A165" s="9">
        <f>if('Point Intercept 1'!A165 = 'Point Intercept 2'!A165, 'Point Intercept 1'!A165, "ERROR")</f>
        <v>2</v>
      </c>
      <c r="B165" s="9">
        <f>if('Point Intercept 1'!B165 = 'Point Intercept 2'!B165, 'Point Intercept 1'!B165, "ERROR")</f>
        <v>2025</v>
      </c>
      <c r="C165" s="14">
        <f>if('Point Intercept 1'!C165 = 'Point Intercept 2'!C165, 'Point Intercept 1'!C165, "ERROR")</f>
        <v>45755</v>
      </c>
      <c r="D165" s="9" t="str">
        <f>if('Point Intercept 1'!D165 = 'Point Intercept 2'!D165, 'Point Intercept 1'!D165, "ERROR")</f>
        <v>MP, TL, CG, BN</v>
      </c>
      <c r="E165" s="9" t="str">
        <f>if('Point Intercept 1'!E165 = 'Point Intercept 2'!E165, 'Point Intercept 1'!E165, "ERROR")</f>
        <v>VB</v>
      </c>
      <c r="F165" s="9">
        <f>if('Point Intercept 1'!F165 = 'Point Intercept 2'!F165, 'Point Intercept 1'!F165, "ERROR")</f>
        <v>1</v>
      </c>
      <c r="G165" s="9" t="str">
        <f>if('Point Intercept 1'!G165 = 'Point Intercept 2'!G165, 'Point Intercept 1'!G165, "ERROR")</f>
        <v>LU</v>
      </c>
      <c r="H165" s="9">
        <f>if('Point Intercept 1'!I165 = 'Point Intercept 2'!I165, 'Point Intercept 1'!I165, "ERROR")</f>
        <v>5</v>
      </c>
      <c r="I165" s="9">
        <f>if('Point Intercept 1'!H165 = 'Point Intercept 2'!H165, 'Point Intercept 1'!H165, "ERROR")</f>
        <v>2</v>
      </c>
      <c r="J165" s="9">
        <f>if('Point Intercept 1'!J165 = 'Point Intercept 2'!J165, 'Point Intercept 1'!J165, "ERROR")</f>
        <v>2.5</v>
      </c>
      <c r="K165" s="9" t="str">
        <f>if('Point Intercept 1'!K165 = 'Point Intercept 2'!K165, 'Point Intercept 1'!K165, "ERROR")</f>
        <v>MEDPOL</v>
      </c>
      <c r="L165" s="9" t="str">
        <f>if('Point Intercept 1'!L165 = 'Point Intercept 2'!L165, 'Point Intercept 1'!L165, "ERROR")</f>
        <v>Medicago polymorpha</v>
      </c>
      <c r="M165" s="9" t="str">
        <f>if('Point Intercept 1'!N165 = 'Point Intercept 2'!M165, 'Point Intercept 1'!N165, "ERROR")</f>
        <v/>
      </c>
      <c r="N165" s="9" t="str">
        <f>if('Point Intercept 1'!O165 = 'Point Intercept 2'!N165, 'Point Intercept 1'!O165, "ERROR")</f>
        <v/>
      </c>
      <c r="O165" s="9" t="str">
        <f>if('Point Intercept 1'!P165 = 'Point Intercept 2'!O165, 'Point Intercept 1'!P165, "ERROR")</f>
        <v/>
      </c>
    </row>
    <row r="166">
      <c r="A166" s="9">
        <f>if('Point Intercept 1'!A166 = 'Point Intercept 2'!A166, 'Point Intercept 1'!A166, "ERROR")</f>
        <v>2</v>
      </c>
      <c r="B166" s="9">
        <f>if('Point Intercept 1'!B166 = 'Point Intercept 2'!B166, 'Point Intercept 1'!B166, "ERROR")</f>
        <v>2025</v>
      </c>
      <c r="C166" s="14">
        <f>if('Point Intercept 1'!C166 = 'Point Intercept 2'!C166, 'Point Intercept 1'!C166, "ERROR")</f>
        <v>45755</v>
      </c>
      <c r="D166" s="9" t="str">
        <f>if('Point Intercept 1'!D166 = 'Point Intercept 2'!D166, 'Point Intercept 1'!D166, "ERROR")</f>
        <v>MP, TL, CG, BN</v>
      </c>
      <c r="E166" s="9" t="str">
        <f>if('Point Intercept 1'!E166 = 'Point Intercept 2'!E166, 'Point Intercept 1'!E166, "ERROR")</f>
        <v>VB</v>
      </c>
      <c r="F166" s="9">
        <f>if('Point Intercept 1'!F166 = 'Point Intercept 2'!F166, 'Point Intercept 1'!F166, "ERROR")</f>
        <v>1</v>
      </c>
      <c r="G166" s="9" t="str">
        <f>if('Point Intercept 1'!G166 = 'Point Intercept 2'!G166, 'Point Intercept 1'!G166, "ERROR")</f>
        <v>LU</v>
      </c>
      <c r="H166" s="9">
        <f>if('Point Intercept 1'!I166 = 'Point Intercept 2'!I166, 'Point Intercept 1'!I166, "ERROR")</f>
        <v>5</v>
      </c>
      <c r="I166" s="9">
        <f>if('Point Intercept 1'!H166 = 'Point Intercept 2'!H166, 'Point Intercept 1'!H166, "ERROR")</f>
        <v>2</v>
      </c>
      <c r="J166" s="9">
        <f>if('Point Intercept 1'!J166 = 'Point Intercept 2'!J166, 'Point Intercept 1'!J166, "ERROR")</f>
        <v>2.5</v>
      </c>
      <c r="K166" s="9" t="str">
        <f>if('Point Intercept 1'!K166 = 'Point Intercept 2'!K166, 'Point Intercept 1'!K166, "ERROR")</f>
        <v>EROMOS</v>
      </c>
      <c r="L166" s="9" t="str">
        <f>if('Point Intercept 1'!L166 = 'Point Intercept 2'!L166, 'Point Intercept 1'!L166, "ERROR")</f>
        <v>Erodium moschatum</v>
      </c>
      <c r="M166" s="9" t="str">
        <f>if('Point Intercept 1'!N166 = 'Point Intercept 2'!M166, 'Point Intercept 1'!N166, "ERROR")</f>
        <v/>
      </c>
      <c r="N166" s="9" t="str">
        <f>if('Point Intercept 1'!O166 = 'Point Intercept 2'!N166, 'Point Intercept 1'!O166, "ERROR")</f>
        <v/>
      </c>
      <c r="O166" s="9" t="str">
        <f>if('Point Intercept 1'!P166 = 'Point Intercept 2'!O166, 'Point Intercept 1'!P166, "ERROR")</f>
        <v/>
      </c>
    </row>
    <row r="167">
      <c r="A167" s="9">
        <f>if('Point Intercept 1'!A167 = 'Point Intercept 2'!A167, 'Point Intercept 1'!A167, "ERROR")</f>
        <v>2</v>
      </c>
      <c r="B167" s="9">
        <f>if('Point Intercept 1'!B167 = 'Point Intercept 2'!B167, 'Point Intercept 1'!B167, "ERROR")</f>
        <v>2025</v>
      </c>
      <c r="C167" s="14">
        <f>if('Point Intercept 1'!C167 = 'Point Intercept 2'!C167, 'Point Intercept 1'!C167, "ERROR")</f>
        <v>45755</v>
      </c>
      <c r="D167" s="9" t="str">
        <f>if('Point Intercept 1'!D167 = 'Point Intercept 2'!D167, 'Point Intercept 1'!D167, "ERROR")</f>
        <v>MP, TL, CG, BN</v>
      </c>
      <c r="E167" s="9" t="str">
        <f>if('Point Intercept 1'!E167 = 'Point Intercept 2'!E167, 'Point Intercept 1'!E167, "ERROR")</f>
        <v>VB</v>
      </c>
      <c r="F167" s="9">
        <f>if('Point Intercept 1'!F167 = 'Point Intercept 2'!F167, 'Point Intercept 1'!F167, "ERROR")</f>
        <v>1</v>
      </c>
      <c r="G167" s="9" t="str">
        <f>if('Point Intercept 1'!G167 = 'Point Intercept 2'!G167, 'Point Intercept 1'!G167, "ERROR")</f>
        <v>LU</v>
      </c>
      <c r="H167" s="9">
        <f>if('Point Intercept 1'!I167 = 'Point Intercept 2'!I167, 'Point Intercept 1'!I167, "ERROR")</f>
        <v>5</v>
      </c>
      <c r="I167" s="9">
        <f>if('Point Intercept 1'!H167 = 'Point Intercept 2'!H167, 'Point Intercept 1'!H167, "ERROR")</f>
        <v>2</v>
      </c>
      <c r="J167" s="9">
        <f>if('Point Intercept 1'!J167 = 'Point Intercept 2'!J167, 'Point Intercept 1'!J167, "ERROR")</f>
        <v>2.5</v>
      </c>
      <c r="K167" s="9" t="str">
        <f>if('Point Intercept 1'!K167 = 'Point Intercept 2'!K167, 'Point Intercept 1'!K167, "ERROR")</f>
        <v>STEDIE</v>
      </c>
      <c r="L167" s="9" t="str">
        <f>if('Point Intercept 1'!L167 = 'Point Intercept 2'!L167, 'Point Intercept 1'!L167, "ERROR")</f>
        <v>Stephanomeria diegensis</v>
      </c>
      <c r="M167" s="9" t="str">
        <f>if('Point Intercept 1'!N167 = 'Point Intercept 2'!M167, 'Point Intercept 1'!N167, "ERROR")</f>
        <v/>
      </c>
      <c r="N167" s="9" t="str">
        <f>if('Point Intercept 1'!O167 = 'Point Intercept 2'!N167, 'Point Intercept 1'!O167, "ERROR")</f>
        <v/>
      </c>
      <c r="O167" s="9" t="str">
        <f>if('Point Intercept 1'!P167 = 'Point Intercept 2'!O167, 'Point Intercept 1'!P167, "ERROR")</f>
        <v/>
      </c>
    </row>
    <row r="168">
      <c r="A168" s="9">
        <f>if('Point Intercept 1'!A168 = 'Point Intercept 2'!A168, 'Point Intercept 1'!A168, "ERROR")</f>
        <v>2</v>
      </c>
      <c r="B168" s="9">
        <f>if('Point Intercept 1'!B168 = 'Point Intercept 2'!B168, 'Point Intercept 1'!B168, "ERROR")</f>
        <v>2025</v>
      </c>
      <c r="C168" s="14">
        <f>if('Point Intercept 1'!C168 = 'Point Intercept 2'!C168, 'Point Intercept 1'!C168, "ERROR")</f>
        <v>45755</v>
      </c>
      <c r="D168" s="9" t="str">
        <f>if('Point Intercept 1'!D168 = 'Point Intercept 2'!D168, 'Point Intercept 1'!D168, "ERROR")</f>
        <v>MP, TL, CG, BN</v>
      </c>
      <c r="E168" s="9" t="str">
        <f>if('Point Intercept 1'!E168 = 'Point Intercept 2'!E168, 'Point Intercept 1'!E168, "ERROR")</f>
        <v>VB</v>
      </c>
      <c r="F168" s="9">
        <f>if('Point Intercept 1'!F168 = 'Point Intercept 2'!F168, 'Point Intercept 1'!F168, "ERROR")</f>
        <v>1</v>
      </c>
      <c r="G168" s="9" t="str">
        <f>if('Point Intercept 1'!G168 = 'Point Intercept 2'!G168, 'Point Intercept 1'!G168, "ERROR")</f>
        <v>LU</v>
      </c>
      <c r="H168" s="9">
        <f>if('Point Intercept 1'!I168 = 'Point Intercept 2'!I168, 'Point Intercept 1'!I168, "ERROR")</f>
        <v>6</v>
      </c>
      <c r="I168" s="9">
        <f>if('Point Intercept 1'!H168 = 'Point Intercept 2'!H168, 'Point Intercept 1'!H168, "ERROR")</f>
        <v>2</v>
      </c>
      <c r="J168" s="9">
        <f>if('Point Intercept 1'!J168 = 'Point Intercept 2'!J168, 'Point Intercept 1'!J168, "ERROR")</f>
        <v>3</v>
      </c>
      <c r="K168" s="9" t="str">
        <f>if('Point Intercept 1'!K168 = 'Point Intercept 2'!K168, 'Point Intercept 1'!K168, "ERROR")</f>
        <v>L</v>
      </c>
      <c r="L168" s="9" t="str">
        <f>if('Point Intercept 1'!L168 = 'Point Intercept 2'!L168, 'Point Intercept 1'!L168, "ERROR")</f>
        <v>Litter</v>
      </c>
      <c r="M168" s="9" t="str">
        <f>if('Point Intercept 1'!N168 = 'Point Intercept 2'!M168, 'Point Intercept 1'!N168, "ERROR")</f>
        <v/>
      </c>
      <c r="N168" s="9" t="str">
        <f>if('Point Intercept 1'!O168 = 'Point Intercept 2'!N168, 'Point Intercept 1'!O168, "ERROR")</f>
        <v/>
      </c>
      <c r="O168" s="9" t="str">
        <f>if('Point Intercept 1'!P168 = 'Point Intercept 2'!O168, 'Point Intercept 1'!P168, "ERROR")</f>
        <v/>
      </c>
    </row>
    <row r="169">
      <c r="A169" s="9">
        <f>if('Point Intercept 1'!A169 = 'Point Intercept 2'!A169, 'Point Intercept 1'!A169, "ERROR")</f>
        <v>2</v>
      </c>
      <c r="B169" s="9">
        <f>if('Point Intercept 1'!B169 = 'Point Intercept 2'!B169, 'Point Intercept 1'!B169, "ERROR")</f>
        <v>2025</v>
      </c>
      <c r="C169" s="14">
        <f>if('Point Intercept 1'!C169 = 'Point Intercept 2'!C169, 'Point Intercept 1'!C169, "ERROR")</f>
        <v>45755</v>
      </c>
      <c r="D169" s="9" t="str">
        <f>if('Point Intercept 1'!D169 = 'Point Intercept 2'!D169, 'Point Intercept 1'!D169, "ERROR")</f>
        <v>MP, TL, CG, BN</v>
      </c>
      <c r="E169" s="9" t="str">
        <f>if('Point Intercept 1'!E169 = 'Point Intercept 2'!E169, 'Point Intercept 1'!E169, "ERROR")</f>
        <v>VB</v>
      </c>
      <c r="F169" s="9">
        <f>if('Point Intercept 1'!F169 = 'Point Intercept 2'!F169, 'Point Intercept 1'!F169, "ERROR")</f>
        <v>1</v>
      </c>
      <c r="G169" s="9" t="str">
        <f>if('Point Intercept 1'!G169 = 'Point Intercept 2'!G169, 'Point Intercept 1'!G169, "ERROR")</f>
        <v>LU</v>
      </c>
      <c r="H169" s="9">
        <f>if('Point Intercept 1'!I169 = 'Point Intercept 2'!I169, 'Point Intercept 1'!I169, "ERROR")</f>
        <v>6</v>
      </c>
      <c r="I169" s="9">
        <f>if('Point Intercept 1'!H169 = 'Point Intercept 2'!H169, 'Point Intercept 1'!H169, "ERROR")</f>
        <v>2</v>
      </c>
      <c r="J169" s="9">
        <f>if('Point Intercept 1'!J169 = 'Point Intercept 2'!J169, 'Point Intercept 1'!J169, "ERROR")</f>
        <v>3</v>
      </c>
      <c r="K169" s="9" t="str">
        <f>if('Point Intercept 1'!K169 = 'Point Intercept 2'!K169, 'Point Intercept 1'!K169, "ERROR")</f>
        <v>MEDPOL</v>
      </c>
      <c r="L169" s="9" t="str">
        <f>if('Point Intercept 1'!L169 = 'Point Intercept 2'!L169, 'Point Intercept 1'!L169, "ERROR")</f>
        <v>Medicago polymorpha</v>
      </c>
      <c r="M169" s="9" t="str">
        <f>if('Point Intercept 1'!N169 = 'Point Intercept 2'!M169, 'Point Intercept 1'!N169, "ERROR")</f>
        <v/>
      </c>
      <c r="N169" s="9" t="str">
        <f>if('Point Intercept 1'!O169 = 'Point Intercept 2'!N169, 'Point Intercept 1'!O169, "ERROR")</f>
        <v/>
      </c>
      <c r="O169" s="9" t="str">
        <f>if('Point Intercept 1'!P169 = 'Point Intercept 2'!O169, 'Point Intercept 1'!P169, "ERROR")</f>
        <v/>
      </c>
    </row>
    <row r="170">
      <c r="A170" s="9">
        <f>if('Point Intercept 1'!A170 = 'Point Intercept 2'!A170, 'Point Intercept 1'!A170, "ERROR")</f>
        <v>2</v>
      </c>
      <c r="B170" s="9">
        <f>if('Point Intercept 1'!B170 = 'Point Intercept 2'!B170, 'Point Intercept 1'!B170, "ERROR")</f>
        <v>2025</v>
      </c>
      <c r="C170" s="14">
        <f>if('Point Intercept 1'!C170 = 'Point Intercept 2'!C170, 'Point Intercept 1'!C170, "ERROR")</f>
        <v>45755</v>
      </c>
      <c r="D170" s="9" t="str">
        <f>if('Point Intercept 1'!D170 = 'Point Intercept 2'!D170, 'Point Intercept 1'!D170, "ERROR")</f>
        <v>MP, TL, CG, BN</v>
      </c>
      <c r="E170" s="9" t="str">
        <f>if('Point Intercept 1'!E170 = 'Point Intercept 2'!E170, 'Point Intercept 1'!E170, "ERROR")</f>
        <v>VB</v>
      </c>
      <c r="F170" s="9">
        <f>if('Point Intercept 1'!F170 = 'Point Intercept 2'!F170, 'Point Intercept 1'!F170, "ERROR")</f>
        <v>1</v>
      </c>
      <c r="G170" s="9" t="str">
        <f>if('Point Intercept 1'!G170 = 'Point Intercept 2'!G170, 'Point Intercept 1'!G170, "ERROR")</f>
        <v>LU</v>
      </c>
      <c r="H170" s="9">
        <f>if('Point Intercept 1'!I170 = 'Point Intercept 2'!I170, 'Point Intercept 1'!I170, "ERROR")</f>
        <v>6</v>
      </c>
      <c r="I170" s="9">
        <f>if('Point Intercept 1'!H170 = 'Point Intercept 2'!H170, 'Point Intercept 1'!H170, "ERROR")</f>
        <v>2</v>
      </c>
      <c r="J170" s="9">
        <f>if('Point Intercept 1'!J170 = 'Point Intercept 2'!J170, 'Point Intercept 1'!J170, "ERROR")</f>
        <v>3</v>
      </c>
      <c r="K170" s="9" t="str">
        <f>if('Point Intercept 1'!K170 = 'Point Intercept 2'!K170, 'Point Intercept 1'!K170, "ERROR")</f>
        <v>SONOLE</v>
      </c>
      <c r="L170" s="9" t="str">
        <f>if('Point Intercept 1'!L170 = 'Point Intercept 2'!L170, 'Point Intercept 1'!L170, "ERROR")</f>
        <v>Sonchus oleraceus</v>
      </c>
      <c r="M170" s="9" t="str">
        <f>if('Point Intercept 1'!N170 = 'Point Intercept 2'!M170, 'Point Intercept 1'!N170, "ERROR")</f>
        <v/>
      </c>
      <c r="N170" s="9" t="str">
        <f>if('Point Intercept 1'!O170 = 'Point Intercept 2'!N170, 'Point Intercept 1'!O170, "ERROR")</f>
        <v/>
      </c>
      <c r="O170" s="9" t="str">
        <f>if('Point Intercept 1'!P170 = 'Point Intercept 2'!O170, 'Point Intercept 1'!P170, "ERROR")</f>
        <v/>
      </c>
    </row>
    <row r="171">
      <c r="A171" s="9">
        <f>if('Point Intercept 1'!A171 = 'Point Intercept 2'!A171, 'Point Intercept 1'!A171, "ERROR")</f>
        <v>2</v>
      </c>
      <c r="B171" s="9">
        <f>if('Point Intercept 1'!B171 = 'Point Intercept 2'!B171, 'Point Intercept 1'!B171, "ERROR")</f>
        <v>2025</v>
      </c>
      <c r="C171" s="14">
        <f>if('Point Intercept 1'!C171 = 'Point Intercept 2'!C171, 'Point Intercept 1'!C171, "ERROR")</f>
        <v>45755</v>
      </c>
      <c r="D171" s="9" t="str">
        <f>if('Point Intercept 1'!D171 = 'Point Intercept 2'!D171, 'Point Intercept 1'!D171, "ERROR")</f>
        <v>MP, TL, CG, BN</v>
      </c>
      <c r="E171" s="9" t="str">
        <f>if('Point Intercept 1'!E171 = 'Point Intercept 2'!E171, 'Point Intercept 1'!E171, "ERROR")</f>
        <v>VB</v>
      </c>
      <c r="F171" s="9">
        <f>if('Point Intercept 1'!F171 = 'Point Intercept 2'!F171, 'Point Intercept 1'!F171, "ERROR")</f>
        <v>1</v>
      </c>
      <c r="G171" s="9" t="str">
        <f>if('Point Intercept 1'!G171 = 'Point Intercept 2'!G171, 'Point Intercept 1'!G171, "ERROR")</f>
        <v>LU</v>
      </c>
      <c r="H171" s="9">
        <f>if('Point Intercept 1'!I171 = 'Point Intercept 2'!I171, 'Point Intercept 1'!I171, "ERROR")</f>
        <v>7</v>
      </c>
      <c r="I171" s="9">
        <f>if('Point Intercept 1'!H171 = 'Point Intercept 2'!H171, 'Point Intercept 1'!H171, "ERROR")</f>
        <v>2</v>
      </c>
      <c r="J171" s="9">
        <f>if('Point Intercept 1'!J171 = 'Point Intercept 2'!J171, 'Point Intercept 1'!J171, "ERROR")</f>
        <v>3.5</v>
      </c>
      <c r="K171" s="9" t="str">
        <f>if('Point Intercept 1'!K171 = 'Point Intercept 2'!K171, 'Point Intercept 1'!K171, "ERROR")</f>
        <v>B</v>
      </c>
      <c r="L171" s="9" t="str">
        <f>if('Point Intercept 1'!L171 = 'Point Intercept 2'!L171, 'Point Intercept 1'!L171, "ERROR")</f>
        <v>Bareground</v>
      </c>
      <c r="M171" s="9" t="str">
        <f>if('Point Intercept 1'!N171 = 'Point Intercept 2'!M171, 'Point Intercept 1'!N171, "ERROR")</f>
        <v/>
      </c>
      <c r="N171" s="9" t="str">
        <f>if('Point Intercept 1'!O171 = 'Point Intercept 2'!N171, 'Point Intercept 1'!O171, "ERROR")</f>
        <v/>
      </c>
      <c r="O171" s="9" t="str">
        <f>if('Point Intercept 1'!P171 = 'Point Intercept 2'!O171, 'Point Intercept 1'!P171, "ERROR")</f>
        <v/>
      </c>
    </row>
    <row r="172">
      <c r="A172" s="9">
        <f>if('Point Intercept 1'!A172 = 'Point Intercept 2'!A172, 'Point Intercept 1'!A172, "ERROR")</f>
        <v>2</v>
      </c>
      <c r="B172" s="9">
        <f>if('Point Intercept 1'!B172 = 'Point Intercept 2'!B172, 'Point Intercept 1'!B172, "ERROR")</f>
        <v>2025</v>
      </c>
      <c r="C172" s="14">
        <f>if('Point Intercept 1'!C172 = 'Point Intercept 2'!C172, 'Point Intercept 1'!C172, "ERROR")</f>
        <v>45755</v>
      </c>
      <c r="D172" s="9" t="str">
        <f>if('Point Intercept 1'!D172 = 'Point Intercept 2'!D172, 'Point Intercept 1'!D172, "ERROR")</f>
        <v>MP, TL, CG, BN</v>
      </c>
      <c r="E172" s="9" t="str">
        <f>if('Point Intercept 1'!E172 = 'Point Intercept 2'!E172, 'Point Intercept 1'!E172, "ERROR")</f>
        <v>VB</v>
      </c>
      <c r="F172" s="9">
        <f>if('Point Intercept 1'!F172 = 'Point Intercept 2'!F172, 'Point Intercept 1'!F172, "ERROR")</f>
        <v>1</v>
      </c>
      <c r="G172" s="9" t="str">
        <f>if('Point Intercept 1'!G172 = 'Point Intercept 2'!G172, 'Point Intercept 1'!G172, "ERROR")</f>
        <v>LU</v>
      </c>
      <c r="H172" s="9">
        <f>if('Point Intercept 1'!I172 = 'Point Intercept 2'!I172, 'Point Intercept 1'!I172, "ERROR")</f>
        <v>8</v>
      </c>
      <c r="I172" s="9">
        <f>if('Point Intercept 1'!H172 = 'Point Intercept 2'!H172, 'Point Intercept 1'!H172, "ERROR")</f>
        <v>2</v>
      </c>
      <c r="J172" s="9">
        <f>if('Point Intercept 1'!J172 = 'Point Intercept 2'!J172, 'Point Intercept 1'!J172, "ERROR")</f>
        <v>4</v>
      </c>
      <c r="K172" s="9" t="str">
        <f>if('Point Intercept 1'!K172 = 'Point Intercept 2'!K172, 'Point Intercept 1'!K172, "ERROR")</f>
        <v>L</v>
      </c>
      <c r="L172" s="9" t="str">
        <f>if('Point Intercept 1'!L172 = 'Point Intercept 2'!L172, 'Point Intercept 1'!L172, "ERROR")</f>
        <v>Litter</v>
      </c>
      <c r="M172" s="9" t="str">
        <f>if('Point Intercept 1'!N172 = 'Point Intercept 2'!M172, 'Point Intercept 1'!N172, "ERROR")</f>
        <v/>
      </c>
      <c r="N172" s="9" t="str">
        <f>if('Point Intercept 1'!O172 = 'Point Intercept 2'!N172, 'Point Intercept 1'!O172, "ERROR")</f>
        <v/>
      </c>
      <c r="O172" s="9" t="str">
        <f>if('Point Intercept 1'!P172 = 'Point Intercept 2'!O172, 'Point Intercept 1'!P172, "ERROR")</f>
        <v/>
      </c>
    </row>
    <row r="173">
      <c r="A173" s="9">
        <f>if('Point Intercept 1'!A173 = 'Point Intercept 2'!A173, 'Point Intercept 1'!A173, "ERROR")</f>
        <v>2</v>
      </c>
      <c r="B173" s="9">
        <f>if('Point Intercept 1'!B173 = 'Point Intercept 2'!B173, 'Point Intercept 1'!B173, "ERROR")</f>
        <v>2025</v>
      </c>
      <c r="C173" s="14">
        <f>if('Point Intercept 1'!C173 = 'Point Intercept 2'!C173, 'Point Intercept 1'!C173, "ERROR")</f>
        <v>45755</v>
      </c>
      <c r="D173" s="9" t="str">
        <f>if('Point Intercept 1'!D173 = 'Point Intercept 2'!D173, 'Point Intercept 1'!D173, "ERROR")</f>
        <v>MP, TL, CG, BN</v>
      </c>
      <c r="E173" s="9" t="str">
        <f>if('Point Intercept 1'!E173 = 'Point Intercept 2'!E173, 'Point Intercept 1'!E173, "ERROR")</f>
        <v>VB</v>
      </c>
      <c r="F173" s="9">
        <f>if('Point Intercept 1'!F173 = 'Point Intercept 2'!F173, 'Point Intercept 1'!F173, "ERROR")</f>
        <v>1</v>
      </c>
      <c r="G173" s="9" t="str">
        <f>if('Point Intercept 1'!G173 = 'Point Intercept 2'!G173, 'Point Intercept 1'!G173, "ERROR")</f>
        <v>LU</v>
      </c>
      <c r="H173" s="9">
        <f>if('Point Intercept 1'!I173 = 'Point Intercept 2'!I173, 'Point Intercept 1'!I173, "ERROR")</f>
        <v>8</v>
      </c>
      <c r="I173" s="9">
        <f>if('Point Intercept 1'!H173 = 'Point Intercept 2'!H173, 'Point Intercept 1'!H173, "ERROR")</f>
        <v>2</v>
      </c>
      <c r="J173" s="9">
        <f>if('Point Intercept 1'!J173 = 'Point Intercept 2'!J173, 'Point Intercept 1'!J173, "ERROR")</f>
        <v>4</v>
      </c>
      <c r="K173" s="9" t="str">
        <f>if('Point Intercept 1'!K173 = 'Point Intercept 2'!K173, 'Point Intercept 1'!K173, "ERROR")</f>
        <v>SONOLE</v>
      </c>
      <c r="L173" s="9" t="str">
        <f>if('Point Intercept 1'!L173 = 'Point Intercept 2'!L173, 'Point Intercept 1'!L173, "ERROR")</f>
        <v>Sonchus oleraceus</v>
      </c>
      <c r="M173" s="9" t="str">
        <f>if('Point Intercept 1'!N173 = 'Point Intercept 2'!M173, 'Point Intercept 1'!N173, "ERROR")</f>
        <v/>
      </c>
      <c r="N173" s="9" t="str">
        <f>if('Point Intercept 1'!O173 = 'Point Intercept 2'!N173, 'Point Intercept 1'!O173, "ERROR")</f>
        <v/>
      </c>
      <c r="O173" s="9" t="str">
        <f>if('Point Intercept 1'!P173 = 'Point Intercept 2'!O173, 'Point Intercept 1'!P173, "ERROR")</f>
        <v/>
      </c>
    </row>
    <row r="174">
      <c r="A174" s="9">
        <f>if('Point Intercept 1'!A174 = 'Point Intercept 2'!A174, 'Point Intercept 1'!A174, "ERROR")</f>
        <v>2</v>
      </c>
      <c r="B174" s="9">
        <f>if('Point Intercept 1'!B174 = 'Point Intercept 2'!B174, 'Point Intercept 1'!B174, "ERROR")</f>
        <v>2025</v>
      </c>
      <c r="C174" s="14">
        <f>if('Point Intercept 1'!C174 = 'Point Intercept 2'!C174, 'Point Intercept 1'!C174, "ERROR")</f>
        <v>45755</v>
      </c>
      <c r="D174" s="9" t="str">
        <f>if('Point Intercept 1'!D174 = 'Point Intercept 2'!D174, 'Point Intercept 1'!D174, "ERROR")</f>
        <v>MP, TL, CG, BN</v>
      </c>
      <c r="E174" s="9" t="str">
        <f>if('Point Intercept 1'!E174 = 'Point Intercept 2'!E174, 'Point Intercept 1'!E174, "ERROR")</f>
        <v>VB</v>
      </c>
      <c r="F174" s="9">
        <f>if('Point Intercept 1'!F174 = 'Point Intercept 2'!F174, 'Point Intercept 1'!F174, "ERROR")</f>
        <v>1</v>
      </c>
      <c r="G174" s="9" t="str">
        <f>if('Point Intercept 1'!G174 = 'Point Intercept 2'!G174, 'Point Intercept 1'!G174, "ERROR")</f>
        <v>LU</v>
      </c>
      <c r="H174" s="9">
        <f>if('Point Intercept 1'!I174 = 'Point Intercept 2'!I174, 'Point Intercept 1'!I174, "ERROR")</f>
        <v>8</v>
      </c>
      <c r="I174" s="9">
        <f>if('Point Intercept 1'!H174 = 'Point Intercept 2'!H174, 'Point Intercept 1'!H174, "ERROR")</f>
        <v>2</v>
      </c>
      <c r="J174" s="9">
        <f>if('Point Intercept 1'!J174 = 'Point Intercept 2'!J174, 'Point Intercept 1'!J174, "ERROR")</f>
        <v>4</v>
      </c>
      <c r="K174" s="9" t="str">
        <f>if('Point Intercept 1'!K174 = 'Point Intercept 2'!K174, 'Point Intercept 1'!K174, "ERROR")</f>
        <v>EROCIC</v>
      </c>
      <c r="L174" s="9" t="str">
        <f>if('Point Intercept 1'!L174 = 'Point Intercept 2'!L174, 'Point Intercept 1'!L174, "ERROR")</f>
        <v>Erodium cicutarium</v>
      </c>
      <c r="M174" s="9" t="str">
        <f>if('Point Intercept 1'!N174 = 'Point Intercept 2'!M174, 'Point Intercept 1'!N174, "ERROR")</f>
        <v/>
      </c>
      <c r="N174" s="9" t="str">
        <f>if('Point Intercept 1'!O174 = 'Point Intercept 2'!N174, 'Point Intercept 1'!O174, "ERROR")</f>
        <v/>
      </c>
      <c r="O174" s="9" t="str">
        <f>if('Point Intercept 1'!P174 = 'Point Intercept 2'!O174, 'Point Intercept 1'!P174, "ERROR")</f>
        <v/>
      </c>
    </row>
    <row r="175">
      <c r="A175" s="9">
        <f>if('Point Intercept 1'!A175 = 'Point Intercept 2'!A175, 'Point Intercept 1'!A175, "ERROR")</f>
        <v>2</v>
      </c>
      <c r="B175" s="9">
        <f>if('Point Intercept 1'!B175 = 'Point Intercept 2'!B175, 'Point Intercept 1'!B175, "ERROR")</f>
        <v>2025</v>
      </c>
      <c r="C175" s="14">
        <f>if('Point Intercept 1'!C175 = 'Point Intercept 2'!C175, 'Point Intercept 1'!C175, "ERROR")</f>
        <v>45755</v>
      </c>
      <c r="D175" s="9" t="str">
        <f>if('Point Intercept 1'!D175 = 'Point Intercept 2'!D175, 'Point Intercept 1'!D175, "ERROR")</f>
        <v>MP, TL, CG, BN</v>
      </c>
      <c r="E175" s="9" t="str">
        <f>if('Point Intercept 1'!E175 = 'Point Intercept 2'!E175, 'Point Intercept 1'!E175, "ERROR")</f>
        <v>VB</v>
      </c>
      <c r="F175" s="9">
        <f>if('Point Intercept 1'!F175 = 'Point Intercept 2'!F175, 'Point Intercept 1'!F175, "ERROR")</f>
        <v>1</v>
      </c>
      <c r="G175" s="9" t="str">
        <f>if('Point Intercept 1'!G175 = 'Point Intercept 2'!G175, 'Point Intercept 1'!G175, "ERROR")</f>
        <v>LU</v>
      </c>
      <c r="H175" s="9">
        <f>if('Point Intercept 1'!I175 = 'Point Intercept 2'!I175, 'Point Intercept 1'!I175, "ERROR")</f>
        <v>9</v>
      </c>
      <c r="I175" s="9">
        <f>if('Point Intercept 1'!H175 = 'Point Intercept 2'!H175, 'Point Intercept 1'!H175, "ERROR")</f>
        <v>2</v>
      </c>
      <c r="J175" s="9">
        <f>if('Point Intercept 1'!J175 = 'Point Intercept 2'!J175, 'Point Intercept 1'!J175, "ERROR")</f>
        <v>4.5</v>
      </c>
      <c r="K175" s="9" t="str">
        <f>if('Point Intercept 1'!K175 = 'Point Intercept 2'!K175, 'Point Intercept 1'!K175, "ERROR")</f>
        <v>L</v>
      </c>
      <c r="L175" s="9" t="str">
        <f>if('Point Intercept 1'!L175 = 'Point Intercept 2'!L175, 'Point Intercept 1'!L175, "ERROR")</f>
        <v>Litter</v>
      </c>
      <c r="M175" s="9" t="str">
        <f>if('Point Intercept 1'!N175 = 'Point Intercept 2'!M175, 'Point Intercept 1'!N175, "ERROR")</f>
        <v/>
      </c>
      <c r="N175" s="9" t="str">
        <f>if('Point Intercept 1'!O175 = 'Point Intercept 2'!N175, 'Point Intercept 1'!O175, "ERROR")</f>
        <v/>
      </c>
      <c r="O175" s="9" t="str">
        <f>if('Point Intercept 1'!P175 = 'Point Intercept 2'!O175, 'Point Intercept 1'!P175, "ERROR")</f>
        <v/>
      </c>
    </row>
    <row r="176">
      <c r="A176" s="9">
        <f>if('Point Intercept 1'!A176 = 'Point Intercept 2'!A176, 'Point Intercept 1'!A176, "ERROR")</f>
        <v>2</v>
      </c>
      <c r="B176" s="9">
        <f>if('Point Intercept 1'!B176 = 'Point Intercept 2'!B176, 'Point Intercept 1'!B176, "ERROR")</f>
        <v>2025</v>
      </c>
      <c r="C176" s="14">
        <f>if('Point Intercept 1'!C176 = 'Point Intercept 2'!C176, 'Point Intercept 1'!C176, "ERROR")</f>
        <v>45755</v>
      </c>
      <c r="D176" s="9" t="str">
        <f>if('Point Intercept 1'!D176 = 'Point Intercept 2'!D176, 'Point Intercept 1'!D176, "ERROR")</f>
        <v>MP, TL, CG, BN</v>
      </c>
      <c r="E176" s="9" t="str">
        <f>if('Point Intercept 1'!E176 = 'Point Intercept 2'!E176, 'Point Intercept 1'!E176, "ERROR")</f>
        <v>VB</v>
      </c>
      <c r="F176" s="9">
        <f>if('Point Intercept 1'!F176 = 'Point Intercept 2'!F176, 'Point Intercept 1'!F176, "ERROR")</f>
        <v>1</v>
      </c>
      <c r="G176" s="9" t="str">
        <f>if('Point Intercept 1'!G176 = 'Point Intercept 2'!G176, 'Point Intercept 1'!G176, "ERROR")</f>
        <v>LU</v>
      </c>
      <c r="H176" s="9">
        <f>if('Point Intercept 1'!I176 = 'Point Intercept 2'!I176, 'Point Intercept 1'!I176, "ERROR")</f>
        <v>9</v>
      </c>
      <c r="I176" s="9">
        <f>if('Point Intercept 1'!H176 = 'Point Intercept 2'!H176, 'Point Intercept 1'!H176, "ERROR")</f>
        <v>2</v>
      </c>
      <c r="J176" s="9">
        <f>if('Point Intercept 1'!J176 = 'Point Intercept 2'!J176, 'Point Intercept 1'!J176, "ERROR")</f>
        <v>4.5</v>
      </c>
      <c r="K176" s="9" t="str">
        <f>if('Point Intercept 1'!K176 = 'Point Intercept 2'!K176, 'Point Intercept 1'!K176, "ERROR")</f>
        <v>DEIFAS</v>
      </c>
      <c r="L176" s="9" t="str">
        <f>if('Point Intercept 1'!L176 = 'Point Intercept 2'!L176, 'Point Intercept 1'!L176, "ERROR")</f>
        <v>Deinandra fasciculata</v>
      </c>
      <c r="M176" s="9" t="str">
        <f>if('Point Intercept 1'!N176 = 'Point Intercept 2'!M176, 'Point Intercept 1'!N176, "ERROR")</f>
        <v/>
      </c>
      <c r="N176" s="9" t="str">
        <f>if('Point Intercept 1'!O176 = 'Point Intercept 2'!N176, 'Point Intercept 1'!O176, "ERROR")</f>
        <v/>
      </c>
      <c r="O176" s="9" t="str">
        <f>if('Point Intercept 1'!P176 = 'Point Intercept 2'!O176, 'Point Intercept 1'!P176, "ERROR")</f>
        <v/>
      </c>
    </row>
    <row r="177">
      <c r="A177" s="9">
        <f>if('Point Intercept 1'!A177 = 'Point Intercept 2'!A177, 'Point Intercept 1'!A177, "ERROR")</f>
        <v>2</v>
      </c>
      <c r="B177" s="9">
        <f>if('Point Intercept 1'!B177 = 'Point Intercept 2'!B177, 'Point Intercept 1'!B177, "ERROR")</f>
        <v>2025</v>
      </c>
      <c r="C177" s="14">
        <f>if('Point Intercept 1'!C177 = 'Point Intercept 2'!C177, 'Point Intercept 1'!C177, "ERROR")</f>
        <v>45755</v>
      </c>
      <c r="D177" s="9" t="str">
        <f>if('Point Intercept 1'!D177 = 'Point Intercept 2'!D177, 'Point Intercept 1'!D177, "ERROR")</f>
        <v>MP, TL, CG, BN</v>
      </c>
      <c r="E177" s="9" t="str">
        <f>if('Point Intercept 1'!E177 = 'Point Intercept 2'!E177, 'Point Intercept 1'!E177, "ERROR")</f>
        <v>VB</v>
      </c>
      <c r="F177" s="9">
        <f>if('Point Intercept 1'!F177 = 'Point Intercept 2'!F177, 'Point Intercept 1'!F177, "ERROR")</f>
        <v>1</v>
      </c>
      <c r="G177" s="9" t="str">
        <f>if('Point Intercept 1'!G177 = 'Point Intercept 2'!G177, 'Point Intercept 1'!G177, "ERROR")</f>
        <v>LU</v>
      </c>
      <c r="H177" s="9">
        <f>if('Point Intercept 1'!I177 = 'Point Intercept 2'!I177, 'Point Intercept 1'!I177, "ERROR")</f>
        <v>9</v>
      </c>
      <c r="I177" s="9">
        <f>if('Point Intercept 1'!H177 = 'Point Intercept 2'!H177, 'Point Intercept 1'!H177, "ERROR")</f>
        <v>2</v>
      </c>
      <c r="J177" s="9">
        <f>if('Point Intercept 1'!J177 = 'Point Intercept 2'!J177, 'Point Intercept 1'!J177, "ERROR")</f>
        <v>4.5</v>
      </c>
      <c r="K177" s="9" t="str">
        <f>if('Point Intercept 1'!K177 = 'Point Intercept 2'!K177, 'Point Intercept 1'!K177, "ERROR")</f>
        <v>SONOLE</v>
      </c>
      <c r="L177" s="9" t="str">
        <f>if('Point Intercept 1'!L177 = 'Point Intercept 2'!L177, 'Point Intercept 1'!L177, "ERROR")</f>
        <v>Sonchus oleraceus</v>
      </c>
      <c r="M177" s="9" t="str">
        <f>if('Point Intercept 1'!N177 = 'Point Intercept 2'!M177, 'Point Intercept 1'!N177, "ERROR")</f>
        <v/>
      </c>
      <c r="N177" s="9" t="str">
        <f>if('Point Intercept 1'!O177 = 'Point Intercept 2'!N177, 'Point Intercept 1'!O177, "ERROR")</f>
        <v/>
      </c>
      <c r="O177" s="9" t="str">
        <f>if('Point Intercept 1'!P177 = 'Point Intercept 2'!O177, 'Point Intercept 1'!P177, "ERROR")</f>
        <v/>
      </c>
    </row>
    <row r="178">
      <c r="A178" s="9">
        <f>if('Point Intercept 1'!A178 = 'Point Intercept 2'!A178, 'Point Intercept 1'!A178, "ERROR")</f>
        <v>2</v>
      </c>
      <c r="B178" s="9">
        <f>if('Point Intercept 1'!B178 = 'Point Intercept 2'!B178, 'Point Intercept 1'!B178, "ERROR")</f>
        <v>2025</v>
      </c>
      <c r="C178" s="14">
        <f>if('Point Intercept 1'!C178 = 'Point Intercept 2'!C178, 'Point Intercept 1'!C178, "ERROR")</f>
        <v>45755</v>
      </c>
      <c r="D178" s="9" t="str">
        <f>if('Point Intercept 1'!D178 = 'Point Intercept 2'!D178, 'Point Intercept 1'!D178, "ERROR")</f>
        <v>MP, TL, CG, BN</v>
      </c>
      <c r="E178" s="9" t="str">
        <f>if('Point Intercept 1'!E178 = 'Point Intercept 2'!E178, 'Point Intercept 1'!E178, "ERROR")</f>
        <v>VB</v>
      </c>
      <c r="F178" s="9">
        <f>if('Point Intercept 1'!F178 = 'Point Intercept 2'!F178, 'Point Intercept 1'!F178, "ERROR")</f>
        <v>1</v>
      </c>
      <c r="G178" s="9" t="str">
        <f>if('Point Intercept 1'!G178 = 'Point Intercept 2'!G178, 'Point Intercept 1'!G178, "ERROR")</f>
        <v>LU</v>
      </c>
      <c r="H178" s="9">
        <f>if('Point Intercept 1'!I178 = 'Point Intercept 2'!I178, 'Point Intercept 1'!I178, "ERROR")</f>
        <v>10</v>
      </c>
      <c r="I178" s="9">
        <f>if('Point Intercept 1'!H178 = 'Point Intercept 2'!H178, 'Point Intercept 1'!H178, "ERROR")</f>
        <v>2</v>
      </c>
      <c r="J178" s="9">
        <f>if('Point Intercept 1'!J178 = 'Point Intercept 2'!J178, 'Point Intercept 1'!J178, "ERROR")</f>
        <v>5</v>
      </c>
      <c r="K178" s="9" t="str">
        <f>if('Point Intercept 1'!K178 = 'Point Intercept 2'!K178, 'Point Intercept 1'!K178, "ERROR")</f>
        <v>L</v>
      </c>
      <c r="L178" s="9" t="str">
        <f>if('Point Intercept 1'!L178 = 'Point Intercept 2'!L178, 'Point Intercept 1'!L178, "ERROR")</f>
        <v>Litter</v>
      </c>
      <c r="M178" s="9" t="str">
        <f>if('Point Intercept 1'!N178 = 'Point Intercept 2'!M178, 'Point Intercept 1'!N178, "ERROR")</f>
        <v/>
      </c>
      <c r="N178" s="9" t="str">
        <f>if('Point Intercept 1'!O178 = 'Point Intercept 2'!N178, 'Point Intercept 1'!O178, "ERROR")</f>
        <v/>
      </c>
      <c r="O178" s="9" t="str">
        <f>if('Point Intercept 1'!P178 = 'Point Intercept 2'!O178, 'Point Intercept 1'!P178, "ERROR")</f>
        <v/>
      </c>
    </row>
    <row r="179">
      <c r="A179" s="9">
        <f>if('Point Intercept 1'!A179 = 'Point Intercept 2'!A179, 'Point Intercept 1'!A179, "ERROR")</f>
        <v>2</v>
      </c>
      <c r="B179" s="9">
        <f>if('Point Intercept 1'!B179 = 'Point Intercept 2'!B179, 'Point Intercept 1'!B179, "ERROR")</f>
        <v>2025</v>
      </c>
      <c r="C179" s="14">
        <f>if('Point Intercept 1'!C179 = 'Point Intercept 2'!C179, 'Point Intercept 1'!C179, "ERROR")</f>
        <v>45755</v>
      </c>
      <c r="D179" s="9" t="str">
        <f>if('Point Intercept 1'!D179 = 'Point Intercept 2'!D179, 'Point Intercept 1'!D179, "ERROR")</f>
        <v>MP, TL, CG, BN</v>
      </c>
      <c r="E179" s="9" t="str">
        <f>if('Point Intercept 1'!E179 = 'Point Intercept 2'!E179, 'Point Intercept 1'!E179, "ERROR")</f>
        <v>VB</v>
      </c>
      <c r="F179" s="9">
        <f>if('Point Intercept 1'!F179 = 'Point Intercept 2'!F179, 'Point Intercept 1'!F179, "ERROR")</f>
        <v>1</v>
      </c>
      <c r="G179" s="9" t="str">
        <f>if('Point Intercept 1'!G179 = 'Point Intercept 2'!G179, 'Point Intercept 1'!G179, "ERROR")</f>
        <v>LU</v>
      </c>
      <c r="H179" s="9">
        <f>if('Point Intercept 1'!I179 = 'Point Intercept 2'!I179, 'Point Intercept 1'!I179, "ERROR")</f>
        <v>10</v>
      </c>
      <c r="I179" s="9">
        <f>if('Point Intercept 1'!H179 = 'Point Intercept 2'!H179, 'Point Intercept 1'!H179, "ERROR")</f>
        <v>2</v>
      </c>
      <c r="J179" s="9">
        <f>if('Point Intercept 1'!J179 = 'Point Intercept 2'!J179, 'Point Intercept 1'!J179, "ERROR")</f>
        <v>5</v>
      </c>
      <c r="K179" s="9" t="str">
        <f>if('Point Intercept 1'!K179 = 'Point Intercept 2'!K179, 'Point Intercept 1'!K179, "ERROR")</f>
        <v>EROCIC</v>
      </c>
      <c r="L179" s="9" t="str">
        <f>if('Point Intercept 1'!L179 = 'Point Intercept 2'!L179, 'Point Intercept 1'!L179, "ERROR")</f>
        <v>Erodium cicutarium</v>
      </c>
      <c r="M179" s="9" t="str">
        <f>if('Point Intercept 1'!N179 = 'Point Intercept 2'!M179, 'Point Intercept 1'!N179, "ERROR")</f>
        <v/>
      </c>
      <c r="N179" s="9" t="str">
        <f>if('Point Intercept 1'!O179 = 'Point Intercept 2'!N179, 'Point Intercept 1'!O179, "ERROR")</f>
        <v/>
      </c>
      <c r="O179" s="9" t="str">
        <f>if('Point Intercept 1'!P179 = 'Point Intercept 2'!O179, 'Point Intercept 1'!P179, "ERROR")</f>
        <v/>
      </c>
    </row>
    <row r="180">
      <c r="A180" s="9">
        <f>if('Point Intercept 1'!A180 = 'Point Intercept 2'!A180, 'Point Intercept 1'!A180, "ERROR")</f>
        <v>2</v>
      </c>
      <c r="B180" s="9">
        <f>if('Point Intercept 1'!B180 = 'Point Intercept 2'!B180, 'Point Intercept 1'!B180, "ERROR")</f>
        <v>2025</v>
      </c>
      <c r="C180" s="14">
        <f>if('Point Intercept 1'!C180 = 'Point Intercept 2'!C180, 'Point Intercept 1'!C180, "ERROR")</f>
        <v>45755</v>
      </c>
      <c r="D180" s="9" t="str">
        <f>if('Point Intercept 1'!D180 = 'Point Intercept 2'!D180, 'Point Intercept 1'!D180, "ERROR")</f>
        <v>MP, TL, CG, BN</v>
      </c>
      <c r="E180" s="9" t="str">
        <f>if('Point Intercept 1'!E180 = 'Point Intercept 2'!E180, 'Point Intercept 1'!E180, "ERROR")</f>
        <v>VB</v>
      </c>
      <c r="F180" s="9">
        <f>if('Point Intercept 1'!F180 = 'Point Intercept 2'!F180, 'Point Intercept 1'!F180, "ERROR")</f>
        <v>1</v>
      </c>
      <c r="G180" s="9" t="str">
        <f>if('Point Intercept 1'!G180 = 'Point Intercept 2'!G180, 'Point Intercept 1'!G180, "ERROR")</f>
        <v>LU</v>
      </c>
      <c r="H180" s="9">
        <f>if('Point Intercept 1'!I180 = 'Point Intercept 2'!I180, 'Point Intercept 1'!I180, "ERROR")</f>
        <v>10</v>
      </c>
      <c r="I180" s="9">
        <f>if('Point Intercept 1'!H180 = 'Point Intercept 2'!H180, 'Point Intercept 1'!H180, "ERROR")</f>
        <v>2</v>
      </c>
      <c r="J180" s="9">
        <f>if('Point Intercept 1'!J180 = 'Point Intercept 2'!J180, 'Point Intercept 1'!J180, "ERROR")</f>
        <v>5</v>
      </c>
      <c r="K180" s="9" t="str">
        <f>if('Point Intercept 1'!K180 = 'Point Intercept 2'!K180, 'Point Intercept 1'!K180, "ERROR")</f>
        <v>CENMEL</v>
      </c>
      <c r="L180" s="9" t="str">
        <f>if('Point Intercept 1'!L180 = 'Point Intercept 2'!L180, 'Point Intercept 1'!L180, "ERROR")</f>
        <v>Centaurea melitensis</v>
      </c>
      <c r="M180" s="9" t="str">
        <f>if('Point Intercept 1'!N180 = 'Point Intercept 2'!M180, 'Point Intercept 1'!N180, "ERROR")</f>
        <v/>
      </c>
      <c r="N180" s="9" t="str">
        <f>if('Point Intercept 1'!O180 = 'Point Intercept 2'!N180, 'Point Intercept 1'!O180, "ERROR")</f>
        <v/>
      </c>
      <c r="O180" s="9" t="str">
        <f>if('Point Intercept 1'!P180 = 'Point Intercept 2'!O180, 'Point Intercept 1'!P180, "ERROR")</f>
        <v/>
      </c>
    </row>
    <row r="181">
      <c r="A181" s="9">
        <f>if('Point Intercept 1'!A181 = 'Point Intercept 2'!A181, 'Point Intercept 1'!A181, "ERROR")</f>
        <v>2</v>
      </c>
      <c r="B181" s="9">
        <f>if('Point Intercept 1'!B181 = 'Point Intercept 2'!B181, 'Point Intercept 1'!B181, "ERROR")</f>
        <v>2025</v>
      </c>
      <c r="C181" s="14">
        <f>if('Point Intercept 1'!C181 = 'Point Intercept 2'!C181, 'Point Intercept 1'!C181, "ERROR")</f>
        <v>45755</v>
      </c>
      <c r="D181" s="9" t="str">
        <f>if('Point Intercept 1'!D181 = 'Point Intercept 2'!D181, 'Point Intercept 1'!D181, "ERROR")</f>
        <v>MP, TL, CG, BN</v>
      </c>
      <c r="E181" s="9" t="str">
        <f>if('Point Intercept 1'!E181 = 'Point Intercept 2'!E181, 'Point Intercept 1'!E181, "ERROR")</f>
        <v>VB</v>
      </c>
      <c r="F181" s="9">
        <f>if('Point Intercept 1'!F181 = 'Point Intercept 2'!F181, 'Point Intercept 1'!F181, "ERROR")</f>
        <v>1</v>
      </c>
      <c r="G181" s="9" t="str">
        <f>if('Point Intercept 1'!G181 = 'Point Intercept 2'!G181, 'Point Intercept 1'!G181, "ERROR")</f>
        <v>LU</v>
      </c>
      <c r="H181" s="9">
        <f>if('Point Intercept 1'!I181 = 'Point Intercept 2'!I181, 'Point Intercept 1'!I181, "ERROR")</f>
        <v>11</v>
      </c>
      <c r="I181" s="9">
        <f>if('Point Intercept 1'!H181 = 'Point Intercept 2'!H181, 'Point Intercept 1'!H181, "ERROR")</f>
        <v>2</v>
      </c>
      <c r="J181" s="9">
        <f>if('Point Intercept 1'!J181 = 'Point Intercept 2'!J181, 'Point Intercept 1'!J181, "ERROR")</f>
        <v>5.5</v>
      </c>
      <c r="K181" s="9" t="str">
        <f>if('Point Intercept 1'!K181 = 'Point Intercept 2'!K181, 'Point Intercept 1'!K181, "ERROR")</f>
        <v>L</v>
      </c>
      <c r="L181" s="9" t="str">
        <f>if('Point Intercept 1'!L181 = 'Point Intercept 2'!L181, 'Point Intercept 1'!L181, "ERROR")</f>
        <v>Litter</v>
      </c>
      <c r="M181" s="9" t="str">
        <f>if('Point Intercept 1'!N181 = 'Point Intercept 2'!M181, 'Point Intercept 1'!N181, "ERROR")</f>
        <v/>
      </c>
      <c r="N181" s="9" t="str">
        <f>if('Point Intercept 1'!O181 = 'Point Intercept 2'!N181, 'Point Intercept 1'!O181, "ERROR")</f>
        <v/>
      </c>
      <c r="O181" s="9" t="str">
        <f>if('Point Intercept 1'!P181 = 'Point Intercept 2'!O181, 'Point Intercept 1'!P181, "ERROR")</f>
        <v/>
      </c>
    </row>
    <row r="182">
      <c r="A182" s="9">
        <f>if('Point Intercept 1'!A182 = 'Point Intercept 2'!A182, 'Point Intercept 1'!A182, "ERROR")</f>
        <v>2</v>
      </c>
      <c r="B182" s="9">
        <f>if('Point Intercept 1'!B182 = 'Point Intercept 2'!B182, 'Point Intercept 1'!B182, "ERROR")</f>
        <v>2025</v>
      </c>
      <c r="C182" s="14">
        <f>if('Point Intercept 1'!C182 = 'Point Intercept 2'!C182, 'Point Intercept 1'!C182, "ERROR")</f>
        <v>45755</v>
      </c>
      <c r="D182" s="9" t="str">
        <f>if('Point Intercept 1'!D182 = 'Point Intercept 2'!D182, 'Point Intercept 1'!D182, "ERROR")</f>
        <v>MP, TL, CG, BN</v>
      </c>
      <c r="E182" s="9" t="str">
        <f>if('Point Intercept 1'!E182 = 'Point Intercept 2'!E182, 'Point Intercept 1'!E182, "ERROR")</f>
        <v>VB</v>
      </c>
      <c r="F182" s="9">
        <f>if('Point Intercept 1'!F182 = 'Point Intercept 2'!F182, 'Point Intercept 1'!F182, "ERROR")</f>
        <v>1</v>
      </c>
      <c r="G182" s="9" t="str">
        <f>if('Point Intercept 1'!G182 = 'Point Intercept 2'!G182, 'Point Intercept 1'!G182, "ERROR")</f>
        <v>LU</v>
      </c>
      <c r="H182" s="9">
        <f>if('Point Intercept 1'!I182 = 'Point Intercept 2'!I182, 'Point Intercept 1'!I182, "ERROR")</f>
        <v>11</v>
      </c>
      <c r="I182" s="9">
        <f>if('Point Intercept 1'!H182 = 'Point Intercept 2'!H182, 'Point Intercept 1'!H182, "ERROR")</f>
        <v>2</v>
      </c>
      <c r="J182" s="9">
        <f>if('Point Intercept 1'!J182 = 'Point Intercept 2'!J182, 'Point Intercept 1'!J182, "ERROR")</f>
        <v>5.5</v>
      </c>
      <c r="K182" s="9" t="str">
        <f>if('Point Intercept 1'!K182 = 'Point Intercept 2'!K182, 'Point Intercept 1'!K182, "ERROR")</f>
        <v>EROCIC</v>
      </c>
      <c r="L182" s="9" t="str">
        <f>if('Point Intercept 1'!L182 = 'Point Intercept 2'!L182, 'Point Intercept 1'!L182, "ERROR")</f>
        <v>Erodium cicutarium</v>
      </c>
      <c r="M182" s="9" t="str">
        <f>if('Point Intercept 1'!N182 = 'Point Intercept 2'!M182, 'Point Intercept 1'!N182, "ERROR")</f>
        <v/>
      </c>
      <c r="N182" s="9" t="str">
        <f>if('Point Intercept 1'!O182 = 'Point Intercept 2'!N182, 'Point Intercept 1'!O182, "ERROR")</f>
        <v/>
      </c>
      <c r="O182" s="9" t="str">
        <f>if('Point Intercept 1'!P182 = 'Point Intercept 2'!O182, 'Point Intercept 1'!P182, "ERROR")</f>
        <v/>
      </c>
    </row>
    <row r="183">
      <c r="A183" s="9">
        <f>if('Point Intercept 1'!A183 = 'Point Intercept 2'!A183, 'Point Intercept 1'!A183, "ERROR")</f>
        <v>2</v>
      </c>
      <c r="B183" s="9">
        <f>if('Point Intercept 1'!B183 = 'Point Intercept 2'!B183, 'Point Intercept 1'!B183, "ERROR")</f>
        <v>2025</v>
      </c>
      <c r="C183" s="14">
        <f>if('Point Intercept 1'!C183 = 'Point Intercept 2'!C183, 'Point Intercept 1'!C183, "ERROR")</f>
        <v>45755</v>
      </c>
      <c r="D183" s="9" t="str">
        <f>if('Point Intercept 1'!D183 = 'Point Intercept 2'!D183, 'Point Intercept 1'!D183, "ERROR")</f>
        <v>MP, TL, CG, BN</v>
      </c>
      <c r="E183" s="9" t="str">
        <f>if('Point Intercept 1'!E183 = 'Point Intercept 2'!E183, 'Point Intercept 1'!E183, "ERROR")</f>
        <v>VB</v>
      </c>
      <c r="F183" s="9">
        <f>if('Point Intercept 1'!F183 = 'Point Intercept 2'!F183, 'Point Intercept 1'!F183, "ERROR")</f>
        <v>1</v>
      </c>
      <c r="G183" s="9" t="str">
        <f>if('Point Intercept 1'!G183 = 'Point Intercept 2'!G183, 'Point Intercept 1'!G183, "ERROR")</f>
        <v>LU</v>
      </c>
      <c r="H183" s="9">
        <f>if('Point Intercept 1'!I183 = 'Point Intercept 2'!I183, 'Point Intercept 1'!I183, "ERROR")</f>
        <v>11</v>
      </c>
      <c r="I183" s="9">
        <f>if('Point Intercept 1'!H183 = 'Point Intercept 2'!H183, 'Point Intercept 1'!H183, "ERROR")</f>
        <v>2</v>
      </c>
      <c r="J183" s="9">
        <f>if('Point Intercept 1'!J183 = 'Point Intercept 2'!J183, 'Point Intercept 1'!J183, "ERROR")</f>
        <v>5.5</v>
      </c>
      <c r="K183" s="9" t="str">
        <f>if('Point Intercept 1'!K183 = 'Point Intercept 2'!K183, 'Point Intercept 1'!K183, "ERROR")</f>
        <v>CENMEL</v>
      </c>
      <c r="L183" s="9" t="str">
        <f>if('Point Intercept 1'!L183 = 'Point Intercept 2'!L183, 'Point Intercept 1'!L183, "ERROR")</f>
        <v>Centaurea melitensis</v>
      </c>
      <c r="M183" s="9" t="str">
        <f>if('Point Intercept 1'!N183 = 'Point Intercept 2'!M183, 'Point Intercept 1'!N183, "ERROR")</f>
        <v/>
      </c>
      <c r="N183" s="9" t="str">
        <f>if('Point Intercept 1'!O183 = 'Point Intercept 2'!N183, 'Point Intercept 1'!O183, "ERROR")</f>
        <v/>
      </c>
      <c r="O183" s="9" t="str">
        <f>if('Point Intercept 1'!P183 = 'Point Intercept 2'!O183, 'Point Intercept 1'!P183, "ERROR")</f>
        <v/>
      </c>
    </row>
    <row r="184">
      <c r="A184" s="9">
        <f>if('Point Intercept 1'!A184 = 'Point Intercept 2'!A184, 'Point Intercept 1'!A184, "ERROR")</f>
        <v>2</v>
      </c>
      <c r="B184" s="9">
        <f>if('Point Intercept 1'!B184 = 'Point Intercept 2'!B184, 'Point Intercept 1'!B184, "ERROR")</f>
        <v>2025</v>
      </c>
      <c r="C184" s="14">
        <f>if('Point Intercept 1'!C184 = 'Point Intercept 2'!C184, 'Point Intercept 1'!C184, "ERROR")</f>
        <v>45755</v>
      </c>
      <c r="D184" s="9" t="str">
        <f>if('Point Intercept 1'!D184 = 'Point Intercept 2'!D184, 'Point Intercept 1'!D184, "ERROR")</f>
        <v>MP, TL, CG, BN</v>
      </c>
      <c r="E184" s="9" t="str">
        <f>if('Point Intercept 1'!E184 = 'Point Intercept 2'!E184, 'Point Intercept 1'!E184, "ERROR")</f>
        <v>VB</v>
      </c>
      <c r="F184" s="9">
        <f>if('Point Intercept 1'!F184 = 'Point Intercept 2'!F184, 'Point Intercept 1'!F184, "ERROR")</f>
        <v>1</v>
      </c>
      <c r="G184" s="9" t="str">
        <f>if('Point Intercept 1'!G184 = 'Point Intercept 2'!G184, 'Point Intercept 1'!G184, "ERROR")</f>
        <v>LU</v>
      </c>
      <c r="H184" s="9">
        <f>if('Point Intercept 1'!I184 = 'Point Intercept 2'!I184, 'Point Intercept 1'!I184, "ERROR")</f>
        <v>12</v>
      </c>
      <c r="I184" s="9">
        <f>if('Point Intercept 1'!H184 = 'Point Intercept 2'!H184, 'Point Intercept 1'!H184, "ERROR")</f>
        <v>2</v>
      </c>
      <c r="J184" s="9">
        <f>if('Point Intercept 1'!J184 = 'Point Intercept 2'!J184, 'Point Intercept 1'!J184, "ERROR")</f>
        <v>6</v>
      </c>
      <c r="K184" s="9" t="str">
        <f>if('Point Intercept 1'!K184 = 'Point Intercept 2'!K184, 'Point Intercept 1'!K184, "ERROR")</f>
        <v>L</v>
      </c>
      <c r="L184" s="9" t="str">
        <f>if('Point Intercept 1'!L184 = 'Point Intercept 2'!L184, 'Point Intercept 1'!L184, "ERROR")</f>
        <v>Litter</v>
      </c>
      <c r="M184" s="9" t="str">
        <f>if('Point Intercept 1'!N184 = 'Point Intercept 2'!M184, 'Point Intercept 1'!N184, "ERROR")</f>
        <v/>
      </c>
      <c r="N184" s="9" t="str">
        <f>if('Point Intercept 1'!O184 = 'Point Intercept 2'!N184, 'Point Intercept 1'!O184, "ERROR")</f>
        <v/>
      </c>
      <c r="O184" s="9" t="str">
        <f>if('Point Intercept 1'!P184 = 'Point Intercept 2'!O184, 'Point Intercept 1'!P184, "ERROR")</f>
        <v/>
      </c>
    </row>
    <row r="185">
      <c r="A185" s="9">
        <f>if('Point Intercept 1'!A185 = 'Point Intercept 2'!A185, 'Point Intercept 1'!A185, "ERROR")</f>
        <v>2</v>
      </c>
      <c r="B185" s="9">
        <f>if('Point Intercept 1'!B185 = 'Point Intercept 2'!B185, 'Point Intercept 1'!B185, "ERROR")</f>
        <v>2025</v>
      </c>
      <c r="C185" s="14">
        <f>if('Point Intercept 1'!C185 = 'Point Intercept 2'!C185, 'Point Intercept 1'!C185, "ERROR")</f>
        <v>45755</v>
      </c>
      <c r="D185" s="9" t="str">
        <f>if('Point Intercept 1'!D185 = 'Point Intercept 2'!D185, 'Point Intercept 1'!D185, "ERROR")</f>
        <v>MP, TL, CG, BN</v>
      </c>
      <c r="E185" s="9" t="str">
        <f>if('Point Intercept 1'!E185 = 'Point Intercept 2'!E185, 'Point Intercept 1'!E185, "ERROR")</f>
        <v>VB</v>
      </c>
      <c r="F185" s="9">
        <f>if('Point Intercept 1'!F185 = 'Point Intercept 2'!F185, 'Point Intercept 1'!F185, "ERROR")</f>
        <v>1</v>
      </c>
      <c r="G185" s="9" t="str">
        <f>if('Point Intercept 1'!G185 = 'Point Intercept 2'!G185, 'Point Intercept 1'!G185, "ERROR")</f>
        <v>LU</v>
      </c>
      <c r="H185" s="9">
        <f>if('Point Intercept 1'!I185 = 'Point Intercept 2'!I185, 'Point Intercept 1'!I185, "ERROR")</f>
        <v>12</v>
      </c>
      <c r="I185" s="9">
        <f>if('Point Intercept 1'!H185 = 'Point Intercept 2'!H185, 'Point Intercept 1'!H185, "ERROR")</f>
        <v>2</v>
      </c>
      <c r="J185" s="9">
        <f>if('Point Intercept 1'!J185 = 'Point Intercept 2'!J185, 'Point Intercept 1'!J185, "ERROR")</f>
        <v>6</v>
      </c>
      <c r="K185" s="9" t="str">
        <f>if('Point Intercept 1'!K185 = 'Point Intercept 2'!K185, 'Point Intercept 1'!K185, "ERROR")</f>
        <v>STEDIE</v>
      </c>
      <c r="L185" s="9" t="str">
        <f>if('Point Intercept 1'!L185 = 'Point Intercept 2'!L185, 'Point Intercept 1'!L185, "ERROR")</f>
        <v>Stephanomeria diegensis</v>
      </c>
      <c r="M185" s="9" t="str">
        <f>if('Point Intercept 1'!N185 = 'Point Intercept 2'!M185, 'Point Intercept 1'!N185, "ERROR")</f>
        <v/>
      </c>
      <c r="N185" s="9" t="str">
        <f>if('Point Intercept 1'!O185 = 'Point Intercept 2'!N185, 'Point Intercept 1'!O185, "ERROR")</f>
        <v/>
      </c>
      <c r="O185" s="9" t="str">
        <f>if('Point Intercept 1'!P185 = 'Point Intercept 2'!O185, 'Point Intercept 1'!P185, "ERROR")</f>
        <v/>
      </c>
    </row>
    <row r="186">
      <c r="A186" s="9">
        <f>if('Point Intercept 1'!A186 = 'Point Intercept 2'!A186, 'Point Intercept 1'!A186, "ERROR")</f>
        <v>2</v>
      </c>
      <c r="B186" s="9">
        <f>if('Point Intercept 1'!B186 = 'Point Intercept 2'!B186, 'Point Intercept 1'!B186, "ERROR")</f>
        <v>2025</v>
      </c>
      <c r="C186" s="14">
        <f>if('Point Intercept 1'!C186 = 'Point Intercept 2'!C186, 'Point Intercept 1'!C186, "ERROR")</f>
        <v>45755</v>
      </c>
      <c r="D186" s="9" t="str">
        <f>if('Point Intercept 1'!D186 = 'Point Intercept 2'!D186, 'Point Intercept 1'!D186, "ERROR")</f>
        <v>MP, TL, CG, BN</v>
      </c>
      <c r="E186" s="9" t="str">
        <f>if('Point Intercept 1'!E186 = 'Point Intercept 2'!E186, 'Point Intercept 1'!E186, "ERROR")</f>
        <v>VB</v>
      </c>
      <c r="F186" s="9">
        <f>if('Point Intercept 1'!F186 = 'Point Intercept 2'!F186, 'Point Intercept 1'!F186, "ERROR")</f>
        <v>1</v>
      </c>
      <c r="G186" s="9" t="str">
        <f>if('Point Intercept 1'!G186 = 'Point Intercept 2'!G186, 'Point Intercept 1'!G186, "ERROR")</f>
        <v>LU</v>
      </c>
      <c r="H186" s="9">
        <f>if('Point Intercept 1'!I186 = 'Point Intercept 2'!I186, 'Point Intercept 1'!I186, "ERROR")</f>
        <v>12</v>
      </c>
      <c r="I186" s="9">
        <f>if('Point Intercept 1'!H186 = 'Point Intercept 2'!H186, 'Point Intercept 1'!H186, "ERROR")</f>
        <v>2</v>
      </c>
      <c r="J186" s="9">
        <f>if('Point Intercept 1'!J186 = 'Point Intercept 2'!J186, 'Point Intercept 1'!J186, "ERROR")</f>
        <v>6</v>
      </c>
      <c r="K186" s="9" t="str">
        <f>if('Point Intercept 1'!K186 = 'Point Intercept 2'!K186, 'Point Intercept 1'!K186, "ERROR")</f>
        <v>EROMOS</v>
      </c>
      <c r="L186" s="9" t="str">
        <f>if('Point Intercept 1'!L186 = 'Point Intercept 2'!L186, 'Point Intercept 1'!L186, "ERROR")</f>
        <v>Erodium moschatum</v>
      </c>
      <c r="M186" s="9" t="str">
        <f>if('Point Intercept 1'!N186 = 'Point Intercept 2'!M186, 'Point Intercept 1'!N186, "ERROR")</f>
        <v/>
      </c>
      <c r="N186" s="9" t="str">
        <f>if('Point Intercept 1'!O186 = 'Point Intercept 2'!N186, 'Point Intercept 1'!O186, "ERROR")</f>
        <v/>
      </c>
      <c r="O186" s="9" t="str">
        <f>if('Point Intercept 1'!P186 = 'Point Intercept 2'!O186, 'Point Intercept 1'!P186, "ERROR")</f>
        <v/>
      </c>
    </row>
    <row r="187">
      <c r="A187" s="9">
        <f>if('Point Intercept 1'!A187 = 'Point Intercept 2'!A187, 'Point Intercept 1'!A187, "ERROR")</f>
        <v>2</v>
      </c>
      <c r="B187" s="9">
        <f>if('Point Intercept 1'!B187 = 'Point Intercept 2'!B187, 'Point Intercept 1'!B187, "ERROR")</f>
        <v>2025</v>
      </c>
      <c r="C187" s="14">
        <f>if('Point Intercept 1'!C187 = 'Point Intercept 2'!C187, 'Point Intercept 1'!C187, "ERROR")</f>
        <v>45755</v>
      </c>
      <c r="D187" s="9" t="str">
        <f>if('Point Intercept 1'!D187 = 'Point Intercept 2'!D187, 'Point Intercept 1'!D187, "ERROR")</f>
        <v>MP, TL, CG, BN</v>
      </c>
      <c r="E187" s="9" t="str">
        <f>if('Point Intercept 1'!E187 = 'Point Intercept 2'!E187, 'Point Intercept 1'!E187, "ERROR")</f>
        <v>VB</v>
      </c>
      <c r="F187" s="9">
        <f>if('Point Intercept 1'!F187 = 'Point Intercept 2'!F187, 'Point Intercept 1'!F187, "ERROR")</f>
        <v>1</v>
      </c>
      <c r="G187" s="9" t="str">
        <f>if('Point Intercept 1'!G187 = 'Point Intercept 2'!G187, 'Point Intercept 1'!G187, "ERROR")</f>
        <v>LU</v>
      </c>
      <c r="H187" s="9">
        <f>if('Point Intercept 1'!I187 = 'Point Intercept 2'!I187, 'Point Intercept 1'!I187, "ERROR")</f>
        <v>13</v>
      </c>
      <c r="I187" s="9">
        <f>if('Point Intercept 1'!H187 = 'Point Intercept 2'!H187, 'Point Intercept 1'!H187, "ERROR")</f>
        <v>2</v>
      </c>
      <c r="J187" s="9">
        <f>if('Point Intercept 1'!J187 = 'Point Intercept 2'!J187, 'Point Intercept 1'!J187, "ERROR")</f>
        <v>6.5</v>
      </c>
      <c r="K187" s="9" t="str">
        <f>if('Point Intercept 1'!K187 = 'Point Intercept 2'!K187, 'Point Intercept 1'!K187, "ERROR")</f>
        <v>L</v>
      </c>
      <c r="L187" s="9" t="str">
        <f>if('Point Intercept 1'!L187 = 'Point Intercept 2'!L187, 'Point Intercept 1'!L187, "ERROR")</f>
        <v>Litter</v>
      </c>
      <c r="M187" s="9" t="str">
        <f>if('Point Intercept 1'!N187 = 'Point Intercept 2'!M187, 'Point Intercept 1'!N187, "ERROR")</f>
        <v/>
      </c>
      <c r="N187" s="9" t="str">
        <f>if('Point Intercept 1'!O187 = 'Point Intercept 2'!N187, 'Point Intercept 1'!O187, "ERROR")</f>
        <v/>
      </c>
      <c r="O187" s="9" t="str">
        <f>if('Point Intercept 1'!P187 = 'Point Intercept 2'!O187, 'Point Intercept 1'!P187, "ERROR")</f>
        <v/>
      </c>
    </row>
    <row r="188">
      <c r="A188" s="9">
        <f>if('Point Intercept 1'!A188 = 'Point Intercept 2'!A188, 'Point Intercept 1'!A188, "ERROR")</f>
        <v>2</v>
      </c>
      <c r="B188" s="9">
        <f>if('Point Intercept 1'!B188 = 'Point Intercept 2'!B188, 'Point Intercept 1'!B188, "ERROR")</f>
        <v>2025</v>
      </c>
      <c r="C188" s="14">
        <f>if('Point Intercept 1'!C188 = 'Point Intercept 2'!C188, 'Point Intercept 1'!C188, "ERROR")</f>
        <v>45755</v>
      </c>
      <c r="D188" s="9" t="str">
        <f>if('Point Intercept 1'!D188 = 'Point Intercept 2'!D188, 'Point Intercept 1'!D188, "ERROR")</f>
        <v>MP, TL, CG, BN</v>
      </c>
      <c r="E188" s="9" t="str">
        <f>if('Point Intercept 1'!E188 = 'Point Intercept 2'!E188, 'Point Intercept 1'!E188, "ERROR")</f>
        <v>VB</v>
      </c>
      <c r="F188" s="9">
        <f>if('Point Intercept 1'!F188 = 'Point Intercept 2'!F188, 'Point Intercept 1'!F188, "ERROR")</f>
        <v>1</v>
      </c>
      <c r="G188" s="9" t="str">
        <f>if('Point Intercept 1'!G188 = 'Point Intercept 2'!G188, 'Point Intercept 1'!G188, "ERROR")</f>
        <v>LU</v>
      </c>
      <c r="H188" s="9">
        <f>if('Point Intercept 1'!I188 = 'Point Intercept 2'!I188, 'Point Intercept 1'!I188, "ERROR")</f>
        <v>13</v>
      </c>
      <c r="I188" s="9">
        <f>if('Point Intercept 1'!H188 = 'Point Intercept 2'!H188, 'Point Intercept 1'!H188, "ERROR")</f>
        <v>2</v>
      </c>
      <c r="J188" s="9">
        <f>if('Point Intercept 1'!J188 = 'Point Intercept 2'!J188, 'Point Intercept 1'!J188, "ERROR")</f>
        <v>6.5</v>
      </c>
      <c r="K188" s="9" t="str">
        <f>if('Point Intercept 1'!K188 = 'Point Intercept 2'!K188, 'Point Intercept 1'!K188, "ERROR")</f>
        <v>SONASP</v>
      </c>
      <c r="L188" s="9" t="str">
        <f>if('Point Intercept 1'!L188 = 'Point Intercept 2'!L188, 'Point Intercept 1'!L188, "ERROR")</f>
        <v>Sonchus asper</v>
      </c>
      <c r="M188" s="9" t="str">
        <f>if('Point Intercept 1'!N188 = 'Point Intercept 2'!M188, 'Point Intercept 1'!N188, "ERROR")</f>
        <v/>
      </c>
      <c r="N188" s="9" t="str">
        <f>if('Point Intercept 1'!O188 = 'Point Intercept 2'!N188, 'Point Intercept 1'!O188, "ERROR")</f>
        <v/>
      </c>
      <c r="O188" s="9" t="str">
        <f>if('Point Intercept 1'!P188 = 'Point Intercept 2'!O188, 'Point Intercept 1'!P188, "ERROR")</f>
        <v/>
      </c>
    </row>
    <row r="189">
      <c r="A189" s="9">
        <f>if('Point Intercept 1'!A189 = 'Point Intercept 2'!A189, 'Point Intercept 1'!A189, "ERROR")</f>
        <v>2</v>
      </c>
      <c r="B189" s="9">
        <f>if('Point Intercept 1'!B189 = 'Point Intercept 2'!B189, 'Point Intercept 1'!B189, "ERROR")</f>
        <v>2025</v>
      </c>
      <c r="C189" s="14">
        <f>if('Point Intercept 1'!C189 = 'Point Intercept 2'!C189, 'Point Intercept 1'!C189, "ERROR")</f>
        <v>45755</v>
      </c>
      <c r="D189" s="9" t="str">
        <f>if('Point Intercept 1'!D189 = 'Point Intercept 2'!D189, 'Point Intercept 1'!D189, "ERROR")</f>
        <v>MP, TL, CG, BN</v>
      </c>
      <c r="E189" s="9" t="str">
        <f>if('Point Intercept 1'!E189 = 'Point Intercept 2'!E189, 'Point Intercept 1'!E189, "ERROR")</f>
        <v>VB</v>
      </c>
      <c r="F189" s="9">
        <f>if('Point Intercept 1'!F189 = 'Point Intercept 2'!F189, 'Point Intercept 1'!F189, "ERROR")</f>
        <v>1</v>
      </c>
      <c r="G189" s="9" t="str">
        <f>if('Point Intercept 1'!G189 = 'Point Intercept 2'!G189, 'Point Intercept 1'!G189, "ERROR")</f>
        <v>LU</v>
      </c>
      <c r="H189" s="9">
        <f>if('Point Intercept 1'!I189 = 'Point Intercept 2'!I189, 'Point Intercept 1'!I189, "ERROR")</f>
        <v>13</v>
      </c>
      <c r="I189" s="9">
        <f>if('Point Intercept 1'!H189 = 'Point Intercept 2'!H189, 'Point Intercept 1'!H189, "ERROR")</f>
        <v>2</v>
      </c>
      <c r="J189" s="9">
        <f>if('Point Intercept 1'!J189 = 'Point Intercept 2'!J189, 'Point Intercept 1'!J189, "ERROR")</f>
        <v>6.5</v>
      </c>
      <c r="K189" s="9" t="str">
        <f>if('Point Intercept 1'!K189 = 'Point Intercept 2'!K189, 'Point Intercept 1'!K189, "ERROR")</f>
        <v>STEDIE</v>
      </c>
      <c r="L189" s="9" t="str">
        <f>if('Point Intercept 1'!L189 = 'Point Intercept 2'!L189, 'Point Intercept 1'!L189, "ERROR")</f>
        <v>Stephanomeria diegensis</v>
      </c>
      <c r="M189" s="9" t="str">
        <f>if('Point Intercept 1'!N189 = 'Point Intercept 2'!M189, 'Point Intercept 1'!N189, "ERROR")</f>
        <v/>
      </c>
      <c r="N189" s="9" t="str">
        <f>if('Point Intercept 1'!O189 = 'Point Intercept 2'!N189, 'Point Intercept 1'!O189, "ERROR")</f>
        <v/>
      </c>
      <c r="O189" s="9" t="str">
        <f>if('Point Intercept 1'!P189 = 'Point Intercept 2'!O189, 'Point Intercept 1'!P189, "ERROR")</f>
        <v/>
      </c>
    </row>
    <row r="190">
      <c r="A190" s="9">
        <f>if('Point Intercept 1'!A190 = 'Point Intercept 2'!A190, 'Point Intercept 1'!A190, "ERROR")</f>
        <v>2</v>
      </c>
      <c r="B190" s="9">
        <f>if('Point Intercept 1'!B190 = 'Point Intercept 2'!B190, 'Point Intercept 1'!B190, "ERROR")</f>
        <v>2025</v>
      </c>
      <c r="C190" s="14">
        <f>if('Point Intercept 1'!C190 = 'Point Intercept 2'!C190, 'Point Intercept 1'!C190, "ERROR")</f>
        <v>45755</v>
      </c>
      <c r="D190" s="9" t="str">
        <f>if('Point Intercept 1'!D190 = 'Point Intercept 2'!D190, 'Point Intercept 1'!D190, "ERROR")</f>
        <v>MP, TL, CG, BN</v>
      </c>
      <c r="E190" s="9" t="str">
        <f>if('Point Intercept 1'!E190 = 'Point Intercept 2'!E190, 'Point Intercept 1'!E190, "ERROR")</f>
        <v>VB</v>
      </c>
      <c r="F190" s="9">
        <f>if('Point Intercept 1'!F190 = 'Point Intercept 2'!F190, 'Point Intercept 1'!F190, "ERROR")</f>
        <v>1</v>
      </c>
      <c r="G190" s="9" t="str">
        <f>if('Point Intercept 1'!G190 = 'Point Intercept 2'!G190, 'Point Intercept 1'!G190, "ERROR")</f>
        <v>LU</v>
      </c>
      <c r="H190" s="9">
        <f>if('Point Intercept 1'!I190 = 'Point Intercept 2'!I190, 'Point Intercept 1'!I190, "ERROR")</f>
        <v>13</v>
      </c>
      <c r="I190" s="9">
        <f>if('Point Intercept 1'!H190 = 'Point Intercept 2'!H190, 'Point Intercept 1'!H190, "ERROR")</f>
        <v>2</v>
      </c>
      <c r="J190" s="9">
        <f>if('Point Intercept 1'!J190 = 'Point Intercept 2'!J190, 'Point Intercept 1'!J190, "ERROR")</f>
        <v>6.5</v>
      </c>
      <c r="K190" s="9" t="str">
        <f>if('Point Intercept 1'!K190 = 'Point Intercept 2'!K190, 'Point Intercept 1'!K190, "ERROR")</f>
        <v>FESMYU</v>
      </c>
      <c r="L190" s="9" t="str">
        <f>if('Point Intercept 1'!L190 = 'Point Intercept 2'!L190, 'Point Intercept 1'!L190, "ERROR")</f>
        <v>Festuca myuros</v>
      </c>
      <c r="M190" s="9" t="str">
        <f>if('Point Intercept 1'!N190 = 'Point Intercept 2'!M190, 'Point Intercept 1'!N190, "ERROR")</f>
        <v/>
      </c>
      <c r="N190" s="9" t="str">
        <f>if('Point Intercept 1'!O190 = 'Point Intercept 2'!N190, 'Point Intercept 1'!O190, "ERROR")</f>
        <v/>
      </c>
      <c r="O190" s="9" t="str">
        <f>if('Point Intercept 1'!P190 = 'Point Intercept 2'!O190, 'Point Intercept 1'!P190, "ERROR")</f>
        <v/>
      </c>
    </row>
    <row r="191">
      <c r="A191" s="9">
        <f>if('Point Intercept 1'!A191 = 'Point Intercept 2'!A191, 'Point Intercept 1'!A191, "ERROR")</f>
        <v>2</v>
      </c>
      <c r="B191" s="9">
        <f>if('Point Intercept 1'!B191 = 'Point Intercept 2'!B191, 'Point Intercept 1'!B191, "ERROR")</f>
        <v>2025</v>
      </c>
      <c r="C191" s="14">
        <f>if('Point Intercept 1'!C191 = 'Point Intercept 2'!C191, 'Point Intercept 1'!C191, "ERROR")</f>
        <v>45755</v>
      </c>
      <c r="D191" s="9" t="str">
        <f>if('Point Intercept 1'!D191 = 'Point Intercept 2'!D191, 'Point Intercept 1'!D191, "ERROR")</f>
        <v>MP, TL, CG, BN</v>
      </c>
      <c r="E191" s="9" t="str">
        <f>if('Point Intercept 1'!E191 = 'Point Intercept 2'!E191, 'Point Intercept 1'!E191, "ERROR")</f>
        <v>VB</v>
      </c>
      <c r="F191" s="9">
        <f>if('Point Intercept 1'!F191 = 'Point Intercept 2'!F191, 'Point Intercept 1'!F191, "ERROR")</f>
        <v>1</v>
      </c>
      <c r="G191" s="9" t="str">
        <f>if('Point Intercept 1'!G191 = 'Point Intercept 2'!G191, 'Point Intercept 1'!G191, "ERROR")</f>
        <v>LU</v>
      </c>
      <c r="H191" s="9">
        <f>if('Point Intercept 1'!I191 = 'Point Intercept 2'!I191, 'Point Intercept 1'!I191, "ERROR")</f>
        <v>14</v>
      </c>
      <c r="I191" s="9">
        <f>if('Point Intercept 1'!H191 = 'Point Intercept 2'!H191, 'Point Intercept 1'!H191, "ERROR")</f>
        <v>2</v>
      </c>
      <c r="J191" s="9">
        <f>if('Point Intercept 1'!J191 = 'Point Intercept 2'!J191, 'Point Intercept 1'!J191, "ERROR")</f>
        <v>7</v>
      </c>
      <c r="K191" s="9" t="str">
        <f>if('Point Intercept 1'!K191 = 'Point Intercept 2'!K191, 'Point Intercept 1'!K191, "ERROR")</f>
        <v>R</v>
      </c>
      <c r="L191" s="9" t="str">
        <f>if('Point Intercept 1'!L191 = 'Point Intercept 2'!L191, 'Point Intercept 1'!L191, "ERROR")</f>
        <v>Rock</v>
      </c>
      <c r="M191" s="9" t="str">
        <f>if('Point Intercept 1'!N191 = 'Point Intercept 2'!M191, 'Point Intercept 1'!N191, "ERROR")</f>
        <v/>
      </c>
      <c r="N191" s="9" t="str">
        <f>if('Point Intercept 1'!O191 = 'Point Intercept 2'!N191, 'Point Intercept 1'!O191, "ERROR")</f>
        <v/>
      </c>
      <c r="O191" s="9" t="str">
        <f>if('Point Intercept 1'!P191 = 'Point Intercept 2'!O191, 'Point Intercept 1'!P191, "ERROR")</f>
        <v/>
      </c>
    </row>
    <row r="192">
      <c r="A192" s="9">
        <f>if('Point Intercept 1'!A192 = 'Point Intercept 2'!A192, 'Point Intercept 1'!A192, "ERROR")</f>
        <v>2</v>
      </c>
      <c r="B192" s="9">
        <f>if('Point Intercept 1'!B192 = 'Point Intercept 2'!B192, 'Point Intercept 1'!B192, "ERROR")</f>
        <v>2025</v>
      </c>
      <c r="C192" s="14">
        <f>if('Point Intercept 1'!C192 = 'Point Intercept 2'!C192, 'Point Intercept 1'!C192, "ERROR")</f>
        <v>45755</v>
      </c>
      <c r="D192" s="9" t="str">
        <f>if('Point Intercept 1'!D192 = 'Point Intercept 2'!D192, 'Point Intercept 1'!D192, "ERROR")</f>
        <v>MP, TL, CG, BN</v>
      </c>
      <c r="E192" s="9" t="str">
        <f>if('Point Intercept 1'!E192 = 'Point Intercept 2'!E192, 'Point Intercept 1'!E192, "ERROR")</f>
        <v>VB</v>
      </c>
      <c r="F192" s="9">
        <f>if('Point Intercept 1'!F192 = 'Point Intercept 2'!F192, 'Point Intercept 1'!F192, "ERROR")</f>
        <v>1</v>
      </c>
      <c r="G192" s="9" t="str">
        <f>if('Point Intercept 1'!G192 = 'Point Intercept 2'!G192, 'Point Intercept 1'!G192, "ERROR")</f>
        <v>LU</v>
      </c>
      <c r="H192" s="9">
        <f>if('Point Intercept 1'!I192 = 'Point Intercept 2'!I192, 'Point Intercept 1'!I192, "ERROR")</f>
        <v>14</v>
      </c>
      <c r="I192" s="9">
        <f>if('Point Intercept 1'!H192 = 'Point Intercept 2'!H192, 'Point Intercept 1'!H192, "ERROR")</f>
        <v>2</v>
      </c>
      <c r="J192" s="9">
        <f>if('Point Intercept 1'!J192 = 'Point Intercept 2'!J192, 'Point Intercept 1'!J192, "ERROR")</f>
        <v>7</v>
      </c>
      <c r="K192" s="9" t="str">
        <f>if('Point Intercept 1'!K192 = 'Point Intercept 2'!K192, 'Point Intercept 1'!K192, "ERROR")</f>
        <v>SONASP</v>
      </c>
      <c r="L192" s="9" t="str">
        <f>if('Point Intercept 1'!L192 = 'Point Intercept 2'!L192, 'Point Intercept 1'!L192, "ERROR")</f>
        <v>Sonchus asper</v>
      </c>
      <c r="M192" s="9" t="str">
        <f>if('Point Intercept 1'!N192 = 'Point Intercept 2'!M192, 'Point Intercept 1'!N192, "ERROR")</f>
        <v/>
      </c>
      <c r="N192" s="9" t="str">
        <f>if('Point Intercept 1'!O192 = 'Point Intercept 2'!N192, 'Point Intercept 1'!O192, "ERROR")</f>
        <v/>
      </c>
      <c r="O192" s="9" t="str">
        <f>if('Point Intercept 1'!P192 = 'Point Intercept 2'!O192, 'Point Intercept 1'!P192, "ERROR")</f>
        <v/>
      </c>
    </row>
    <row r="193">
      <c r="A193" s="9">
        <f>if('Point Intercept 1'!A193 = 'Point Intercept 2'!A193, 'Point Intercept 1'!A193, "ERROR")</f>
        <v>2</v>
      </c>
      <c r="B193" s="9">
        <f>if('Point Intercept 1'!B193 = 'Point Intercept 2'!B193, 'Point Intercept 1'!B193, "ERROR")</f>
        <v>2025</v>
      </c>
      <c r="C193" s="14">
        <f>if('Point Intercept 1'!C193 = 'Point Intercept 2'!C193, 'Point Intercept 1'!C193, "ERROR")</f>
        <v>45755</v>
      </c>
      <c r="D193" s="9" t="str">
        <f>if('Point Intercept 1'!D193 = 'Point Intercept 2'!D193, 'Point Intercept 1'!D193, "ERROR")</f>
        <v>MP, TL, CG, BN</v>
      </c>
      <c r="E193" s="9" t="str">
        <f>if('Point Intercept 1'!E193 = 'Point Intercept 2'!E193, 'Point Intercept 1'!E193, "ERROR")</f>
        <v>VB</v>
      </c>
      <c r="F193" s="9">
        <f>if('Point Intercept 1'!F193 = 'Point Intercept 2'!F193, 'Point Intercept 1'!F193, "ERROR")</f>
        <v>1</v>
      </c>
      <c r="G193" s="9" t="str">
        <f>if('Point Intercept 1'!G193 = 'Point Intercept 2'!G193, 'Point Intercept 1'!G193, "ERROR")</f>
        <v>LU</v>
      </c>
      <c r="H193" s="9">
        <f>if('Point Intercept 1'!I193 = 'Point Intercept 2'!I193, 'Point Intercept 1'!I193, "ERROR")</f>
        <v>14</v>
      </c>
      <c r="I193" s="9">
        <f>if('Point Intercept 1'!H193 = 'Point Intercept 2'!H193, 'Point Intercept 1'!H193, "ERROR")</f>
        <v>2</v>
      </c>
      <c r="J193" s="9">
        <f>if('Point Intercept 1'!J193 = 'Point Intercept 2'!J193, 'Point Intercept 1'!J193, "ERROR")</f>
        <v>7</v>
      </c>
      <c r="K193" s="9" t="str">
        <f>if('Point Intercept 1'!K193 = 'Point Intercept 2'!K193, 'Point Intercept 1'!K193, "ERROR")</f>
        <v>BROMAD</v>
      </c>
      <c r="L193" s="9" t="str">
        <f>if('Point Intercept 1'!L193 = 'Point Intercept 2'!L193, 'Point Intercept 1'!L193, "ERROR")</f>
        <v>Bromus madritensis</v>
      </c>
      <c r="M193" s="9" t="str">
        <f>if('Point Intercept 1'!N193 = 'Point Intercept 2'!M193, 'Point Intercept 1'!N193, "ERROR")</f>
        <v/>
      </c>
      <c r="N193" s="9" t="str">
        <f>if('Point Intercept 1'!O193 = 'Point Intercept 2'!N193, 'Point Intercept 1'!O193, "ERROR")</f>
        <v/>
      </c>
      <c r="O193" s="9" t="str">
        <f>if('Point Intercept 1'!P193 = 'Point Intercept 2'!O193, 'Point Intercept 1'!P193, "ERROR")</f>
        <v/>
      </c>
    </row>
    <row r="194">
      <c r="A194" s="9">
        <f>if('Point Intercept 1'!A194 = 'Point Intercept 2'!A194, 'Point Intercept 1'!A194, "ERROR")</f>
        <v>2</v>
      </c>
      <c r="B194" s="9">
        <f>if('Point Intercept 1'!B194 = 'Point Intercept 2'!B194, 'Point Intercept 1'!B194, "ERROR")</f>
        <v>2025</v>
      </c>
      <c r="C194" s="14">
        <f>if('Point Intercept 1'!C194 = 'Point Intercept 2'!C194, 'Point Intercept 1'!C194, "ERROR")</f>
        <v>45755</v>
      </c>
      <c r="D194" s="9" t="str">
        <f>if('Point Intercept 1'!D194 = 'Point Intercept 2'!D194, 'Point Intercept 1'!D194, "ERROR")</f>
        <v>MP, TL, CG, BN</v>
      </c>
      <c r="E194" s="9" t="str">
        <f>if('Point Intercept 1'!E194 = 'Point Intercept 2'!E194, 'Point Intercept 1'!E194, "ERROR")</f>
        <v>VB</v>
      </c>
      <c r="F194" s="9">
        <f>if('Point Intercept 1'!F194 = 'Point Intercept 2'!F194, 'Point Intercept 1'!F194, "ERROR")</f>
        <v>1</v>
      </c>
      <c r="G194" s="9" t="str">
        <f>if('Point Intercept 1'!G194 = 'Point Intercept 2'!G194, 'Point Intercept 1'!G194, "ERROR")</f>
        <v>LU</v>
      </c>
      <c r="H194" s="9">
        <f>if('Point Intercept 1'!I194 = 'Point Intercept 2'!I194, 'Point Intercept 1'!I194, "ERROR")</f>
        <v>14</v>
      </c>
      <c r="I194" s="9">
        <f>if('Point Intercept 1'!H194 = 'Point Intercept 2'!H194, 'Point Intercept 1'!H194, "ERROR")</f>
        <v>2</v>
      </c>
      <c r="J194" s="9">
        <f>if('Point Intercept 1'!J194 = 'Point Intercept 2'!J194, 'Point Intercept 1'!J194, "ERROR")</f>
        <v>7</v>
      </c>
      <c r="K194" s="9" t="str">
        <f>if('Point Intercept 1'!K194 = 'Point Intercept 2'!K194, 'Point Intercept 1'!K194, "ERROR")</f>
        <v>EROMOS</v>
      </c>
      <c r="L194" s="9" t="str">
        <f>if('Point Intercept 1'!L194 = 'Point Intercept 2'!L194, 'Point Intercept 1'!L194, "ERROR")</f>
        <v>Erodium moschatum</v>
      </c>
      <c r="M194" s="9" t="str">
        <f>if('Point Intercept 1'!N194 = 'Point Intercept 2'!M194, 'Point Intercept 1'!N194, "ERROR")</f>
        <v/>
      </c>
      <c r="N194" s="9" t="str">
        <f>if('Point Intercept 1'!O194 = 'Point Intercept 2'!N194, 'Point Intercept 1'!O194, "ERROR")</f>
        <v/>
      </c>
      <c r="O194" s="9" t="str">
        <f>if('Point Intercept 1'!P194 = 'Point Intercept 2'!O194, 'Point Intercept 1'!P194, "ERROR")</f>
        <v/>
      </c>
    </row>
    <row r="195">
      <c r="A195" s="9">
        <f>if('Point Intercept 1'!A195 = 'Point Intercept 2'!A195, 'Point Intercept 1'!A195, "ERROR")</f>
        <v>2</v>
      </c>
      <c r="B195" s="9">
        <f>if('Point Intercept 1'!B195 = 'Point Intercept 2'!B195, 'Point Intercept 1'!B195, "ERROR")</f>
        <v>2025</v>
      </c>
      <c r="C195" s="14">
        <f>if('Point Intercept 1'!C195 = 'Point Intercept 2'!C195, 'Point Intercept 1'!C195, "ERROR")</f>
        <v>45755</v>
      </c>
      <c r="D195" s="9" t="str">
        <f>if('Point Intercept 1'!D195 = 'Point Intercept 2'!D195, 'Point Intercept 1'!D195, "ERROR")</f>
        <v>MP, TL, CG, BN</v>
      </c>
      <c r="E195" s="9" t="str">
        <f>if('Point Intercept 1'!E195 = 'Point Intercept 2'!E195, 'Point Intercept 1'!E195, "ERROR")</f>
        <v>VB</v>
      </c>
      <c r="F195" s="9">
        <f>if('Point Intercept 1'!F195 = 'Point Intercept 2'!F195, 'Point Intercept 1'!F195, "ERROR")</f>
        <v>1</v>
      </c>
      <c r="G195" s="9" t="str">
        <f>if('Point Intercept 1'!G195 = 'Point Intercept 2'!G195, 'Point Intercept 1'!G195, "ERROR")</f>
        <v>LU</v>
      </c>
      <c r="H195" s="9">
        <f>if('Point Intercept 1'!I195 = 'Point Intercept 2'!I195, 'Point Intercept 1'!I195, "ERROR")</f>
        <v>15</v>
      </c>
      <c r="I195" s="9">
        <f>if('Point Intercept 1'!H195 = 'Point Intercept 2'!H195, 'Point Intercept 1'!H195, "ERROR")</f>
        <v>2</v>
      </c>
      <c r="J195" s="9">
        <f>if('Point Intercept 1'!J195 = 'Point Intercept 2'!J195, 'Point Intercept 1'!J195, "ERROR")</f>
        <v>7.5</v>
      </c>
      <c r="K195" s="9" t="str">
        <f>if('Point Intercept 1'!K195 = 'Point Intercept 2'!K195, 'Point Intercept 1'!K195, "ERROR")</f>
        <v>L</v>
      </c>
      <c r="L195" s="9" t="str">
        <f>if('Point Intercept 1'!L195 = 'Point Intercept 2'!L195, 'Point Intercept 1'!L195, "ERROR")</f>
        <v>Litter</v>
      </c>
      <c r="M195" s="9" t="str">
        <f>if('Point Intercept 1'!N195 = 'Point Intercept 2'!M195, 'Point Intercept 1'!N195, "ERROR")</f>
        <v/>
      </c>
      <c r="N195" s="9" t="str">
        <f>if('Point Intercept 1'!O195 = 'Point Intercept 2'!N195, 'Point Intercept 1'!O195, "ERROR")</f>
        <v/>
      </c>
      <c r="O195" s="9" t="str">
        <f>if('Point Intercept 1'!P195 = 'Point Intercept 2'!O195, 'Point Intercept 1'!P195, "ERROR")</f>
        <v/>
      </c>
    </row>
    <row r="196">
      <c r="A196" s="9">
        <f>if('Point Intercept 1'!A196 = 'Point Intercept 2'!A196, 'Point Intercept 1'!A196, "ERROR")</f>
        <v>2</v>
      </c>
      <c r="B196" s="9">
        <f>if('Point Intercept 1'!B196 = 'Point Intercept 2'!B196, 'Point Intercept 1'!B196, "ERROR")</f>
        <v>2025</v>
      </c>
      <c r="C196" s="14">
        <f>if('Point Intercept 1'!C196 = 'Point Intercept 2'!C196, 'Point Intercept 1'!C196, "ERROR")</f>
        <v>45755</v>
      </c>
      <c r="D196" s="9" t="str">
        <f>if('Point Intercept 1'!D196 = 'Point Intercept 2'!D196, 'Point Intercept 1'!D196, "ERROR")</f>
        <v>MP, TL, CG, BN</v>
      </c>
      <c r="E196" s="9" t="str">
        <f>if('Point Intercept 1'!E196 = 'Point Intercept 2'!E196, 'Point Intercept 1'!E196, "ERROR")</f>
        <v>VB</v>
      </c>
      <c r="F196" s="9">
        <f>if('Point Intercept 1'!F196 = 'Point Intercept 2'!F196, 'Point Intercept 1'!F196, "ERROR")</f>
        <v>1</v>
      </c>
      <c r="G196" s="9" t="str">
        <f>if('Point Intercept 1'!G196 = 'Point Intercept 2'!G196, 'Point Intercept 1'!G196, "ERROR")</f>
        <v>LU</v>
      </c>
      <c r="H196" s="9">
        <f>if('Point Intercept 1'!I196 = 'Point Intercept 2'!I196, 'Point Intercept 1'!I196, "ERROR")</f>
        <v>15</v>
      </c>
      <c r="I196" s="9">
        <f>if('Point Intercept 1'!H196 = 'Point Intercept 2'!H196, 'Point Intercept 1'!H196, "ERROR")</f>
        <v>2</v>
      </c>
      <c r="J196" s="9">
        <f>if('Point Intercept 1'!J196 = 'Point Intercept 2'!J196, 'Point Intercept 1'!J196, "ERROR")</f>
        <v>7.5</v>
      </c>
      <c r="K196" s="9" t="str">
        <f>if('Point Intercept 1'!K196 = 'Point Intercept 2'!K196, 'Point Intercept 1'!K196, "ERROR")</f>
        <v>CENMEL</v>
      </c>
      <c r="L196" s="9" t="str">
        <f>if('Point Intercept 1'!L196 = 'Point Intercept 2'!L196, 'Point Intercept 1'!L196, "ERROR")</f>
        <v>Centaurea melitensis</v>
      </c>
      <c r="M196" s="9" t="str">
        <f>if('Point Intercept 1'!N196 = 'Point Intercept 2'!M196, 'Point Intercept 1'!N196, "ERROR")</f>
        <v/>
      </c>
      <c r="N196" s="9" t="str">
        <f>if('Point Intercept 1'!O196 = 'Point Intercept 2'!N196, 'Point Intercept 1'!O196, "ERROR")</f>
        <v/>
      </c>
      <c r="O196" s="9" t="str">
        <f>if('Point Intercept 1'!P196 = 'Point Intercept 2'!O196, 'Point Intercept 1'!P196, "ERROR")</f>
        <v/>
      </c>
    </row>
    <row r="197">
      <c r="A197" s="9">
        <f>if('Point Intercept 1'!A197 = 'Point Intercept 2'!A197, 'Point Intercept 1'!A197, "ERROR")</f>
        <v>2</v>
      </c>
      <c r="B197" s="9">
        <f>if('Point Intercept 1'!B197 = 'Point Intercept 2'!B197, 'Point Intercept 1'!B197, "ERROR")</f>
        <v>2025</v>
      </c>
      <c r="C197" s="14">
        <f>if('Point Intercept 1'!C197 = 'Point Intercept 2'!C197, 'Point Intercept 1'!C197, "ERROR")</f>
        <v>45755</v>
      </c>
      <c r="D197" s="9" t="str">
        <f>if('Point Intercept 1'!D197 = 'Point Intercept 2'!D197, 'Point Intercept 1'!D197, "ERROR")</f>
        <v>MP, TL, CG, BN</v>
      </c>
      <c r="E197" s="9" t="str">
        <f>if('Point Intercept 1'!E197 = 'Point Intercept 2'!E197, 'Point Intercept 1'!E197, "ERROR")</f>
        <v>VB</v>
      </c>
      <c r="F197" s="9">
        <f>if('Point Intercept 1'!F197 = 'Point Intercept 2'!F197, 'Point Intercept 1'!F197, "ERROR")</f>
        <v>1</v>
      </c>
      <c r="G197" s="9" t="str">
        <f>if('Point Intercept 1'!G197 = 'Point Intercept 2'!G197, 'Point Intercept 1'!G197, "ERROR")</f>
        <v>LU</v>
      </c>
      <c r="H197" s="9">
        <f>if('Point Intercept 1'!I197 = 'Point Intercept 2'!I197, 'Point Intercept 1'!I197, "ERROR")</f>
        <v>15</v>
      </c>
      <c r="I197" s="9">
        <f>if('Point Intercept 1'!H197 = 'Point Intercept 2'!H197, 'Point Intercept 1'!H197, "ERROR")</f>
        <v>2</v>
      </c>
      <c r="J197" s="9">
        <f>if('Point Intercept 1'!J197 = 'Point Intercept 2'!J197, 'Point Intercept 1'!J197, "ERROR")</f>
        <v>7.5</v>
      </c>
      <c r="K197" s="9" t="str">
        <f>if('Point Intercept 1'!K197 = 'Point Intercept 2'!K197, 'Point Intercept 1'!K197, "ERROR")</f>
        <v>DEIFAS</v>
      </c>
      <c r="L197" s="9" t="str">
        <f>if('Point Intercept 1'!L197 = 'Point Intercept 2'!L197, 'Point Intercept 1'!L197, "ERROR")</f>
        <v>Deinandra fasciculata</v>
      </c>
      <c r="M197" s="9" t="str">
        <f>if('Point Intercept 1'!N197 = 'Point Intercept 2'!M197, 'Point Intercept 1'!N197, "ERROR")</f>
        <v/>
      </c>
      <c r="N197" s="9" t="str">
        <f>if('Point Intercept 1'!O197 = 'Point Intercept 2'!N197, 'Point Intercept 1'!O197, "ERROR")</f>
        <v/>
      </c>
      <c r="O197" s="9" t="str">
        <f>if('Point Intercept 1'!P197 = 'Point Intercept 2'!O197, 'Point Intercept 1'!P197, "ERROR")</f>
        <v/>
      </c>
    </row>
    <row r="198">
      <c r="A198" s="9">
        <f>if('Point Intercept 1'!A198 = 'Point Intercept 2'!A198, 'Point Intercept 1'!A198, "ERROR")</f>
        <v>2</v>
      </c>
      <c r="B198" s="9">
        <f>if('Point Intercept 1'!B198 = 'Point Intercept 2'!B198, 'Point Intercept 1'!B198, "ERROR")</f>
        <v>2025</v>
      </c>
      <c r="C198" s="14">
        <f>if('Point Intercept 1'!C198 = 'Point Intercept 2'!C198, 'Point Intercept 1'!C198, "ERROR")</f>
        <v>45755</v>
      </c>
      <c r="D198" s="9" t="str">
        <f>if('Point Intercept 1'!D198 = 'Point Intercept 2'!D198, 'Point Intercept 1'!D198, "ERROR")</f>
        <v>MP, TL, CG, BN</v>
      </c>
      <c r="E198" s="9" t="str">
        <f>if('Point Intercept 1'!E198 = 'Point Intercept 2'!E198, 'Point Intercept 1'!E198, "ERROR")</f>
        <v>VB</v>
      </c>
      <c r="F198" s="9">
        <f>if('Point Intercept 1'!F198 = 'Point Intercept 2'!F198, 'Point Intercept 1'!F198, "ERROR")</f>
        <v>1</v>
      </c>
      <c r="G198" s="9" t="str">
        <f>if('Point Intercept 1'!G198 = 'Point Intercept 2'!G198, 'Point Intercept 1'!G198, "ERROR")</f>
        <v>LU</v>
      </c>
      <c r="H198" s="9">
        <f>if('Point Intercept 1'!I198 = 'Point Intercept 2'!I198, 'Point Intercept 1'!I198, "ERROR")</f>
        <v>15</v>
      </c>
      <c r="I198" s="9">
        <f>if('Point Intercept 1'!H198 = 'Point Intercept 2'!H198, 'Point Intercept 1'!H198, "ERROR")</f>
        <v>2</v>
      </c>
      <c r="J198" s="9">
        <f>if('Point Intercept 1'!J198 = 'Point Intercept 2'!J198, 'Point Intercept 1'!J198, "ERROR")</f>
        <v>7.5</v>
      </c>
      <c r="K198" s="9" t="str">
        <f>if('Point Intercept 1'!K198 = 'Point Intercept 2'!K198, 'Point Intercept 1'!K198, "ERROR")</f>
        <v>EROBOT</v>
      </c>
      <c r="L198" s="9" t="str">
        <f>if('Point Intercept 1'!L198 = 'Point Intercept 2'!L198, 'Point Intercept 1'!L198, "ERROR")</f>
        <v>Erodium botrys</v>
      </c>
      <c r="M198" s="9" t="str">
        <f>if('Point Intercept 1'!N198 = 'Point Intercept 2'!M198, 'Point Intercept 1'!N198, "ERROR")</f>
        <v/>
      </c>
      <c r="N198" s="9" t="str">
        <f>if('Point Intercept 1'!O198 = 'Point Intercept 2'!N198, 'Point Intercept 1'!O198, "ERROR")</f>
        <v/>
      </c>
      <c r="O198" s="9" t="str">
        <f>if('Point Intercept 1'!P198 = 'Point Intercept 2'!O198, 'Point Intercept 1'!P198, "ERROR")</f>
        <v/>
      </c>
    </row>
    <row r="199">
      <c r="A199" s="9">
        <f>if('Point Intercept 1'!A199 = 'Point Intercept 2'!A199, 'Point Intercept 1'!A199, "ERROR")</f>
        <v>3</v>
      </c>
      <c r="B199" s="9">
        <f>if('Point Intercept 1'!B199 = 'Point Intercept 2'!B199, 'Point Intercept 1'!B199, "ERROR")</f>
        <v>2025</v>
      </c>
      <c r="C199" s="14">
        <f>if('Point Intercept 1'!C199 = 'Point Intercept 2'!C199, 'Point Intercept 1'!C199, "ERROR")</f>
        <v>45755</v>
      </c>
      <c r="D199" s="9" t="str">
        <f>if('Point Intercept 1'!D199 = 'Point Intercept 2'!D199, 'Point Intercept 1'!D199, "ERROR")</f>
        <v>JC, TL</v>
      </c>
      <c r="E199" s="9" t="str">
        <f>if('Point Intercept 1'!E199 = 'Point Intercept 2'!E199, 'Point Intercept 1'!E199, "ERROR")</f>
        <v>VB</v>
      </c>
      <c r="F199" s="9">
        <f>if('Point Intercept 1'!F199 = 'Point Intercept 2'!F199, 'Point Intercept 1'!F199, "ERROR")</f>
        <v>3</v>
      </c>
      <c r="G199" s="9" t="str">
        <f>if('Point Intercept 1'!G199 = 'Point Intercept 2'!G199, 'Point Intercept 1'!G199, "ERROR")</f>
        <v>LU</v>
      </c>
      <c r="H199" s="9">
        <f>if('Point Intercept 1'!I199 = 'Point Intercept 2'!I199, 'Point Intercept 1'!I199, "ERROR")</f>
        <v>1</v>
      </c>
      <c r="I199" s="9">
        <f>if('Point Intercept 1'!H199 = 'Point Intercept 2'!H199, 'Point Intercept 1'!H199, "ERROR")</f>
        <v>1</v>
      </c>
      <c r="J199" s="9">
        <f>if('Point Intercept 1'!J199 = 'Point Intercept 2'!J199, 'Point Intercept 1'!J199, "ERROR")</f>
        <v>0</v>
      </c>
      <c r="K199" s="9" t="str">
        <f>if('Point Intercept 1'!K199 = 'Point Intercept 2'!K199, 'Point Intercept 1'!K199, "ERROR")</f>
        <v>B</v>
      </c>
      <c r="L199" s="9" t="str">
        <f>if('Point Intercept 1'!L199 = 'Point Intercept 2'!L199, 'Point Intercept 1'!L199, "ERROR")</f>
        <v>Bareground</v>
      </c>
      <c r="M199" s="9" t="str">
        <f>if('Point Intercept 1'!N199 = 'Point Intercept 2'!M199, 'Point Intercept 1'!N199, "ERROR")</f>
        <v/>
      </c>
      <c r="N199" s="9" t="str">
        <f>if('Point Intercept 1'!O199 = 'Point Intercept 2'!N199, 'Point Intercept 1'!O199, "ERROR")</f>
        <v/>
      </c>
      <c r="O199" s="9" t="str">
        <f>if('Point Intercept 1'!P199 = 'Point Intercept 2'!O199, 'Point Intercept 1'!P199, "ERROR")</f>
        <v/>
      </c>
    </row>
    <row r="200">
      <c r="A200" s="9">
        <f>if('Point Intercept 1'!A200 = 'Point Intercept 2'!A200, 'Point Intercept 1'!A200, "ERROR")</f>
        <v>3</v>
      </c>
      <c r="B200" s="9">
        <f>if('Point Intercept 1'!B200 = 'Point Intercept 2'!B200, 'Point Intercept 1'!B200, "ERROR")</f>
        <v>2025</v>
      </c>
      <c r="C200" s="14">
        <f>if('Point Intercept 1'!C200 = 'Point Intercept 2'!C200, 'Point Intercept 1'!C200, "ERROR")</f>
        <v>45755</v>
      </c>
      <c r="D200" s="9" t="str">
        <f>if('Point Intercept 1'!D200 = 'Point Intercept 2'!D200, 'Point Intercept 1'!D200, "ERROR")</f>
        <v>JC, TL</v>
      </c>
      <c r="E200" s="9" t="str">
        <f>if('Point Intercept 1'!E200 = 'Point Intercept 2'!E200, 'Point Intercept 1'!E200, "ERROR")</f>
        <v>VB</v>
      </c>
      <c r="F200" s="9">
        <f>if('Point Intercept 1'!F200 = 'Point Intercept 2'!F200, 'Point Intercept 1'!F200, "ERROR")</f>
        <v>3</v>
      </c>
      <c r="G200" s="9" t="str">
        <f>if('Point Intercept 1'!G200 = 'Point Intercept 2'!G200, 'Point Intercept 1'!G200, "ERROR")</f>
        <v>LU</v>
      </c>
      <c r="H200" s="9">
        <f>if('Point Intercept 1'!I200 = 'Point Intercept 2'!I200, 'Point Intercept 1'!I200, "ERROR")</f>
        <v>1</v>
      </c>
      <c r="I200" s="9">
        <f>if('Point Intercept 1'!H200 = 'Point Intercept 2'!H200, 'Point Intercept 1'!H200, "ERROR")</f>
        <v>1</v>
      </c>
      <c r="J200" s="9">
        <f>if('Point Intercept 1'!J200 = 'Point Intercept 2'!J200, 'Point Intercept 1'!J200, "ERROR")</f>
        <v>0</v>
      </c>
      <c r="K200" s="9" t="str">
        <f>if('Point Intercept 1'!K200 = 'Point Intercept 2'!K200, 'Point Intercept 1'!K200, "ERROR")</f>
        <v>MEDPOL</v>
      </c>
      <c r="L200" s="9" t="str">
        <f>if('Point Intercept 1'!L200 = 'Point Intercept 2'!L200, 'Point Intercept 1'!L200, "ERROR")</f>
        <v>Medicago polymorpha</v>
      </c>
      <c r="M200" s="9" t="str">
        <f>if('Point Intercept 1'!N200 = 'Point Intercept 2'!M200, 'Point Intercept 1'!N200, "ERROR")</f>
        <v/>
      </c>
      <c r="N200" s="9" t="str">
        <f>if('Point Intercept 1'!O200 = 'Point Intercept 2'!N200, 'Point Intercept 1'!O200, "ERROR")</f>
        <v/>
      </c>
      <c r="O200" s="9" t="str">
        <f>if('Point Intercept 1'!P200 = 'Point Intercept 2'!O200, 'Point Intercept 1'!P200, "ERROR")</f>
        <v/>
      </c>
    </row>
    <row r="201">
      <c r="A201" s="9">
        <f>if('Point Intercept 1'!A201 = 'Point Intercept 2'!A201, 'Point Intercept 1'!A201, "ERROR")</f>
        <v>3</v>
      </c>
      <c r="B201" s="9">
        <f>if('Point Intercept 1'!B201 = 'Point Intercept 2'!B201, 'Point Intercept 1'!B201, "ERROR")</f>
        <v>2025</v>
      </c>
      <c r="C201" s="14">
        <f>if('Point Intercept 1'!C201 = 'Point Intercept 2'!C201, 'Point Intercept 1'!C201, "ERROR")</f>
        <v>45755</v>
      </c>
      <c r="D201" s="9" t="str">
        <f>if('Point Intercept 1'!D201 = 'Point Intercept 2'!D201, 'Point Intercept 1'!D201, "ERROR")</f>
        <v>JC, TL</v>
      </c>
      <c r="E201" s="9" t="str">
        <f>if('Point Intercept 1'!E201 = 'Point Intercept 2'!E201, 'Point Intercept 1'!E201, "ERROR")</f>
        <v>VB</v>
      </c>
      <c r="F201" s="9">
        <f>if('Point Intercept 1'!F201 = 'Point Intercept 2'!F201, 'Point Intercept 1'!F201, "ERROR")</f>
        <v>3</v>
      </c>
      <c r="G201" s="9" t="str">
        <f>if('Point Intercept 1'!G201 = 'Point Intercept 2'!G201, 'Point Intercept 1'!G201, "ERROR")</f>
        <v>LU</v>
      </c>
      <c r="H201" s="9">
        <f>if('Point Intercept 1'!I201 = 'Point Intercept 2'!I201, 'Point Intercept 1'!I201, "ERROR")</f>
        <v>1</v>
      </c>
      <c r="I201" s="9">
        <f>if('Point Intercept 1'!H201 = 'Point Intercept 2'!H201, 'Point Intercept 1'!H201, "ERROR")</f>
        <v>1</v>
      </c>
      <c r="J201" s="9">
        <f>if('Point Intercept 1'!J201 = 'Point Intercept 2'!J201, 'Point Intercept 1'!J201, "ERROR")</f>
        <v>0</v>
      </c>
      <c r="K201" s="9" t="str">
        <f>if('Point Intercept 1'!K201 = 'Point Intercept 2'!K201, 'Point Intercept 1'!K201, "ERROR")</f>
        <v>CENMEL</v>
      </c>
      <c r="L201" s="9" t="str">
        <f>if('Point Intercept 1'!L201 = 'Point Intercept 2'!L201, 'Point Intercept 1'!L201, "ERROR")</f>
        <v>Centaurea melitensis</v>
      </c>
      <c r="M201" s="9" t="str">
        <f>if('Point Intercept 1'!N201 = 'Point Intercept 2'!M201, 'Point Intercept 1'!N201, "ERROR")</f>
        <v/>
      </c>
      <c r="N201" s="9" t="str">
        <f>if('Point Intercept 1'!O201 = 'Point Intercept 2'!N201, 'Point Intercept 1'!O201, "ERROR")</f>
        <v/>
      </c>
      <c r="O201" s="9" t="str">
        <f>if('Point Intercept 1'!P201 = 'Point Intercept 2'!O201, 'Point Intercept 1'!P201, "ERROR")</f>
        <v/>
      </c>
    </row>
    <row r="202">
      <c r="A202" s="9">
        <f>if('Point Intercept 1'!A202 = 'Point Intercept 2'!A202, 'Point Intercept 1'!A202, "ERROR")</f>
        <v>3</v>
      </c>
      <c r="B202" s="9">
        <f>if('Point Intercept 1'!B202 = 'Point Intercept 2'!B202, 'Point Intercept 1'!B202, "ERROR")</f>
        <v>2025</v>
      </c>
      <c r="C202" s="14">
        <f>if('Point Intercept 1'!C202 = 'Point Intercept 2'!C202, 'Point Intercept 1'!C202, "ERROR")</f>
        <v>45755</v>
      </c>
      <c r="D202" s="9" t="str">
        <f>if('Point Intercept 1'!D202 = 'Point Intercept 2'!D202, 'Point Intercept 1'!D202, "ERROR")</f>
        <v>JC, TL</v>
      </c>
      <c r="E202" s="9" t="str">
        <f>if('Point Intercept 1'!E202 = 'Point Intercept 2'!E202, 'Point Intercept 1'!E202, "ERROR")</f>
        <v>VB</v>
      </c>
      <c r="F202" s="9">
        <f>if('Point Intercept 1'!F202 = 'Point Intercept 2'!F202, 'Point Intercept 1'!F202, "ERROR")</f>
        <v>3</v>
      </c>
      <c r="G202" s="9" t="str">
        <f>if('Point Intercept 1'!G202 = 'Point Intercept 2'!G202, 'Point Intercept 1'!G202, "ERROR")</f>
        <v>LU</v>
      </c>
      <c r="H202" s="9">
        <f>if('Point Intercept 1'!I202 = 'Point Intercept 2'!I202, 'Point Intercept 1'!I202, "ERROR")</f>
        <v>2</v>
      </c>
      <c r="I202" s="9">
        <f>if('Point Intercept 1'!H202 = 'Point Intercept 2'!H202, 'Point Intercept 1'!H202, "ERROR")</f>
        <v>1</v>
      </c>
      <c r="J202" s="9">
        <f>if('Point Intercept 1'!J202 = 'Point Intercept 2'!J202, 'Point Intercept 1'!J202, "ERROR")</f>
        <v>0.5</v>
      </c>
      <c r="K202" s="9" t="str">
        <f>if('Point Intercept 1'!K202 = 'Point Intercept 2'!K202, 'Point Intercept 1'!K202, "ERROR")</f>
        <v>L</v>
      </c>
      <c r="L202" s="9" t="str">
        <f>if('Point Intercept 1'!L202 = 'Point Intercept 2'!L202, 'Point Intercept 1'!L202, "ERROR")</f>
        <v>Litter</v>
      </c>
      <c r="M202" s="9" t="str">
        <f>if('Point Intercept 1'!N202 = 'Point Intercept 2'!M202, 'Point Intercept 1'!N202, "ERROR")</f>
        <v/>
      </c>
      <c r="N202" s="9" t="str">
        <f>if('Point Intercept 1'!O202 = 'Point Intercept 2'!N202, 'Point Intercept 1'!O202, "ERROR")</f>
        <v/>
      </c>
      <c r="O202" s="9" t="str">
        <f>if('Point Intercept 1'!P202 = 'Point Intercept 2'!O202, 'Point Intercept 1'!P202, "ERROR")</f>
        <v/>
      </c>
    </row>
    <row r="203">
      <c r="A203" s="9">
        <f>if('Point Intercept 1'!A203 = 'Point Intercept 2'!A203, 'Point Intercept 1'!A203, "ERROR")</f>
        <v>3</v>
      </c>
      <c r="B203" s="9">
        <f>if('Point Intercept 1'!B203 = 'Point Intercept 2'!B203, 'Point Intercept 1'!B203, "ERROR")</f>
        <v>2025</v>
      </c>
      <c r="C203" s="14">
        <f>if('Point Intercept 1'!C203 = 'Point Intercept 2'!C203, 'Point Intercept 1'!C203, "ERROR")</f>
        <v>45755</v>
      </c>
      <c r="D203" s="9" t="str">
        <f>if('Point Intercept 1'!D203 = 'Point Intercept 2'!D203, 'Point Intercept 1'!D203, "ERROR")</f>
        <v>JC, TL</v>
      </c>
      <c r="E203" s="9" t="str">
        <f>if('Point Intercept 1'!E203 = 'Point Intercept 2'!E203, 'Point Intercept 1'!E203, "ERROR")</f>
        <v>VB</v>
      </c>
      <c r="F203" s="9">
        <f>if('Point Intercept 1'!F203 = 'Point Intercept 2'!F203, 'Point Intercept 1'!F203, "ERROR")</f>
        <v>3</v>
      </c>
      <c r="G203" s="9" t="str">
        <f>if('Point Intercept 1'!G203 = 'Point Intercept 2'!G203, 'Point Intercept 1'!G203, "ERROR")</f>
        <v>LU</v>
      </c>
      <c r="H203" s="9">
        <f>if('Point Intercept 1'!I203 = 'Point Intercept 2'!I203, 'Point Intercept 1'!I203, "ERROR")</f>
        <v>2</v>
      </c>
      <c r="I203" s="9">
        <f>if('Point Intercept 1'!H203 = 'Point Intercept 2'!H203, 'Point Intercept 1'!H203, "ERROR")</f>
        <v>1</v>
      </c>
      <c r="J203" s="9">
        <f>if('Point Intercept 1'!J203 = 'Point Intercept 2'!J203, 'Point Intercept 1'!J203, "ERROR")</f>
        <v>0.5</v>
      </c>
      <c r="K203" s="9" t="str">
        <f>if('Point Intercept 1'!K203 = 'Point Intercept 2'!K203, 'Point Intercept 1'!K203, "ERROR")</f>
        <v>OPULIT</v>
      </c>
      <c r="L203" s="9" t="str">
        <f>if('Point Intercept 1'!L203 = 'Point Intercept 2'!L203, 'Point Intercept 1'!L203, "ERROR")</f>
        <v>Opuntia littoralis</v>
      </c>
      <c r="M203" s="9" t="str">
        <f>if('Point Intercept 1'!N203 = 'Point Intercept 2'!M203, 'Point Intercept 1'!N203, "ERROR")</f>
        <v/>
      </c>
      <c r="N203" s="9" t="str">
        <f>if('Point Intercept 1'!O203 = 'Point Intercept 2'!N203, 'Point Intercept 1'!O203, "ERROR")</f>
        <v/>
      </c>
      <c r="O203" s="9" t="str">
        <f>if('Point Intercept 1'!P203 = 'Point Intercept 2'!O203, 'Point Intercept 1'!P203, "ERROR")</f>
        <v/>
      </c>
    </row>
    <row r="204">
      <c r="A204" s="9">
        <f>if('Point Intercept 1'!A204 = 'Point Intercept 2'!A204, 'Point Intercept 1'!A204, "ERROR")</f>
        <v>3</v>
      </c>
      <c r="B204" s="9">
        <f>if('Point Intercept 1'!B204 = 'Point Intercept 2'!B204, 'Point Intercept 1'!B204, "ERROR")</f>
        <v>2025</v>
      </c>
      <c r="C204" s="14">
        <f>if('Point Intercept 1'!C204 = 'Point Intercept 2'!C204, 'Point Intercept 1'!C204, "ERROR")</f>
        <v>45755</v>
      </c>
      <c r="D204" s="9" t="str">
        <f>if('Point Intercept 1'!D204 = 'Point Intercept 2'!D204, 'Point Intercept 1'!D204, "ERROR")</f>
        <v>JC, TL</v>
      </c>
      <c r="E204" s="9" t="str">
        <f>if('Point Intercept 1'!E204 = 'Point Intercept 2'!E204, 'Point Intercept 1'!E204, "ERROR")</f>
        <v>VB</v>
      </c>
      <c r="F204" s="9">
        <f>if('Point Intercept 1'!F204 = 'Point Intercept 2'!F204, 'Point Intercept 1'!F204, "ERROR")</f>
        <v>3</v>
      </c>
      <c r="G204" s="9" t="str">
        <f>if('Point Intercept 1'!G204 = 'Point Intercept 2'!G204, 'Point Intercept 1'!G204, "ERROR")</f>
        <v>LU</v>
      </c>
      <c r="H204" s="9">
        <f>if('Point Intercept 1'!I204 = 'Point Intercept 2'!I204, 'Point Intercept 1'!I204, "ERROR")</f>
        <v>2</v>
      </c>
      <c r="I204" s="9">
        <f>if('Point Intercept 1'!H204 = 'Point Intercept 2'!H204, 'Point Intercept 1'!H204, "ERROR")</f>
        <v>1</v>
      </c>
      <c r="J204" s="9">
        <f>if('Point Intercept 1'!J204 = 'Point Intercept 2'!J204, 'Point Intercept 1'!J204, "ERROR")</f>
        <v>0.5</v>
      </c>
      <c r="K204" s="9" t="str">
        <f>if('Point Intercept 1'!K204 = 'Point Intercept 2'!K204, 'Point Intercept 1'!K204, "ERROR")</f>
        <v>FESMYU</v>
      </c>
      <c r="L204" s="9" t="str">
        <f>if('Point Intercept 1'!L204 = 'Point Intercept 2'!L204, 'Point Intercept 1'!L204, "ERROR")</f>
        <v>Festuca myuros</v>
      </c>
      <c r="M204" s="9" t="str">
        <f>if('Point Intercept 1'!N204 = 'Point Intercept 2'!M204, 'Point Intercept 1'!N204, "ERROR")</f>
        <v/>
      </c>
      <c r="N204" s="9" t="str">
        <f>if('Point Intercept 1'!O204 = 'Point Intercept 2'!N204, 'Point Intercept 1'!O204, "ERROR")</f>
        <v/>
      </c>
      <c r="O204" s="9" t="str">
        <f>if('Point Intercept 1'!P204 = 'Point Intercept 2'!O204, 'Point Intercept 1'!P204, "ERROR")</f>
        <v/>
      </c>
    </row>
    <row r="205">
      <c r="A205" s="9">
        <f>if('Point Intercept 1'!A205 = 'Point Intercept 2'!A205, 'Point Intercept 1'!A205, "ERROR")</f>
        <v>3</v>
      </c>
      <c r="B205" s="9">
        <f>if('Point Intercept 1'!B205 = 'Point Intercept 2'!B205, 'Point Intercept 1'!B205, "ERROR")</f>
        <v>2025</v>
      </c>
      <c r="C205" s="14">
        <f>if('Point Intercept 1'!C205 = 'Point Intercept 2'!C205, 'Point Intercept 1'!C205, "ERROR")</f>
        <v>45755</v>
      </c>
      <c r="D205" s="9" t="str">
        <f>if('Point Intercept 1'!D205 = 'Point Intercept 2'!D205, 'Point Intercept 1'!D205, "ERROR")</f>
        <v>JC, TL</v>
      </c>
      <c r="E205" s="9" t="str">
        <f>if('Point Intercept 1'!E205 = 'Point Intercept 2'!E205, 'Point Intercept 1'!E205, "ERROR")</f>
        <v>VB</v>
      </c>
      <c r="F205" s="9">
        <f>if('Point Intercept 1'!F205 = 'Point Intercept 2'!F205, 'Point Intercept 1'!F205, "ERROR")</f>
        <v>3</v>
      </c>
      <c r="G205" s="9" t="str">
        <f>if('Point Intercept 1'!G205 = 'Point Intercept 2'!G205, 'Point Intercept 1'!G205, "ERROR")</f>
        <v>LU</v>
      </c>
      <c r="H205" s="9">
        <f>if('Point Intercept 1'!I205 = 'Point Intercept 2'!I205, 'Point Intercept 1'!I205, "ERROR")</f>
        <v>2</v>
      </c>
      <c r="I205" s="9">
        <f>if('Point Intercept 1'!H205 = 'Point Intercept 2'!H205, 'Point Intercept 1'!H205, "ERROR")</f>
        <v>1</v>
      </c>
      <c r="J205" s="9">
        <f>if('Point Intercept 1'!J205 = 'Point Intercept 2'!J205, 'Point Intercept 1'!J205, "ERROR")</f>
        <v>0.5</v>
      </c>
      <c r="K205" s="9" t="str">
        <f>if('Point Intercept 1'!K205 = 'Point Intercept 2'!K205, 'Point Intercept 1'!K205, "ERROR")</f>
        <v>MEDPOL</v>
      </c>
      <c r="L205" s="9" t="str">
        <f>if('Point Intercept 1'!L205 = 'Point Intercept 2'!L205, 'Point Intercept 1'!L205, "ERROR")</f>
        <v>Medicago polymorpha</v>
      </c>
      <c r="M205" s="9" t="str">
        <f>if('Point Intercept 1'!N205 = 'Point Intercept 2'!M205, 'Point Intercept 1'!N205, "ERROR")</f>
        <v/>
      </c>
      <c r="N205" s="9" t="str">
        <f>if('Point Intercept 1'!O205 = 'Point Intercept 2'!N205, 'Point Intercept 1'!O205, "ERROR")</f>
        <v/>
      </c>
      <c r="O205" s="9" t="str">
        <f>if('Point Intercept 1'!P205 = 'Point Intercept 2'!O205, 'Point Intercept 1'!P205, "ERROR")</f>
        <v/>
      </c>
    </row>
    <row r="206">
      <c r="A206" s="9">
        <f>if('Point Intercept 1'!A206 = 'Point Intercept 2'!A206, 'Point Intercept 1'!A206, "ERROR")</f>
        <v>3</v>
      </c>
      <c r="B206" s="9">
        <f>if('Point Intercept 1'!B206 = 'Point Intercept 2'!B206, 'Point Intercept 1'!B206, "ERROR")</f>
        <v>2025</v>
      </c>
      <c r="C206" s="14">
        <f>if('Point Intercept 1'!C206 = 'Point Intercept 2'!C206, 'Point Intercept 1'!C206, "ERROR")</f>
        <v>45755</v>
      </c>
      <c r="D206" s="9" t="str">
        <f>if('Point Intercept 1'!D206 = 'Point Intercept 2'!D206, 'Point Intercept 1'!D206, "ERROR")</f>
        <v>JC, TL</v>
      </c>
      <c r="E206" s="9" t="str">
        <f>if('Point Intercept 1'!E206 = 'Point Intercept 2'!E206, 'Point Intercept 1'!E206, "ERROR")</f>
        <v>VB</v>
      </c>
      <c r="F206" s="9">
        <f>if('Point Intercept 1'!F206 = 'Point Intercept 2'!F206, 'Point Intercept 1'!F206, "ERROR")</f>
        <v>3</v>
      </c>
      <c r="G206" s="9" t="str">
        <f>if('Point Intercept 1'!G206 = 'Point Intercept 2'!G206, 'Point Intercept 1'!G206, "ERROR")</f>
        <v>LU</v>
      </c>
      <c r="H206" s="9">
        <f>if('Point Intercept 1'!I206 = 'Point Intercept 2'!I206, 'Point Intercept 1'!I206, "ERROR")</f>
        <v>3</v>
      </c>
      <c r="I206" s="9">
        <f>if('Point Intercept 1'!H206 = 'Point Intercept 2'!H206, 'Point Intercept 1'!H206, "ERROR")</f>
        <v>1</v>
      </c>
      <c r="J206" s="9">
        <f>if('Point Intercept 1'!J206 = 'Point Intercept 2'!J206, 'Point Intercept 1'!J206, "ERROR")</f>
        <v>1</v>
      </c>
      <c r="K206" s="9" t="str">
        <f>if('Point Intercept 1'!K206 = 'Point Intercept 2'!K206, 'Point Intercept 1'!K206, "ERROR")</f>
        <v>B</v>
      </c>
      <c r="L206" s="9" t="str">
        <f>if('Point Intercept 1'!L206 = 'Point Intercept 2'!L206, 'Point Intercept 1'!L206, "ERROR")</f>
        <v>Bareground</v>
      </c>
      <c r="M206" s="9" t="str">
        <f>if('Point Intercept 1'!N206 = 'Point Intercept 2'!M206, 'Point Intercept 1'!N206, "ERROR")</f>
        <v/>
      </c>
      <c r="N206" s="9" t="str">
        <f>if('Point Intercept 1'!O206 = 'Point Intercept 2'!N206, 'Point Intercept 1'!O206, "ERROR")</f>
        <v/>
      </c>
      <c r="O206" s="9" t="str">
        <f>if('Point Intercept 1'!P206 = 'Point Intercept 2'!O206, 'Point Intercept 1'!P206, "ERROR")</f>
        <v/>
      </c>
    </row>
    <row r="207">
      <c r="A207" s="9">
        <f>if('Point Intercept 1'!A207 = 'Point Intercept 2'!A207, 'Point Intercept 1'!A207, "ERROR")</f>
        <v>3</v>
      </c>
      <c r="B207" s="9">
        <f>if('Point Intercept 1'!B207 = 'Point Intercept 2'!B207, 'Point Intercept 1'!B207, "ERROR")</f>
        <v>2025</v>
      </c>
      <c r="C207" s="14">
        <f>if('Point Intercept 1'!C207 = 'Point Intercept 2'!C207, 'Point Intercept 1'!C207, "ERROR")</f>
        <v>45755</v>
      </c>
      <c r="D207" s="9" t="str">
        <f>if('Point Intercept 1'!D207 = 'Point Intercept 2'!D207, 'Point Intercept 1'!D207, "ERROR")</f>
        <v>JC, TL</v>
      </c>
      <c r="E207" s="9" t="str">
        <f>if('Point Intercept 1'!E207 = 'Point Intercept 2'!E207, 'Point Intercept 1'!E207, "ERROR")</f>
        <v>VB</v>
      </c>
      <c r="F207" s="9">
        <f>if('Point Intercept 1'!F207 = 'Point Intercept 2'!F207, 'Point Intercept 1'!F207, "ERROR")</f>
        <v>3</v>
      </c>
      <c r="G207" s="9" t="str">
        <f>if('Point Intercept 1'!G207 = 'Point Intercept 2'!G207, 'Point Intercept 1'!G207, "ERROR")</f>
        <v>LU</v>
      </c>
      <c r="H207" s="9">
        <f>if('Point Intercept 1'!I207 = 'Point Intercept 2'!I207, 'Point Intercept 1'!I207, "ERROR")</f>
        <v>3</v>
      </c>
      <c r="I207" s="9">
        <f>if('Point Intercept 1'!H207 = 'Point Intercept 2'!H207, 'Point Intercept 1'!H207, "ERROR")</f>
        <v>1</v>
      </c>
      <c r="J207" s="9">
        <f>if('Point Intercept 1'!J207 = 'Point Intercept 2'!J207, 'Point Intercept 1'!J207, "ERROR")</f>
        <v>1</v>
      </c>
      <c r="K207" s="9" t="str">
        <f>if('Point Intercept 1'!K207 = 'Point Intercept 2'!K207, 'Point Intercept 1'!K207, "ERROR")</f>
        <v>FESMYU</v>
      </c>
      <c r="L207" s="9" t="str">
        <f>if('Point Intercept 1'!L207 = 'Point Intercept 2'!L207, 'Point Intercept 1'!L207, "ERROR")</f>
        <v>Festuca myuros</v>
      </c>
      <c r="M207" s="9" t="str">
        <f>if('Point Intercept 1'!N207 = 'Point Intercept 2'!M207, 'Point Intercept 1'!N207, "ERROR")</f>
        <v/>
      </c>
      <c r="N207" s="9" t="str">
        <f>if('Point Intercept 1'!O207 = 'Point Intercept 2'!N207, 'Point Intercept 1'!O207, "ERROR")</f>
        <v/>
      </c>
      <c r="O207" s="9" t="str">
        <f>if('Point Intercept 1'!P207 = 'Point Intercept 2'!O207, 'Point Intercept 1'!P207, "ERROR")</f>
        <v/>
      </c>
    </row>
    <row r="208">
      <c r="A208" s="9">
        <f>if('Point Intercept 1'!A208 = 'Point Intercept 2'!A208, 'Point Intercept 1'!A208, "ERROR")</f>
        <v>3</v>
      </c>
      <c r="B208" s="9">
        <f>if('Point Intercept 1'!B208 = 'Point Intercept 2'!B208, 'Point Intercept 1'!B208, "ERROR")</f>
        <v>2025</v>
      </c>
      <c r="C208" s="14">
        <f>if('Point Intercept 1'!C208 = 'Point Intercept 2'!C208, 'Point Intercept 1'!C208, "ERROR")</f>
        <v>45755</v>
      </c>
      <c r="D208" s="9" t="str">
        <f>if('Point Intercept 1'!D208 = 'Point Intercept 2'!D208, 'Point Intercept 1'!D208, "ERROR")</f>
        <v>JC, TL</v>
      </c>
      <c r="E208" s="9" t="str">
        <f>if('Point Intercept 1'!E208 = 'Point Intercept 2'!E208, 'Point Intercept 1'!E208, "ERROR")</f>
        <v>VB</v>
      </c>
      <c r="F208" s="9">
        <f>if('Point Intercept 1'!F208 = 'Point Intercept 2'!F208, 'Point Intercept 1'!F208, "ERROR")</f>
        <v>3</v>
      </c>
      <c r="G208" s="9" t="str">
        <f>if('Point Intercept 1'!G208 = 'Point Intercept 2'!G208, 'Point Intercept 1'!G208, "ERROR")</f>
        <v>LU</v>
      </c>
      <c r="H208" s="9">
        <f>if('Point Intercept 1'!I208 = 'Point Intercept 2'!I208, 'Point Intercept 1'!I208, "ERROR")</f>
        <v>3</v>
      </c>
      <c r="I208" s="9">
        <f>if('Point Intercept 1'!H208 = 'Point Intercept 2'!H208, 'Point Intercept 1'!H208, "ERROR")</f>
        <v>1</v>
      </c>
      <c r="J208" s="9">
        <f>if('Point Intercept 1'!J208 = 'Point Intercept 2'!J208, 'Point Intercept 1'!J208, "ERROR")</f>
        <v>1</v>
      </c>
      <c r="K208" s="9" t="str">
        <f>if('Point Intercept 1'!K208 = 'Point Intercept 2'!K208, 'Point Intercept 1'!K208, "ERROR")</f>
        <v>DAUPUS</v>
      </c>
      <c r="L208" s="9" t="str">
        <f>if('Point Intercept 1'!L208 = 'Point Intercept 2'!L208, 'Point Intercept 1'!L208, "ERROR")</f>
        <v>Daucus pusillus</v>
      </c>
      <c r="M208" s="9" t="str">
        <f>if('Point Intercept 1'!N208 = 'Point Intercept 2'!M208, 'Point Intercept 1'!N208, "ERROR")</f>
        <v/>
      </c>
      <c r="N208" s="9" t="str">
        <f>if('Point Intercept 1'!O208 = 'Point Intercept 2'!N208, 'Point Intercept 1'!O208, "ERROR")</f>
        <v/>
      </c>
      <c r="O208" s="9" t="str">
        <f>if('Point Intercept 1'!P208 = 'Point Intercept 2'!O208, 'Point Intercept 1'!P208, "ERROR")</f>
        <v/>
      </c>
    </row>
    <row r="209">
      <c r="A209" s="9">
        <f>if('Point Intercept 1'!A209 = 'Point Intercept 2'!A209, 'Point Intercept 1'!A209, "ERROR")</f>
        <v>3</v>
      </c>
      <c r="B209" s="9">
        <f>if('Point Intercept 1'!B209 = 'Point Intercept 2'!B209, 'Point Intercept 1'!B209, "ERROR")</f>
        <v>2025</v>
      </c>
      <c r="C209" s="14">
        <f>if('Point Intercept 1'!C209 = 'Point Intercept 2'!C209, 'Point Intercept 1'!C209, "ERROR")</f>
        <v>45755</v>
      </c>
      <c r="D209" s="9" t="str">
        <f>if('Point Intercept 1'!D209 = 'Point Intercept 2'!D209, 'Point Intercept 1'!D209, "ERROR")</f>
        <v>JC, TL</v>
      </c>
      <c r="E209" s="9" t="str">
        <f>if('Point Intercept 1'!E209 = 'Point Intercept 2'!E209, 'Point Intercept 1'!E209, "ERROR")</f>
        <v>VB</v>
      </c>
      <c r="F209" s="9">
        <f>if('Point Intercept 1'!F209 = 'Point Intercept 2'!F209, 'Point Intercept 1'!F209, "ERROR")</f>
        <v>3</v>
      </c>
      <c r="G209" s="9" t="str">
        <f>if('Point Intercept 1'!G209 = 'Point Intercept 2'!G209, 'Point Intercept 1'!G209, "ERROR")</f>
        <v>LU</v>
      </c>
      <c r="H209" s="9">
        <f>if('Point Intercept 1'!I209 = 'Point Intercept 2'!I209, 'Point Intercept 1'!I209, "ERROR")</f>
        <v>3</v>
      </c>
      <c r="I209" s="9">
        <f>if('Point Intercept 1'!H209 = 'Point Intercept 2'!H209, 'Point Intercept 1'!H209, "ERROR")</f>
        <v>1</v>
      </c>
      <c r="J209" s="9">
        <f>if('Point Intercept 1'!J209 = 'Point Intercept 2'!J209, 'Point Intercept 1'!J209, "ERROR")</f>
        <v>1</v>
      </c>
      <c r="K209" s="9" t="str">
        <f>if('Point Intercept 1'!K209 = 'Point Intercept 2'!K209, 'Point Intercept 1'!K209, "ERROR")</f>
        <v>DEIFAS</v>
      </c>
      <c r="L209" s="9" t="str">
        <f>if('Point Intercept 1'!L209 = 'Point Intercept 2'!L209, 'Point Intercept 1'!L209, "ERROR")</f>
        <v>Deinandra fasciculata</v>
      </c>
      <c r="M209" s="9" t="str">
        <f>if('Point Intercept 1'!N209 = 'Point Intercept 2'!M209, 'Point Intercept 1'!N209, "ERROR")</f>
        <v/>
      </c>
      <c r="N209" s="9" t="str">
        <f>if('Point Intercept 1'!O209 = 'Point Intercept 2'!N209, 'Point Intercept 1'!O209, "ERROR")</f>
        <v/>
      </c>
      <c r="O209" s="9" t="str">
        <f>if('Point Intercept 1'!P209 = 'Point Intercept 2'!O209, 'Point Intercept 1'!P209, "ERROR")</f>
        <v/>
      </c>
    </row>
    <row r="210">
      <c r="A210" s="9">
        <f>if('Point Intercept 1'!A210 = 'Point Intercept 2'!A210, 'Point Intercept 1'!A210, "ERROR")</f>
        <v>3</v>
      </c>
      <c r="B210" s="9">
        <f>if('Point Intercept 1'!B210 = 'Point Intercept 2'!B210, 'Point Intercept 1'!B210, "ERROR")</f>
        <v>2025</v>
      </c>
      <c r="C210" s="14">
        <f>if('Point Intercept 1'!C210 = 'Point Intercept 2'!C210, 'Point Intercept 1'!C210, "ERROR")</f>
        <v>45755</v>
      </c>
      <c r="D210" s="9" t="str">
        <f>if('Point Intercept 1'!D210 = 'Point Intercept 2'!D210, 'Point Intercept 1'!D210, "ERROR")</f>
        <v>JC, TL</v>
      </c>
      <c r="E210" s="9" t="str">
        <f>if('Point Intercept 1'!E210 = 'Point Intercept 2'!E210, 'Point Intercept 1'!E210, "ERROR")</f>
        <v>VB</v>
      </c>
      <c r="F210" s="9">
        <f>if('Point Intercept 1'!F210 = 'Point Intercept 2'!F210, 'Point Intercept 1'!F210, "ERROR")</f>
        <v>3</v>
      </c>
      <c r="G210" s="9" t="str">
        <f>if('Point Intercept 1'!G210 = 'Point Intercept 2'!G210, 'Point Intercept 1'!G210, "ERROR")</f>
        <v>LU</v>
      </c>
      <c r="H210" s="9">
        <f>if('Point Intercept 1'!I210 = 'Point Intercept 2'!I210, 'Point Intercept 1'!I210, "ERROR")</f>
        <v>3</v>
      </c>
      <c r="I210" s="9">
        <f>if('Point Intercept 1'!H210 = 'Point Intercept 2'!H210, 'Point Intercept 1'!H210, "ERROR")</f>
        <v>1</v>
      </c>
      <c r="J210" s="9">
        <f>if('Point Intercept 1'!J210 = 'Point Intercept 2'!J210, 'Point Intercept 1'!J210, "ERROR")</f>
        <v>1</v>
      </c>
      <c r="K210" s="9" t="str">
        <f>if('Point Intercept 1'!K210 = 'Point Intercept 2'!K210, 'Point Intercept 1'!K210, "ERROR")</f>
        <v>GRICAM</v>
      </c>
      <c r="L210" s="9" t="str">
        <f>if('Point Intercept 1'!L210 = 'Point Intercept 2'!L210, 'Point Intercept 1'!L210, "ERROR")</f>
        <v>Grindelia camporum</v>
      </c>
      <c r="M210" s="9" t="str">
        <f>if('Point Intercept 1'!N210 = 'Point Intercept 2'!M210, 'Point Intercept 1'!N210, "ERROR")</f>
        <v/>
      </c>
      <c r="N210" s="9" t="str">
        <f>if('Point Intercept 1'!O210 = 'Point Intercept 2'!N210, 'Point Intercept 1'!O210, "ERROR")</f>
        <v/>
      </c>
      <c r="O210" s="9" t="str">
        <f>if('Point Intercept 1'!P210 = 'Point Intercept 2'!O210, 'Point Intercept 1'!P210, "ERROR")</f>
        <v/>
      </c>
    </row>
    <row r="211">
      <c r="A211" s="9">
        <f>if('Point Intercept 1'!A211 = 'Point Intercept 2'!A211, 'Point Intercept 1'!A211, "ERROR")</f>
        <v>3</v>
      </c>
      <c r="B211" s="9">
        <f>if('Point Intercept 1'!B211 = 'Point Intercept 2'!B211, 'Point Intercept 1'!B211, "ERROR")</f>
        <v>2025</v>
      </c>
      <c r="C211" s="14">
        <f>if('Point Intercept 1'!C211 = 'Point Intercept 2'!C211, 'Point Intercept 1'!C211, "ERROR")</f>
        <v>45755</v>
      </c>
      <c r="D211" s="9" t="str">
        <f>if('Point Intercept 1'!D211 = 'Point Intercept 2'!D211, 'Point Intercept 1'!D211, "ERROR")</f>
        <v>JC, TL</v>
      </c>
      <c r="E211" s="9" t="str">
        <f>if('Point Intercept 1'!E211 = 'Point Intercept 2'!E211, 'Point Intercept 1'!E211, "ERROR")</f>
        <v>VB</v>
      </c>
      <c r="F211" s="9">
        <f>if('Point Intercept 1'!F211 = 'Point Intercept 2'!F211, 'Point Intercept 1'!F211, "ERROR")</f>
        <v>3</v>
      </c>
      <c r="G211" s="9" t="str">
        <f>if('Point Intercept 1'!G211 = 'Point Intercept 2'!G211, 'Point Intercept 1'!G211, "ERROR")</f>
        <v>LU</v>
      </c>
      <c r="H211" s="9">
        <f>if('Point Intercept 1'!I211 = 'Point Intercept 2'!I211, 'Point Intercept 1'!I211, "ERROR")</f>
        <v>4</v>
      </c>
      <c r="I211" s="9">
        <f>if('Point Intercept 1'!H211 = 'Point Intercept 2'!H211, 'Point Intercept 1'!H211, "ERROR")</f>
        <v>1</v>
      </c>
      <c r="J211" s="9">
        <f>if('Point Intercept 1'!J211 = 'Point Intercept 2'!J211, 'Point Intercept 1'!J211, "ERROR")</f>
        <v>1.5</v>
      </c>
      <c r="K211" s="9" t="str">
        <f>if('Point Intercept 1'!K211 = 'Point Intercept 2'!K211, 'Point Intercept 1'!K211, "ERROR")</f>
        <v>L</v>
      </c>
      <c r="L211" s="9" t="str">
        <f>if('Point Intercept 1'!L211 = 'Point Intercept 2'!L211, 'Point Intercept 1'!L211, "ERROR")</f>
        <v>Litter</v>
      </c>
      <c r="M211" s="9" t="str">
        <f>if('Point Intercept 1'!N211 = 'Point Intercept 2'!M211, 'Point Intercept 1'!N211, "ERROR")</f>
        <v/>
      </c>
      <c r="N211" s="9" t="str">
        <f>if('Point Intercept 1'!O211 = 'Point Intercept 2'!N211, 'Point Intercept 1'!O211, "ERROR")</f>
        <v/>
      </c>
      <c r="O211" s="9" t="str">
        <f>if('Point Intercept 1'!P211 = 'Point Intercept 2'!O211, 'Point Intercept 1'!P211, "ERROR")</f>
        <v/>
      </c>
    </row>
    <row r="212">
      <c r="A212" s="9">
        <f>if('Point Intercept 1'!A212 = 'Point Intercept 2'!A212, 'Point Intercept 1'!A212, "ERROR")</f>
        <v>3</v>
      </c>
      <c r="B212" s="9">
        <f>if('Point Intercept 1'!B212 = 'Point Intercept 2'!B212, 'Point Intercept 1'!B212, "ERROR")</f>
        <v>2025</v>
      </c>
      <c r="C212" s="14">
        <f>if('Point Intercept 1'!C212 = 'Point Intercept 2'!C212, 'Point Intercept 1'!C212, "ERROR")</f>
        <v>45755</v>
      </c>
      <c r="D212" s="9" t="str">
        <f>if('Point Intercept 1'!D212 = 'Point Intercept 2'!D212, 'Point Intercept 1'!D212, "ERROR")</f>
        <v>JC, TL</v>
      </c>
      <c r="E212" s="9" t="str">
        <f>if('Point Intercept 1'!E212 = 'Point Intercept 2'!E212, 'Point Intercept 1'!E212, "ERROR")</f>
        <v>VB</v>
      </c>
      <c r="F212" s="9">
        <f>if('Point Intercept 1'!F212 = 'Point Intercept 2'!F212, 'Point Intercept 1'!F212, "ERROR")</f>
        <v>3</v>
      </c>
      <c r="G212" s="9" t="str">
        <f>if('Point Intercept 1'!G212 = 'Point Intercept 2'!G212, 'Point Intercept 1'!G212, "ERROR")</f>
        <v>LU</v>
      </c>
      <c r="H212" s="9">
        <f>if('Point Intercept 1'!I212 = 'Point Intercept 2'!I212, 'Point Intercept 1'!I212, "ERROR")</f>
        <v>4</v>
      </c>
      <c r="I212" s="9">
        <f>if('Point Intercept 1'!H212 = 'Point Intercept 2'!H212, 'Point Intercept 1'!H212, "ERROR")</f>
        <v>1</v>
      </c>
      <c r="J212" s="9">
        <f>if('Point Intercept 1'!J212 = 'Point Intercept 2'!J212, 'Point Intercept 1'!J212, "ERROR")</f>
        <v>1.5</v>
      </c>
      <c r="K212" s="9" t="str">
        <f>if('Point Intercept 1'!K212 = 'Point Intercept 2'!K212, 'Point Intercept 1'!K212, "ERROR")</f>
        <v>EROCIC</v>
      </c>
      <c r="L212" s="9" t="str">
        <f>if('Point Intercept 1'!L212 = 'Point Intercept 2'!L212, 'Point Intercept 1'!L212, "ERROR")</f>
        <v>Erodium cicutarium</v>
      </c>
      <c r="M212" s="9" t="str">
        <f>if('Point Intercept 1'!N212 = 'Point Intercept 2'!M212, 'Point Intercept 1'!N212, "ERROR")</f>
        <v/>
      </c>
      <c r="N212" s="9" t="str">
        <f>if('Point Intercept 1'!O212 = 'Point Intercept 2'!N212, 'Point Intercept 1'!O212, "ERROR")</f>
        <v/>
      </c>
      <c r="O212" s="9" t="str">
        <f>if('Point Intercept 1'!P212 = 'Point Intercept 2'!O212, 'Point Intercept 1'!P212, "ERROR")</f>
        <v/>
      </c>
    </row>
    <row r="213">
      <c r="A213" s="9">
        <f>if('Point Intercept 1'!A213 = 'Point Intercept 2'!A213, 'Point Intercept 1'!A213, "ERROR")</f>
        <v>3</v>
      </c>
      <c r="B213" s="9">
        <f>if('Point Intercept 1'!B213 = 'Point Intercept 2'!B213, 'Point Intercept 1'!B213, "ERROR")</f>
        <v>2025</v>
      </c>
      <c r="C213" s="14">
        <f>if('Point Intercept 1'!C213 = 'Point Intercept 2'!C213, 'Point Intercept 1'!C213, "ERROR")</f>
        <v>45755</v>
      </c>
      <c r="D213" s="9" t="str">
        <f>if('Point Intercept 1'!D213 = 'Point Intercept 2'!D213, 'Point Intercept 1'!D213, "ERROR")</f>
        <v>JC, TL</v>
      </c>
      <c r="E213" s="9" t="str">
        <f>if('Point Intercept 1'!E213 = 'Point Intercept 2'!E213, 'Point Intercept 1'!E213, "ERROR")</f>
        <v>VB</v>
      </c>
      <c r="F213" s="9">
        <f>if('Point Intercept 1'!F213 = 'Point Intercept 2'!F213, 'Point Intercept 1'!F213, "ERROR")</f>
        <v>3</v>
      </c>
      <c r="G213" s="9" t="str">
        <f>if('Point Intercept 1'!G213 = 'Point Intercept 2'!G213, 'Point Intercept 1'!G213, "ERROR")</f>
        <v>LU</v>
      </c>
      <c r="H213" s="9">
        <f>if('Point Intercept 1'!I213 = 'Point Intercept 2'!I213, 'Point Intercept 1'!I213, "ERROR")</f>
        <v>4</v>
      </c>
      <c r="I213" s="9">
        <f>if('Point Intercept 1'!H213 = 'Point Intercept 2'!H213, 'Point Intercept 1'!H213, "ERROR")</f>
        <v>1</v>
      </c>
      <c r="J213" s="9">
        <f>if('Point Intercept 1'!J213 = 'Point Intercept 2'!J213, 'Point Intercept 1'!J213, "ERROR")</f>
        <v>1.5</v>
      </c>
      <c r="K213" s="9" t="str">
        <f>if('Point Intercept 1'!K213 = 'Point Intercept 2'!K213, 'Point Intercept 1'!K213, "ERROR")</f>
        <v>FESMYU</v>
      </c>
      <c r="L213" s="9" t="str">
        <f>if('Point Intercept 1'!L213 = 'Point Intercept 2'!L213, 'Point Intercept 1'!L213, "ERROR")</f>
        <v>Festuca myuros</v>
      </c>
      <c r="M213" s="9" t="str">
        <f>if('Point Intercept 1'!N213 = 'Point Intercept 2'!M213, 'Point Intercept 1'!N213, "ERROR")</f>
        <v/>
      </c>
      <c r="N213" s="9" t="str">
        <f>if('Point Intercept 1'!O213 = 'Point Intercept 2'!N213, 'Point Intercept 1'!O213, "ERROR")</f>
        <v/>
      </c>
      <c r="O213" s="9" t="str">
        <f>if('Point Intercept 1'!P213 = 'Point Intercept 2'!O213, 'Point Intercept 1'!P213, "ERROR")</f>
        <v/>
      </c>
    </row>
    <row r="214">
      <c r="A214" s="9">
        <f>if('Point Intercept 1'!A214 = 'Point Intercept 2'!A214, 'Point Intercept 1'!A214, "ERROR")</f>
        <v>3</v>
      </c>
      <c r="B214" s="9">
        <f>if('Point Intercept 1'!B214 = 'Point Intercept 2'!B214, 'Point Intercept 1'!B214, "ERROR")</f>
        <v>2025</v>
      </c>
      <c r="C214" s="14">
        <f>if('Point Intercept 1'!C214 = 'Point Intercept 2'!C214, 'Point Intercept 1'!C214, "ERROR")</f>
        <v>45755</v>
      </c>
      <c r="D214" s="9" t="str">
        <f>if('Point Intercept 1'!D214 = 'Point Intercept 2'!D214, 'Point Intercept 1'!D214, "ERROR")</f>
        <v>JC, TL</v>
      </c>
      <c r="E214" s="9" t="str">
        <f>if('Point Intercept 1'!E214 = 'Point Intercept 2'!E214, 'Point Intercept 1'!E214, "ERROR")</f>
        <v>VB</v>
      </c>
      <c r="F214" s="9">
        <f>if('Point Intercept 1'!F214 = 'Point Intercept 2'!F214, 'Point Intercept 1'!F214, "ERROR")</f>
        <v>3</v>
      </c>
      <c r="G214" s="9" t="str">
        <f>if('Point Intercept 1'!G214 = 'Point Intercept 2'!G214, 'Point Intercept 1'!G214, "ERROR")</f>
        <v>LU</v>
      </c>
      <c r="H214" s="9">
        <f>if('Point Intercept 1'!I214 = 'Point Intercept 2'!I214, 'Point Intercept 1'!I214, "ERROR")</f>
        <v>5</v>
      </c>
      <c r="I214" s="9">
        <f>if('Point Intercept 1'!H214 = 'Point Intercept 2'!H214, 'Point Intercept 1'!H214, "ERROR")</f>
        <v>1</v>
      </c>
      <c r="J214" s="9">
        <f>if('Point Intercept 1'!J214 = 'Point Intercept 2'!J214, 'Point Intercept 1'!J214, "ERROR")</f>
        <v>2</v>
      </c>
      <c r="K214" s="9" t="str">
        <f>if('Point Intercept 1'!K214 = 'Point Intercept 2'!K214, 'Point Intercept 1'!K214, "ERROR")</f>
        <v>L</v>
      </c>
      <c r="L214" s="9" t="str">
        <f>if('Point Intercept 1'!L214 = 'Point Intercept 2'!L214, 'Point Intercept 1'!L214, "ERROR")</f>
        <v>Litter</v>
      </c>
      <c r="M214" s="9" t="str">
        <f>if('Point Intercept 1'!N214 = 'Point Intercept 2'!M214, 'Point Intercept 1'!N214, "ERROR")</f>
        <v/>
      </c>
      <c r="N214" s="9" t="str">
        <f>if('Point Intercept 1'!O214 = 'Point Intercept 2'!N214, 'Point Intercept 1'!O214, "ERROR")</f>
        <v/>
      </c>
      <c r="O214" s="9" t="str">
        <f>if('Point Intercept 1'!P214 = 'Point Intercept 2'!O214, 'Point Intercept 1'!P214, "ERROR")</f>
        <v/>
      </c>
    </row>
    <row r="215">
      <c r="A215" s="9">
        <f>if('Point Intercept 1'!A215 = 'Point Intercept 2'!A215, 'Point Intercept 1'!A215, "ERROR")</f>
        <v>3</v>
      </c>
      <c r="B215" s="9">
        <f>if('Point Intercept 1'!B215 = 'Point Intercept 2'!B215, 'Point Intercept 1'!B215, "ERROR")</f>
        <v>2025</v>
      </c>
      <c r="C215" s="14">
        <f>if('Point Intercept 1'!C215 = 'Point Intercept 2'!C215, 'Point Intercept 1'!C215, "ERROR")</f>
        <v>45755</v>
      </c>
      <c r="D215" s="9" t="str">
        <f>if('Point Intercept 1'!D215 = 'Point Intercept 2'!D215, 'Point Intercept 1'!D215, "ERROR")</f>
        <v>JC, TL</v>
      </c>
      <c r="E215" s="9" t="str">
        <f>if('Point Intercept 1'!E215 = 'Point Intercept 2'!E215, 'Point Intercept 1'!E215, "ERROR")</f>
        <v>VB</v>
      </c>
      <c r="F215" s="9">
        <f>if('Point Intercept 1'!F215 = 'Point Intercept 2'!F215, 'Point Intercept 1'!F215, "ERROR")</f>
        <v>3</v>
      </c>
      <c r="G215" s="9" t="str">
        <f>if('Point Intercept 1'!G215 = 'Point Intercept 2'!G215, 'Point Intercept 1'!G215, "ERROR")</f>
        <v>LU</v>
      </c>
      <c r="H215" s="9">
        <f>if('Point Intercept 1'!I215 = 'Point Intercept 2'!I215, 'Point Intercept 1'!I215, "ERROR")</f>
        <v>5</v>
      </c>
      <c r="I215" s="9">
        <f>if('Point Intercept 1'!H215 = 'Point Intercept 2'!H215, 'Point Intercept 1'!H215, "ERROR")</f>
        <v>1</v>
      </c>
      <c r="J215" s="9">
        <f>if('Point Intercept 1'!J215 = 'Point Intercept 2'!J215, 'Point Intercept 1'!J215, "ERROR")</f>
        <v>2</v>
      </c>
      <c r="K215" s="9" t="str">
        <f>if('Point Intercept 1'!K215 = 'Point Intercept 2'!K215, 'Point Intercept 1'!K215, "ERROR")</f>
        <v>SONOLE</v>
      </c>
      <c r="L215" s="9" t="str">
        <f>if('Point Intercept 1'!L215 = 'Point Intercept 2'!L215, 'Point Intercept 1'!L215, "ERROR")</f>
        <v>Sonchus oleraceus</v>
      </c>
      <c r="M215" s="9" t="str">
        <f>if('Point Intercept 1'!N215 = 'Point Intercept 2'!M215, 'Point Intercept 1'!N215, "ERROR")</f>
        <v/>
      </c>
      <c r="N215" s="9" t="str">
        <f>if('Point Intercept 1'!O215 = 'Point Intercept 2'!N215, 'Point Intercept 1'!O215, "ERROR")</f>
        <v/>
      </c>
      <c r="O215" s="9" t="str">
        <f>if('Point Intercept 1'!P215 = 'Point Intercept 2'!O215, 'Point Intercept 1'!P215, "ERROR")</f>
        <v/>
      </c>
    </row>
    <row r="216">
      <c r="A216" s="9">
        <f>if('Point Intercept 1'!A216 = 'Point Intercept 2'!A216, 'Point Intercept 1'!A216, "ERROR")</f>
        <v>3</v>
      </c>
      <c r="B216" s="9">
        <f>if('Point Intercept 1'!B216 = 'Point Intercept 2'!B216, 'Point Intercept 1'!B216, "ERROR")</f>
        <v>2025</v>
      </c>
      <c r="C216" s="14">
        <f>if('Point Intercept 1'!C216 = 'Point Intercept 2'!C216, 'Point Intercept 1'!C216, "ERROR")</f>
        <v>45755</v>
      </c>
      <c r="D216" s="9" t="str">
        <f>if('Point Intercept 1'!D216 = 'Point Intercept 2'!D216, 'Point Intercept 1'!D216, "ERROR")</f>
        <v>JC, TL</v>
      </c>
      <c r="E216" s="9" t="str">
        <f>if('Point Intercept 1'!E216 = 'Point Intercept 2'!E216, 'Point Intercept 1'!E216, "ERROR")</f>
        <v>VB</v>
      </c>
      <c r="F216" s="9">
        <f>if('Point Intercept 1'!F216 = 'Point Intercept 2'!F216, 'Point Intercept 1'!F216, "ERROR")</f>
        <v>3</v>
      </c>
      <c r="G216" s="9" t="str">
        <f>if('Point Intercept 1'!G216 = 'Point Intercept 2'!G216, 'Point Intercept 1'!G216, "ERROR")</f>
        <v>LU</v>
      </c>
      <c r="H216" s="9">
        <f>if('Point Intercept 1'!I216 = 'Point Intercept 2'!I216, 'Point Intercept 1'!I216, "ERROR")</f>
        <v>5</v>
      </c>
      <c r="I216" s="9">
        <f>if('Point Intercept 1'!H216 = 'Point Intercept 2'!H216, 'Point Intercept 1'!H216, "ERROR")</f>
        <v>1</v>
      </c>
      <c r="J216" s="9">
        <f>if('Point Intercept 1'!J216 = 'Point Intercept 2'!J216, 'Point Intercept 1'!J216, "ERROR")</f>
        <v>2</v>
      </c>
      <c r="K216" s="9" t="str">
        <f>if('Point Intercept 1'!K216 = 'Point Intercept 2'!K216, 'Point Intercept 1'!K216, "ERROR")</f>
        <v>MEDPOL</v>
      </c>
      <c r="L216" s="9" t="str">
        <f>if('Point Intercept 1'!L216 = 'Point Intercept 2'!L216, 'Point Intercept 1'!L216, "ERROR")</f>
        <v>Medicago polymorpha</v>
      </c>
      <c r="M216" s="9" t="str">
        <f>if('Point Intercept 1'!N216 = 'Point Intercept 2'!M216, 'Point Intercept 1'!N216, "ERROR")</f>
        <v/>
      </c>
      <c r="N216" s="9" t="str">
        <f>if('Point Intercept 1'!O216 = 'Point Intercept 2'!N216, 'Point Intercept 1'!O216, "ERROR")</f>
        <v/>
      </c>
      <c r="O216" s="9" t="str">
        <f>if('Point Intercept 1'!P216 = 'Point Intercept 2'!O216, 'Point Intercept 1'!P216, "ERROR")</f>
        <v/>
      </c>
    </row>
    <row r="217">
      <c r="A217" s="9">
        <f>if('Point Intercept 1'!A217 = 'Point Intercept 2'!A217, 'Point Intercept 1'!A217, "ERROR")</f>
        <v>3</v>
      </c>
      <c r="B217" s="9">
        <f>if('Point Intercept 1'!B217 = 'Point Intercept 2'!B217, 'Point Intercept 1'!B217, "ERROR")</f>
        <v>2025</v>
      </c>
      <c r="C217" s="14">
        <f>if('Point Intercept 1'!C217 = 'Point Intercept 2'!C217, 'Point Intercept 1'!C217, "ERROR")</f>
        <v>45755</v>
      </c>
      <c r="D217" s="9" t="str">
        <f>if('Point Intercept 1'!D217 = 'Point Intercept 2'!D217, 'Point Intercept 1'!D217, "ERROR")</f>
        <v>JC, TL</v>
      </c>
      <c r="E217" s="9" t="str">
        <f>if('Point Intercept 1'!E217 = 'Point Intercept 2'!E217, 'Point Intercept 1'!E217, "ERROR")</f>
        <v>VB</v>
      </c>
      <c r="F217" s="9">
        <f>if('Point Intercept 1'!F217 = 'Point Intercept 2'!F217, 'Point Intercept 1'!F217, "ERROR")</f>
        <v>3</v>
      </c>
      <c r="G217" s="9" t="str">
        <f>if('Point Intercept 1'!G217 = 'Point Intercept 2'!G217, 'Point Intercept 1'!G217, "ERROR")</f>
        <v>LU</v>
      </c>
      <c r="H217" s="9">
        <f>if('Point Intercept 1'!I217 = 'Point Intercept 2'!I217, 'Point Intercept 1'!I217, "ERROR")</f>
        <v>5</v>
      </c>
      <c r="I217" s="9">
        <f>if('Point Intercept 1'!H217 = 'Point Intercept 2'!H217, 'Point Intercept 1'!H217, "ERROR")</f>
        <v>1</v>
      </c>
      <c r="J217" s="9">
        <f>if('Point Intercept 1'!J217 = 'Point Intercept 2'!J217, 'Point Intercept 1'!J217, "ERROR")</f>
        <v>2</v>
      </c>
      <c r="K217" s="9" t="str">
        <f>if('Point Intercept 1'!K217 = 'Point Intercept 2'!K217, 'Point Intercept 1'!K217, "ERROR")</f>
        <v>DAUPUS</v>
      </c>
      <c r="L217" s="9" t="str">
        <f>if('Point Intercept 1'!L217 = 'Point Intercept 2'!L217, 'Point Intercept 1'!L217, "ERROR")</f>
        <v>Daucus pusillus</v>
      </c>
      <c r="M217" s="9" t="str">
        <f>if('Point Intercept 1'!N217 = 'Point Intercept 2'!M217, 'Point Intercept 1'!N217, "ERROR")</f>
        <v/>
      </c>
      <c r="N217" s="9" t="str">
        <f>if('Point Intercept 1'!O217 = 'Point Intercept 2'!N217, 'Point Intercept 1'!O217, "ERROR")</f>
        <v/>
      </c>
      <c r="O217" s="9" t="str">
        <f>if('Point Intercept 1'!P217 = 'Point Intercept 2'!O217, 'Point Intercept 1'!P217, "ERROR")</f>
        <v/>
      </c>
    </row>
    <row r="218">
      <c r="A218" s="9">
        <f>if('Point Intercept 1'!A218 = 'Point Intercept 2'!A218, 'Point Intercept 1'!A218, "ERROR")</f>
        <v>3</v>
      </c>
      <c r="B218" s="9">
        <f>if('Point Intercept 1'!B218 = 'Point Intercept 2'!B218, 'Point Intercept 1'!B218, "ERROR")</f>
        <v>2025</v>
      </c>
      <c r="C218" s="14">
        <f>if('Point Intercept 1'!C218 = 'Point Intercept 2'!C218, 'Point Intercept 1'!C218, "ERROR")</f>
        <v>45755</v>
      </c>
      <c r="D218" s="9" t="str">
        <f>if('Point Intercept 1'!D218 = 'Point Intercept 2'!D218, 'Point Intercept 1'!D218, "ERROR")</f>
        <v>JC, TL</v>
      </c>
      <c r="E218" s="9" t="str">
        <f>if('Point Intercept 1'!E218 = 'Point Intercept 2'!E218, 'Point Intercept 1'!E218, "ERROR")</f>
        <v>VB</v>
      </c>
      <c r="F218" s="9">
        <f>if('Point Intercept 1'!F218 = 'Point Intercept 2'!F218, 'Point Intercept 1'!F218, "ERROR")</f>
        <v>3</v>
      </c>
      <c r="G218" s="9" t="str">
        <f>if('Point Intercept 1'!G218 = 'Point Intercept 2'!G218, 'Point Intercept 1'!G218, "ERROR")</f>
        <v>LU</v>
      </c>
      <c r="H218" s="9">
        <f>if('Point Intercept 1'!I218 = 'Point Intercept 2'!I218, 'Point Intercept 1'!I218, "ERROR")</f>
        <v>6</v>
      </c>
      <c r="I218" s="9">
        <f>if('Point Intercept 1'!H218 = 'Point Intercept 2'!H218, 'Point Intercept 1'!H218, "ERROR")</f>
        <v>1</v>
      </c>
      <c r="J218" s="9">
        <f>if('Point Intercept 1'!J218 = 'Point Intercept 2'!J218, 'Point Intercept 1'!J218, "ERROR")</f>
        <v>2.5</v>
      </c>
      <c r="K218" s="9" t="str">
        <f>if('Point Intercept 1'!K218 = 'Point Intercept 2'!K218, 'Point Intercept 1'!K218, "ERROR")</f>
        <v>B</v>
      </c>
      <c r="L218" s="9" t="str">
        <f>if('Point Intercept 1'!L218 = 'Point Intercept 2'!L218, 'Point Intercept 1'!L218, "ERROR")</f>
        <v>Bareground</v>
      </c>
      <c r="M218" s="9" t="str">
        <f>if('Point Intercept 1'!N218 = 'Point Intercept 2'!M218, 'Point Intercept 1'!N218, "ERROR")</f>
        <v/>
      </c>
      <c r="N218" s="9" t="str">
        <f>if('Point Intercept 1'!O218 = 'Point Intercept 2'!N218, 'Point Intercept 1'!O218, "ERROR")</f>
        <v/>
      </c>
      <c r="O218" s="9" t="str">
        <f>if('Point Intercept 1'!P218 = 'Point Intercept 2'!O218, 'Point Intercept 1'!P218, "ERROR")</f>
        <v/>
      </c>
    </row>
    <row r="219">
      <c r="A219" s="9">
        <f>if('Point Intercept 1'!A219 = 'Point Intercept 2'!A219, 'Point Intercept 1'!A219, "ERROR")</f>
        <v>3</v>
      </c>
      <c r="B219" s="9">
        <f>if('Point Intercept 1'!B219 = 'Point Intercept 2'!B219, 'Point Intercept 1'!B219, "ERROR")</f>
        <v>2025</v>
      </c>
      <c r="C219" s="14">
        <f>if('Point Intercept 1'!C219 = 'Point Intercept 2'!C219, 'Point Intercept 1'!C219, "ERROR")</f>
        <v>45755</v>
      </c>
      <c r="D219" s="9" t="str">
        <f>if('Point Intercept 1'!D219 = 'Point Intercept 2'!D219, 'Point Intercept 1'!D219, "ERROR")</f>
        <v>JC, TL</v>
      </c>
      <c r="E219" s="9" t="str">
        <f>if('Point Intercept 1'!E219 = 'Point Intercept 2'!E219, 'Point Intercept 1'!E219, "ERROR")</f>
        <v>VB</v>
      </c>
      <c r="F219" s="9">
        <f>if('Point Intercept 1'!F219 = 'Point Intercept 2'!F219, 'Point Intercept 1'!F219, "ERROR")</f>
        <v>3</v>
      </c>
      <c r="G219" s="9" t="str">
        <f>if('Point Intercept 1'!G219 = 'Point Intercept 2'!G219, 'Point Intercept 1'!G219, "ERROR")</f>
        <v>LU</v>
      </c>
      <c r="H219" s="9">
        <f>if('Point Intercept 1'!I219 = 'Point Intercept 2'!I219, 'Point Intercept 1'!I219, "ERROR")</f>
        <v>6</v>
      </c>
      <c r="I219" s="9">
        <f>if('Point Intercept 1'!H219 = 'Point Intercept 2'!H219, 'Point Intercept 1'!H219, "ERROR")</f>
        <v>1</v>
      </c>
      <c r="J219" s="9">
        <f>if('Point Intercept 1'!J219 = 'Point Intercept 2'!J219, 'Point Intercept 1'!J219, "ERROR")</f>
        <v>2.5</v>
      </c>
      <c r="K219" s="9" t="str">
        <f>if('Point Intercept 1'!K219 = 'Point Intercept 2'!K219, 'Point Intercept 1'!K219, "ERROR")</f>
        <v>OPULIT</v>
      </c>
      <c r="L219" s="9" t="str">
        <f>if('Point Intercept 1'!L219 = 'Point Intercept 2'!L219, 'Point Intercept 1'!L219, "ERROR")</f>
        <v>Opuntia littoralis</v>
      </c>
      <c r="M219" s="9" t="str">
        <f>if('Point Intercept 1'!N219 = 'Point Intercept 2'!M219, 'Point Intercept 1'!N219, "ERROR")</f>
        <v/>
      </c>
      <c r="N219" s="9" t="str">
        <f>if('Point Intercept 1'!O219 = 'Point Intercept 2'!N219, 'Point Intercept 1'!O219, "ERROR")</f>
        <v/>
      </c>
      <c r="O219" s="9" t="str">
        <f>if('Point Intercept 1'!P219 = 'Point Intercept 2'!O219, 'Point Intercept 1'!P219, "ERROR")</f>
        <v/>
      </c>
    </row>
    <row r="220">
      <c r="A220" s="9">
        <f>if('Point Intercept 1'!A220 = 'Point Intercept 2'!A220, 'Point Intercept 1'!A220, "ERROR")</f>
        <v>3</v>
      </c>
      <c r="B220" s="9">
        <f>if('Point Intercept 1'!B220 = 'Point Intercept 2'!B220, 'Point Intercept 1'!B220, "ERROR")</f>
        <v>2025</v>
      </c>
      <c r="C220" s="14">
        <f>if('Point Intercept 1'!C220 = 'Point Intercept 2'!C220, 'Point Intercept 1'!C220, "ERROR")</f>
        <v>45755</v>
      </c>
      <c r="D220" s="9" t="str">
        <f>if('Point Intercept 1'!D220 = 'Point Intercept 2'!D220, 'Point Intercept 1'!D220, "ERROR")</f>
        <v>JC, TL</v>
      </c>
      <c r="E220" s="9" t="str">
        <f>if('Point Intercept 1'!E220 = 'Point Intercept 2'!E220, 'Point Intercept 1'!E220, "ERROR")</f>
        <v>VB</v>
      </c>
      <c r="F220" s="9">
        <f>if('Point Intercept 1'!F220 = 'Point Intercept 2'!F220, 'Point Intercept 1'!F220, "ERROR")</f>
        <v>3</v>
      </c>
      <c r="G220" s="9" t="str">
        <f>if('Point Intercept 1'!G220 = 'Point Intercept 2'!G220, 'Point Intercept 1'!G220, "ERROR")</f>
        <v>LU</v>
      </c>
      <c r="H220" s="9">
        <f>if('Point Intercept 1'!I220 = 'Point Intercept 2'!I220, 'Point Intercept 1'!I220, "ERROR")</f>
        <v>6</v>
      </c>
      <c r="I220" s="9">
        <f>if('Point Intercept 1'!H220 = 'Point Intercept 2'!H220, 'Point Intercept 1'!H220, "ERROR")</f>
        <v>1</v>
      </c>
      <c r="J220" s="9">
        <f>if('Point Intercept 1'!J220 = 'Point Intercept 2'!J220, 'Point Intercept 1'!J220, "ERROR")</f>
        <v>2.5</v>
      </c>
      <c r="K220" s="9" t="str">
        <f>if('Point Intercept 1'!K220 = 'Point Intercept 2'!K220, 'Point Intercept 1'!K220, "ERROR")</f>
        <v>DAUPUS</v>
      </c>
      <c r="L220" s="9" t="str">
        <f>if('Point Intercept 1'!L220 = 'Point Intercept 2'!L220, 'Point Intercept 1'!L220, "ERROR")</f>
        <v>Daucus pusillus</v>
      </c>
      <c r="M220" s="9" t="str">
        <f>if('Point Intercept 1'!N220 = 'Point Intercept 2'!M220, 'Point Intercept 1'!N220, "ERROR")</f>
        <v/>
      </c>
      <c r="N220" s="9" t="str">
        <f>if('Point Intercept 1'!O220 = 'Point Intercept 2'!N220, 'Point Intercept 1'!O220, "ERROR")</f>
        <v/>
      </c>
      <c r="O220" s="9" t="str">
        <f>if('Point Intercept 1'!P220 = 'Point Intercept 2'!O220, 'Point Intercept 1'!P220, "ERROR")</f>
        <v/>
      </c>
    </row>
    <row r="221">
      <c r="A221" s="9">
        <f>if('Point Intercept 1'!A221 = 'Point Intercept 2'!A221, 'Point Intercept 1'!A221, "ERROR")</f>
        <v>3</v>
      </c>
      <c r="B221" s="9">
        <f>if('Point Intercept 1'!B221 = 'Point Intercept 2'!B221, 'Point Intercept 1'!B221, "ERROR")</f>
        <v>2025</v>
      </c>
      <c r="C221" s="14">
        <f>if('Point Intercept 1'!C221 = 'Point Intercept 2'!C221, 'Point Intercept 1'!C221, "ERROR")</f>
        <v>45755</v>
      </c>
      <c r="D221" s="9" t="str">
        <f>if('Point Intercept 1'!D221 = 'Point Intercept 2'!D221, 'Point Intercept 1'!D221, "ERROR")</f>
        <v>JC, TL</v>
      </c>
      <c r="E221" s="9" t="str">
        <f>if('Point Intercept 1'!E221 = 'Point Intercept 2'!E221, 'Point Intercept 1'!E221, "ERROR")</f>
        <v>VB</v>
      </c>
      <c r="F221" s="9">
        <f>if('Point Intercept 1'!F221 = 'Point Intercept 2'!F221, 'Point Intercept 1'!F221, "ERROR")</f>
        <v>3</v>
      </c>
      <c r="G221" s="9" t="str">
        <f>if('Point Intercept 1'!G221 = 'Point Intercept 2'!G221, 'Point Intercept 1'!G221, "ERROR")</f>
        <v>LU</v>
      </c>
      <c r="H221" s="9">
        <f>if('Point Intercept 1'!I221 = 'Point Intercept 2'!I221, 'Point Intercept 1'!I221, "ERROR")</f>
        <v>6</v>
      </c>
      <c r="I221" s="9">
        <f>if('Point Intercept 1'!H221 = 'Point Intercept 2'!H221, 'Point Intercept 1'!H221, "ERROR")</f>
        <v>1</v>
      </c>
      <c r="J221" s="9">
        <f>if('Point Intercept 1'!J221 = 'Point Intercept 2'!J221, 'Point Intercept 1'!J221, "ERROR")</f>
        <v>2.5</v>
      </c>
      <c r="K221" s="9" t="str">
        <f>if('Point Intercept 1'!K221 = 'Point Intercept 2'!K221, 'Point Intercept 1'!K221, "ERROR")</f>
        <v>FESMYU</v>
      </c>
      <c r="L221" s="9" t="str">
        <f>if('Point Intercept 1'!L221 = 'Point Intercept 2'!L221, 'Point Intercept 1'!L221, "ERROR")</f>
        <v>Festuca myuros</v>
      </c>
      <c r="M221" s="9" t="str">
        <f>if('Point Intercept 1'!N221 = 'Point Intercept 2'!M221, 'Point Intercept 1'!N221, "ERROR")</f>
        <v/>
      </c>
      <c r="N221" s="9" t="str">
        <f>if('Point Intercept 1'!O221 = 'Point Intercept 2'!N221, 'Point Intercept 1'!O221, "ERROR")</f>
        <v/>
      </c>
      <c r="O221" s="9" t="str">
        <f>if('Point Intercept 1'!P221 = 'Point Intercept 2'!O221, 'Point Intercept 1'!P221, "ERROR")</f>
        <v/>
      </c>
    </row>
    <row r="222">
      <c r="A222" s="9">
        <f>if('Point Intercept 1'!A222 = 'Point Intercept 2'!A222, 'Point Intercept 1'!A222, "ERROR")</f>
        <v>3</v>
      </c>
      <c r="B222" s="9">
        <f>if('Point Intercept 1'!B222 = 'Point Intercept 2'!B222, 'Point Intercept 1'!B222, "ERROR")</f>
        <v>2025</v>
      </c>
      <c r="C222" s="14">
        <f>if('Point Intercept 1'!C222 = 'Point Intercept 2'!C222, 'Point Intercept 1'!C222, "ERROR")</f>
        <v>45755</v>
      </c>
      <c r="D222" s="9" t="str">
        <f>if('Point Intercept 1'!D222 = 'Point Intercept 2'!D222, 'Point Intercept 1'!D222, "ERROR")</f>
        <v>JC, TL</v>
      </c>
      <c r="E222" s="9" t="str">
        <f>if('Point Intercept 1'!E222 = 'Point Intercept 2'!E222, 'Point Intercept 1'!E222, "ERROR")</f>
        <v>VB</v>
      </c>
      <c r="F222" s="9">
        <f>if('Point Intercept 1'!F222 = 'Point Intercept 2'!F222, 'Point Intercept 1'!F222, "ERROR")</f>
        <v>3</v>
      </c>
      <c r="G222" s="9" t="str">
        <f>if('Point Intercept 1'!G222 = 'Point Intercept 2'!G222, 'Point Intercept 1'!G222, "ERROR")</f>
        <v>LU</v>
      </c>
      <c r="H222" s="9">
        <f>if('Point Intercept 1'!I222 = 'Point Intercept 2'!I222, 'Point Intercept 1'!I222, "ERROR")</f>
        <v>6</v>
      </c>
      <c r="I222" s="9">
        <f>if('Point Intercept 1'!H222 = 'Point Intercept 2'!H222, 'Point Intercept 1'!H222, "ERROR")</f>
        <v>1</v>
      </c>
      <c r="J222" s="9">
        <f>if('Point Intercept 1'!J222 = 'Point Intercept 2'!J222, 'Point Intercept 1'!J222, "ERROR")</f>
        <v>2.5</v>
      </c>
      <c r="K222" s="9" t="str">
        <f>if('Point Intercept 1'!K222 = 'Point Intercept 2'!K222, 'Point Intercept 1'!K222, "ERROR")</f>
        <v>SONOLE</v>
      </c>
      <c r="L222" s="9" t="str">
        <f>if('Point Intercept 1'!L222 = 'Point Intercept 2'!L222, 'Point Intercept 1'!L222, "ERROR")</f>
        <v>Sonchus oleraceus</v>
      </c>
      <c r="M222" s="9" t="str">
        <f>if('Point Intercept 1'!N222 = 'Point Intercept 2'!M222, 'Point Intercept 1'!N222, "ERROR")</f>
        <v/>
      </c>
      <c r="N222" s="9" t="str">
        <f>if('Point Intercept 1'!O222 = 'Point Intercept 2'!N222, 'Point Intercept 1'!O222, "ERROR")</f>
        <v/>
      </c>
      <c r="O222" s="9" t="str">
        <f>if('Point Intercept 1'!P222 = 'Point Intercept 2'!O222, 'Point Intercept 1'!P222, "ERROR")</f>
        <v/>
      </c>
    </row>
    <row r="223">
      <c r="A223" s="9">
        <f>if('Point Intercept 1'!A223 = 'Point Intercept 2'!A223, 'Point Intercept 1'!A223, "ERROR")</f>
        <v>3</v>
      </c>
      <c r="B223" s="9">
        <f>if('Point Intercept 1'!B223 = 'Point Intercept 2'!B223, 'Point Intercept 1'!B223, "ERROR")</f>
        <v>2025</v>
      </c>
      <c r="C223" s="14">
        <f>if('Point Intercept 1'!C223 = 'Point Intercept 2'!C223, 'Point Intercept 1'!C223, "ERROR")</f>
        <v>45755</v>
      </c>
      <c r="D223" s="9" t="str">
        <f>if('Point Intercept 1'!D223 = 'Point Intercept 2'!D223, 'Point Intercept 1'!D223, "ERROR")</f>
        <v>JC, TL</v>
      </c>
      <c r="E223" s="9" t="str">
        <f>if('Point Intercept 1'!E223 = 'Point Intercept 2'!E223, 'Point Intercept 1'!E223, "ERROR")</f>
        <v>VB</v>
      </c>
      <c r="F223" s="9">
        <f>if('Point Intercept 1'!F223 = 'Point Intercept 2'!F223, 'Point Intercept 1'!F223, "ERROR")</f>
        <v>3</v>
      </c>
      <c r="G223" s="9" t="str">
        <f>if('Point Intercept 1'!G223 = 'Point Intercept 2'!G223, 'Point Intercept 1'!G223, "ERROR")</f>
        <v>LU</v>
      </c>
      <c r="H223" s="9">
        <f>if('Point Intercept 1'!I223 = 'Point Intercept 2'!I223, 'Point Intercept 1'!I223, "ERROR")</f>
        <v>7</v>
      </c>
      <c r="I223" s="9">
        <f>if('Point Intercept 1'!H223 = 'Point Intercept 2'!H223, 'Point Intercept 1'!H223, "ERROR")</f>
        <v>1</v>
      </c>
      <c r="J223" s="9">
        <f>if('Point Intercept 1'!J223 = 'Point Intercept 2'!J223, 'Point Intercept 1'!J223, "ERROR")</f>
        <v>3</v>
      </c>
      <c r="K223" s="9" t="str">
        <f>if('Point Intercept 1'!K223 = 'Point Intercept 2'!K223, 'Point Intercept 1'!K223, "ERROR")</f>
        <v>B</v>
      </c>
      <c r="L223" s="9" t="str">
        <f>if('Point Intercept 1'!L223 = 'Point Intercept 2'!L223, 'Point Intercept 1'!L223, "ERROR")</f>
        <v>Bareground</v>
      </c>
      <c r="M223" s="9" t="str">
        <f>if('Point Intercept 1'!N223 = 'Point Intercept 2'!M223, 'Point Intercept 1'!N223, "ERROR")</f>
        <v/>
      </c>
      <c r="N223" s="9" t="str">
        <f>if('Point Intercept 1'!O223 = 'Point Intercept 2'!N223, 'Point Intercept 1'!O223, "ERROR")</f>
        <v/>
      </c>
      <c r="O223" s="9" t="str">
        <f>if('Point Intercept 1'!P223 = 'Point Intercept 2'!O223, 'Point Intercept 1'!P223, "ERROR")</f>
        <v/>
      </c>
    </row>
    <row r="224">
      <c r="A224" s="9">
        <f>if('Point Intercept 1'!A224 = 'Point Intercept 2'!A224, 'Point Intercept 1'!A224, "ERROR")</f>
        <v>3</v>
      </c>
      <c r="B224" s="9">
        <f>if('Point Intercept 1'!B224 = 'Point Intercept 2'!B224, 'Point Intercept 1'!B224, "ERROR")</f>
        <v>2025</v>
      </c>
      <c r="C224" s="14">
        <f>if('Point Intercept 1'!C224 = 'Point Intercept 2'!C224, 'Point Intercept 1'!C224, "ERROR")</f>
        <v>45755</v>
      </c>
      <c r="D224" s="9" t="str">
        <f>if('Point Intercept 1'!D224 = 'Point Intercept 2'!D224, 'Point Intercept 1'!D224, "ERROR")</f>
        <v>JC, TL</v>
      </c>
      <c r="E224" s="9" t="str">
        <f>if('Point Intercept 1'!E224 = 'Point Intercept 2'!E224, 'Point Intercept 1'!E224, "ERROR")</f>
        <v>VB</v>
      </c>
      <c r="F224" s="9">
        <f>if('Point Intercept 1'!F224 = 'Point Intercept 2'!F224, 'Point Intercept 1'!F224, "ERROR")</f>
        <v>3</v>
      </c>
      <c r="G224" s="9" t="str">
        <f>if('Point Intercept 1'!G224 = 'Point Intercept 2'!G224, 'Point Intercept 1'!G224, "ERROR")</f>
        <v>LU</v>
      </c>
      <c r="H224" s="9">
        <f>if('Point Intercept 1'!I224 = 'Point Intercept 2'!I224, 'Point Intercept 1'!I224, "ERROR")</f>
        <v>7</v>
      </c>
      <c r="I224" s="9">
        <f>if('Point Intercept 1'!H224 = 'Point Intercept 2'!H224, 'Point Intercept 1'!H224, "ERROR")</f>
        <v>1</v>
      </c>
      <c r="J224" s="9">
        <f>if('Point Intercept 1'!J224 = 'Point Intercept 2'!J224, 'Point Intercept 1'!J224, "ERROR")</f>
        <v>3</v>
      </c>
      <c r="K224" s="9" t="str">
        <f>if('Point Intercept 1'!K224 = 'Point Intercept 2'!K224, 'Point Intercept 1'!K224, "ERROR")</f>
        <v>BROMAD</v>
      </c>
      <c r="L224" s="9" t="str">
        <f>if('Point Intercept 1'!L224 = 'Point Intercept 2'!L224, 'Point Intercept 1'!L224, "ERROR")</f>
        <v>Bromus madritensis</v>
      </c>
      <c r="M224" s="9" t="str">
        <f>if('Point Intercept 1'!N224 = 'Point Intercept 2'!M224, 'Point Intercept 1'!N224, "ERROR")</f>
        <v/>
      </c>
      <c r="N224" s="9" t="str">
        <f>if('Point Intercept 1'!O224 = 'Point Intercept 2'!N224, 'Point Intercept 1'!O224, "ERROR")</f>
        <v/>
      </c>
      <c r="O224" s="9" t="str">
        <f>if('Point Intercept 1'!P224 = 'Point Intercept 2'!O224, 'Point Intercept 1'!P224, "ERROR")</f>
        <v/>
      </c>
    </row>
    <row r="225">
      <c r="A225" s="9">
        <f>if('Point Intercept 1'!A225 = 'Point Intercept 2'!A225, 'Point Intercept 1'!A225, "ERROR")</f>
        <v>3</v>
      </c>
      <c r="B225" s="9">
        <f>if('Point Intercept 1'!B225 = 'Point Intercept 2'!B225, 'Point Intercept 1'!B225, "ERROR")</f>
        <v>2025</v>
      </c>
      <c r="C225" s="14">
        <f>if('Point Intercept 1'!C225 = 'Point Intercept 2'!C225, 'Point Intercept 1'!C225, "ERROR")</f>
        <v>45755</v>
      </c>
      <c r="D225" s="9" t="str">
        <f>if('Point Intercept 1'!D225 = 'Point Intercept 2'!D225, 'Point Intercept 1'!D225, "ERROR")</f>
        <v>JC, TL</v>
      </c>
      <c r="E225" s="9" t="str">
        <f>if('Point Intercept 1'!E225 = 'Point Intercept 2'!E225, 'Point Intercept 1'!E225, "ERROR")</f>
        <v>VB</v>
      </c>
      <c r="F225" s="9">
        <f>if('Point Intercept 1'!F225 = 'Point Intercept 2'!F225, 'Point Intercept 1'!F225, "ERROR")</f>
        <v>3</v>
      </c>
      <c r="G225" s="9" t="str">
        <f>if('Point Intercept 1'!G225 = 'Point Intercept 2'!G225, 'Point Intercept 1'!G225, "ERROR")</f>
        <v>LU</v>
      </c>
      <c r="H225" s="9">
        <f>if('Point Intercept 1'!I225 = 'Point Intercept 2'!I225, 'Point Intercept 1'!I225, "ERROR")</f>
        <v>7</v>
      </c>
      <c r="I225" s="9">
        <f>if('Point Intercept 1'!H225 = 'Point Intercept 2'!H225, 'Point Intercept 1'!H225, "ERROR")</f>
        <v>1</v>
      </c>
      <c r="J225" s="9">
        <f>if('Point Intercept 1'!J225 = 'Point Intercept 2'!J225, 'Point Intercept 1'!J225, "ERROR")</f>
        <v>3</v>
      </c>
      <c r="K225" s="9" t="str">
        <f>if('Point Intercept 1'!K225 = 'Point Intercept 2'!K225, 'Point Intercept 1'!K225, "ERROR")</f>
        <v>DAUPUS</v>
      </c>
      <c r="L225" s="9" t="str">
        <f>if('Point Intercept 1'!L225 = 'Point Intercept 2'!L225, 'Point Intercept 1'!L225, "ERROR")</f>
        <v>Daucus pusillus</v>
      </c>
      <c r="M225" s="9" t="str">
        <f>if('Point Intercept 1'!N225 = 'Point Intercept 2'!M225, 'Point Intercept 1'!N225, "ERROR")</f>
        <v/>
      </c>
      <c r="N225" s="9" t="str">
        <f>if('Point Intercept 1'!O225 = 'Point Intercept 2'!N225, 'Point Intercept 1'!O225, "ERROR")</f>
        <v/>
      </c>
      <c r="O225" s="9" t="str">
        <f>if('Point Intercept 1'!P225 = 'Point Intercept 2'!O225, 'Point Intercept 1'!P225, "ERROR")</f>
        <v/>
      </c>
    </row>
    <row r="226">
      <c r="A226" s="9">
        <f>if('Point Intercept 1'!A226 = 'Point Intercept 2'!A226, 'Point Intercept 1'!A226, "ERROR")</f>
        <v>3</v>
      </c>
      <c r="B226" s="9">
        <f>if('Point Intercept 1'!B226 = 'Point Intercept 2'!B226, 'Point Intercept 1'!B226, "ERROR")</f>
        <v>2025</v>
      </c>
      <c r="C226" s="14">
        <f>if('Point Intercept 1'!C226 = 'Point Intercept 2'!C226, 'Point Intercept 1'!C226, "ERROR")</f>
        <v>45755</v>
      </c>
      <c r="D226" s="9" t="str">
        <f>if('Point Intercept 1'!D226 = 'Point Intercept 2'!D226, 'Point Intercept 1'!D226, "ERROR")</f>
        <v>JC, TL</v>
      </c>
      <c r="E226" s="9" t="str">
        <f>if('Point Intercept 1'!E226 = 'Point Intercept 2'!E226, 'Point Intercept 1'!E226, "ERROR")</f>
        <v>VB</v>
      </c>
      <c r="F226" s="9">
        <f>if('Point Intercept 1'!F226 = 'Point Intercept 2'!F226, 'Point Intercept 1'!F226, "ERROR")</f>
        <v>3</v>
      </c>
      <c r="G226" s="9" t="str">
        <f>if('Point Intercept 1'!G226 = 'Point Intercept 2'!G226, 'Point Intercept 1'!G226, "ERROR")</f>
        <v>LU</v>
      </c>
      <c r="H226" s="9">
        <f>if('Point Intercept 1'!I226 = 'Point Intercept 2'!I226, 'Point Intercept 1'!I226, "ERROR")</f>
        <v>7</v>
      </c>
      <c r="I226" s="9">
        <f>if('Point Intercept 1'!H226 = 'Point Intercept 2'!H226, 'Point Intercept 1'!H226, "ERROR")</f>
        <v>1</v>
      </c>
      <c r="J226" s="9">
        <f>if('Point Intercept 1'!J226 = 'Point Intercept 2'!J226, 'Point Intercept 1'!J226, "ERROR")</f>
        <v>3</v>
      </c>
      <c r="K226" s="9" t="str">
        <f>if('Point Intercept 1'!K226 = 'Point Intercept 2'!K226, 'Point Intercept 1'!K226, "ERROR")</f>
        <v>FESMYU</v>
      </c>
      <c r="L226" s="9" t="str">
        <f>if('Point Intercept 1'!L226 = 'Point Intercept 2'!L226, 'Point Intercept 1'!L226, "ERROR")</f>
        <v>Festuca myuros</v>
      </c>
      <c r="M226" s="9" t="str">
        <f>if('Point Intercept 1'!N226 = 'Point Intercept 2'!M226, 'Point Intercept 1'!N226, "ERROR")</f>
        <v/>
      </c>
      <c r="N226" s="9" t="str">
        <f>if('Point Intercept 1'!O226 = 'Point Intercept 2'!N226, 'Point Intercept 1'!O226, "ERROR")</f>
        <v/>
      </c>
      <c r="O226" s="9" t="str">
        <f>if('Point Intercept 1'!P226 = 'Point Intercept 2'!O226, 'Point Intercept 1'!P226, "ERROR")</f>
        <v/>
      </c>
    </row>
    <row r="227">
      <c r="A227" s="9">
        <f>if('Point Intercept 1'!A227 = 'Point Intercept 2'!A227, 'Point Intercept 1'!A227, "ERROR")</f>
        <v>3</v>
      </c>
      <c r="B227" s="9">
        <f>if('Point Intercept 1'!B227 = 'Point Intercept 2'!B227, 'Point Intercept 1'!B227, "ERROR")</f>
        <v>2025</v>
      </c>
      <c r="C227" s="14">
        <f>if('Point Intercept 1'!C227 = 'Point Intercept 2'!C227, 'Point Intercept 1'!C227, "ERROR")</f>
        <v>45755</v>
      </c>
      <c r="D227" s="9" t="str">
        <f>if('Point Intercept 1'!D227 = 'Point Intercept 2'!D227, 'Point Intercept 1'!D227, "ERROR")</f>
        <v>JC, TL</v>
      </c>
      <c r="E227" s="9" t="str">
        <f>if('Point Intercept 1'!E227 = 'Point Intercept 2'!E227, 'Point Intercept 1'!E227, "ERROR")</f>
        <v>VB</v>
      </c>
      <c r="F227" s="9">
        <f>if('Point Intercept 1'!F227 = 'Point Intercept 2'!F227, 'Point Intercept 1'!F227, "ERROR")</f>
        <v>3</v>
      </c>
      <c r="G227" s="9" t="str">
        <f>if('Point Intercept 1'!G227 = 'Point Intercept 2'!G227, 'Point Intercept 1'!G227, "ERROR")</f>
        <v>LU</v>
      </c>
      <c r="H227" s="9">
        <f>if('Point Intercept 1'!I227 = 'Point Intercept 2'!I227, 'Point Intercept 1'!I227, "ERROR")</f>
        <v>7</v>
      </c>
      <c r="I227" s="9">
        <f>if('Point Intercept 1'!H227 = 'Point Intercept 2'!H227, 'Point Intercept 1'!H227, "ERROR")</f>
        <v>1</v>
      </c>
      <c r="J227" s="9">
        <f>if('Point Intercept 1'!J227 = 'Point Intercept 2'!J227, 'Point Intercept 1'!J227, "ERROR")</f>
        <v>3</v>
      </c>
      <c r="K227" s="9" t="str">
        <f>if('Point Intercept 1'!K227 = 'Point Intercept 2'!K227, 'Point Intercept 1'!K227, "ERROR")</f>
        <v>DEIFAS</v>
      </c>
      <c r="L227" s="9" t="str">
        <f>if('Point Intercept 1'!L227 = 'Point Intercept 2'!L227, 'Point Intercept 1'!L227, "ERROR")</f>
        <v>Deinandra fasciculata</v>
      </c>
      <c r="M227" s="9" t="str">
        <f>if('Point Intercept 1'!N227 = 'Point Intercept 2'!M227, 'Point Intercept 1'!N227, "ERROR")</f>
        <v/>
      </c>
      <c r="N227" s="9" t="str">
        <f>if('Point Intercept 1'!O227 = 'Point Intercept 2'!N227, 'Point Intercept 1'!O227, "ERROR")</f>
        <v/>
      </c>
      <c r="O227" s="9" t="str">
        <f>if('Point Intercept 1'!P227 = 'Point Intercept 2'!O227, 'Point Intercept 1'!P227, "ERROR")</f>
        <v/>
      </c>
    </row>
    <row r="228">
      <c r="A228" s="9">
        <f>if('Point Intercept 1'!A228 = 'Point Intercept 2'!A228, 'Point Intercept 1'!A228, "ERROR")</f>
        <v>3</v>
      </c>
      <c r="B228" s="9">
        <f>if('Point Intercept 1'!B228 = 'Point Intercept 2'!B228, 'Point Intercept 1'!B228, "ERROR")</f>
        <v>2025</v>
      </c>
      <c r="C228" s="14">
        <f>if('Point Intercept 1'!C228 = 'Point Intercept 2'!C228, 'Point Intercept 1'!C228, "ERROR")</f>
        <v>45755</v>
      </c>
      <c r="D228" s="9" t="str">
        <f>if('Point Intercept 1'!D228 = 'Point Intercept 2'!D228, 'Point Intercept 1'!D228, "ERROR")</f>
        <v>JC, TL</v>
      </c>
      <c r="E228" s="9" t="str">
        <f>if('Point Intercept 1'!E228 = 'Point Intercept 2'!E228, 'Point Intercept 1'!E228, "ERROR")</f>
        <v>VB</v>
      </c>
      <c r="F228" s="9">
        <f>if('Point Intercept 1'!F228 = 'Point Intercept 2'!F228, 'Point Intercept 1'!F228, "ERROR")</f>
        <v>3</v>
      </c>
      <c r="G228" s="9" t="str">
        <f>if('Point Intercept 1'!G228 = 'Point Intercept 2'!G228, 'Point Intercept 1'!G228, "ERROR")</f>
        <v>LU</v>
      </c>
      <c r="H228" s="9">
        <f>if('Point Intercept 1'!I228 = 'Point Intercept 2'!I228, 'Point Intercept 1'!I228, "ERROR")</f>
        <v>8</v>
      </c>
      <c r="I228" s="9">
        <f>if('Point Intercept 1'!H228 = 'Point Intercept 2'!H228, 'Point Intercept 1'!H228, "ERROR")</f>
        <v>1</v>
      </c>
      <c r="J228" s="9">
        <f>if('Point Intercept 1'!J228 = 'Point Intercept 2'!J228, 'Point Intercept 1'!J228, "ERROR")</f>
        <v>3.5</v>
      </c>
      <c r="K228" s="9" t="str">
        <f>if('Point Intercept 1'!K228 = 'Point Intercept 2'!K228, 'Point Intercept 1'!K228, "ERROR")</f>
        <v>B</v>
      </c>
      <c r="L228" s="9" t="str">
        <f>if('Point Intercept 1'!L228 = 'Point Intercept 2'!L228, 'Point Intercept 1'!L228, "ERROR")</f>
        <v>Bareground</v>
      </c>
      <c r="M228" s="9" t="str">
        <f>if('Point Intercept 1'!N228 = 'Point Intercept 2'!M228, 'Point Intercept 1'!N228, "ERROR")</f>
        <v/>
      </c>
      <c r="N228" s="9" t="str">
        <f>if('Point Intercept 1'!O228 = 'Point Intercept 2'!N228, 'Point Intercept 1'!O228, "ERROR")</f>
        <v/>
      </c>
      <c r="O228" s="9" t="str">
        <f>if('Point Intercept 1'!P228 = 'Point Intercept 2'!O228, 'Point Intercept 1'!P228, "ERROR")</f>
        <v/>
      </c>
    </row>
    <row r="229">
      <c r="A229" s="9">
        <f>if('Point Intercept 1'!A229 = 'Point Intercept 2'!A229, 'Point Intercept 1'!A229, "ERROR")</f>
        <v>3</v>
      </c>
      <c r="B229" s="9">
        <f>if('Point Intercept 1'!B229 = 'Point Intercept 2'!B229, 'Point Intercept 1'!B229, "ERROR")</f>
        <v>2025</v>
      </c>
      <c r="C229" s="14">
        <f>if('Point Intercept 1'!C229 = 'Point Intercept 2'!C229, 'Point Intercept 1'!C229, "ERROR")</f>
        <v>45755</v>
      </c>
      <c r="D229" s="9" t="str">
        <f>if('Point Intercept 1'!D229 = 'Point Intercept 2'!D229, 'Point Intercept 1'!D229, "ERROR")</f>
        <v>JC, TL</v>
      </c>
      <c r="E229" s="9" t="str">
        <f>if('Point Intercept 1'!E229 = 'Point Intercept 2'!E229, 'Point Intercept 1'!E229, "ERROR")</f>
        <v>VB</v>
      </c>
      <c r="F229" s="9">
        <f>if('Point Intercept 1'!F229 = 'Point Intercept 2'!F229, 'Point Intercept 1'!F229, "ERROR")</f>
        <v>3</v>
      </c>
      <c r="G229" s="9" t="str">
        <f>if('Point Intercept 1'!G229 = 'Point Intercept 2'!G229, 'Point Intercept 1'!G229, "ERROR")</f>
        <v>LU</v>
      </c>
      <c r="H229" s="9">
        <f>if('Point Intercept 1'!I229 = 'Point Intercept 2'!I229, 'Point Intercept 1'!I229, "ERROR")</f>
        <v>8</v>
      </c>
      <c r="I229" s="9">
        <f>if('Point Intercept 1'!H229 = 'Point Intercept 2'!H229, 'Point Intercept 1'!H229, "ERROR")</f>
        <v>1</v>
      </c>
      <c r="J229" s="9">
        <f>if('Point Intercept 1'!J229 = 'Point Intercept 2'!J229, 'Point Intercept 1'!J229, "ERROR")</f>
        <v>3.5</v>
      </c>
      <c r="K229" s="9" t="str">
        <f>if('Point Intercept 1'!K229 = 'Point Intercept 2'!K229, 'Point Intercept 1'!K229, "ERROR")</f>
        <v>DAUPUS</v>
      </c>
      <c r="L229" s="9" t="str">
        <f>if('Point Intercept 1'!L229 = 'Point Intercept 2'!L229, 'Point Intercept 1'!L229, "ERROR")</f>
        <v>Daucus pusillus</v>
      </c>
      <c r="M229" s="9" t="str">
        <f>if('Point Intercept 1'!N229 = 'Point Intercept 2'!M229, 'Point Intercept 1'!N229, "ERROR")</f>
        <v/>
      </c>
      <c r="N229" s="9" t="str">
        <f>if('Point Intercept 1'!O229 = 'Point Intercept 2'!N229, 'Point Intercept 1'!O229, "ERROR")</f>
        <v/>
      </c>
      <c r="O229" s="9" t="str">
        <f>if('Point Intercept 1'!P229 = 'Point Intercept 2'!O229, 'Point Intercept 1'!P229, "ERROR")</f>
        <v/>
      </c>
    </row>
    <row r="230">
      <c r="A230" s="9">
        <f>if('Point Intercept 1'!A230 = 'Point Intercept 2'!A230, 'Point Intercept 1'!A230, "ERROR")</f>
        <v>3</v>
      </c>
      <c r="B230" s="9">
        <f>if('Point Intercept 1'!B230 = 'Point Intercept 2'!B230, 'Point Intercept 1'!B230, "ERROR")</f>
        <v>2025</v>
      </c>
      <c r="C230" s="14">
        <f>if('Point Intercept 1'!C230 = 'Point Intercept 2'!C230, 'Point Intercept 1'!C230, "ERROR")</f>
        <v>45755</v>
      </c>
      <c r="D230" s="9" t="str">
        <f>if('Point Intercept 1'!D230 = 'Point Intercept 2'!D230, 'Point Intercept 1'!D230, "ERROR")</f>
        <v>JC, TL</v>
      </c>
      <c r="E230" s="9" t="str">
        <f>if('Point Intercept 1'!E230 = 'Point Intercept 2'!E230, 'Point Intercept 1'!E230, "ERROR")</f>
        <v>VB</v>
      </c>
      <c r="F230" s="9">
        <f>if('Point Intercept 1'!F230 = 'Point Intercept 2'!F230, 'Point Intercept 1'!F230, "ERROR")</f>
        <v>3</v>
      </c>
      <c r="G230" s="9" t="str">
        <f>if('Point Intercept 1'!G230 = 'Point Intercept 2'!G230, 'Point Intercept 1'!G230, "ERROR")</f>
        <v>LU</v>
      </c>
      <c r="H230" s="9">
        <f>if('Point Intercept 1'!I230 = 'Point Intercept 2'!I230, 'Point Intercept 1'!I230, "ERROR")</f>
        <v>8</v>
      </c>
      <c r="I230" s="9">
        <f>if('Point Intercept 1'!H230 = 'Point Intercept 2'!H230, 'Point Intercept 1'!H230, "ERROR")</f>
        <v>1</v>
      </c>
      <c r="J230" s="9">
        <f>if('Point Intercept 1'!J230 = 'Point Intercept 2'!J230, 'Point Intercept 1'!J230, "ERROR")</f>
        <v>3.5</v>
      </c>
      <c r="K230" s="9" t="str">
        <f>if('Point Intercept 1'!K230 = 'Point Intercept 2'!K230, 'Point Intercept 1'!K230, "ERROR")</f>
        <v>FESMYU</v>
      </c>
      <c r="L230" s="9" t="str">
        <f>if('Point Intercept 1'!L230 = 'Point Intercept 2'!L230, 'Point Intercept 1'!L230, "ERROR")</f>
        <v>Festuca myuros</v>
      </c>
      <c r="M230" s="9" t="str">
        <f>if('Point Intercept 1'!N230 = 'Point Intercept 2'!M230, 'Point Intercept 1'!N230, "ERROR")</f>
        <v/>
      </c>
      <c r="N230" s="9" t="str">
        <f>if('Point Intercept 1'!O230 = 'Point Intercept 2'!N230, 'Point Intercept 1'!O230, "ERROR")</f>
        <v/>
      </c>
      <c r="O230" s="9" t="str">
        <f>if('Point Intercept 1'!P230 = 'Point Intercept 2'!O230, 'Point Intercept 1'!P230, "ERROR")</f>
        <v/>
      </c>
    </row>
    <row r="231">
      <c r="A231" s="9">
        <f>if('Point Intercept 1'!A231 = 'Point Intercept 2'!A231, 'Point Intercept 1'!A231, "ERROR")</f>
        <v>3</v>
      </c>
      <c r="B231" s="9">
        <f>if('Point Intercept 1'!B231 = 'Point Intercept 2'!B231, 'Point Intercept 1'!B231, "ERROR")</f>
        <v>2025</v>
      </c>
      <c r="C231" s="14">
        <f>if('Point Intercept 1'!C231 = 'Point Intercept 2'!C231, 'Point Intercept 1'!C231, "ERROR")</f>
        <v>45755</v>
      </c>
      <c r="D231" s="9" t="str">
        <f>if('Point Intercept 1'!D231 = 'Point Intercept 2'!D231, 'Point Intercept 1'!D231, "ERROR")</f>
        <v>JC, TL</v>
      </c>
      <c r="E231" s="9" t="str">
        <f>if('Point Intercept 1'!E231 = 'Point Intercept 2'!E231, 'Point Intercept 1'!E231, "ERROR")</f>
        <v>VB</v>
      </c>
      <c r="F231" s="9">
        <f>if('Point Intercept 1'!F231 = 'Point Intercept 2'!F231, 'Point Intercept 1'!F231, "ERROR")</f>
        <v>3</v>
      </c>
      <c r="G231" s="9" t="str">
        <f>if('Point Intercept 1'!G231 = 'Point Intercept 2'!G231, 'Point Intercept 1'!G231, "ERROR")</f>
        <v>LU</v>
      </c>
      <c r="H231" s="9">
        <f>if('Point Intercept 1'!I231 = 'Point Intercept 2'!I231, 'Point Intercept 1'!I231, "ERROR")</f>
        <v>9</v>
      </c>
      <c r="I231" s="9">
        <f>if('Point Intercept 1'!H231 = 'Point Intercept 2'!H231, 'Point Intercept 1'!H231, "ERROR")</f>
        <v>1</v>
      </c>
      <c r="J231" s="9">
        <f>if('Point Intercept 1'!J231 = 'Point Intercept 2'!J231, 'Point Intercept 1'!J231, "ERROR")</f>
        <v>4</v>
      </c>
      <c r="K231" s="9" t="str">
        <f>if('Point Intercept 1'!K231 = 'Point Intercept 2'!K231, 'Point Intercept 1'!K231, "ERROR")</f>
        <v>B</v>
      </c>
      <c r="L231" s="9" t="str">
        <f>if('Point Intercept 1'!L231 = 'Point Intercept 2'!L231, 'Point Intercept 1'!L231, "ERROR")</f>
        <v>Bareground</v>
      </c>
      <c r="M231" s="9" t="str">
        <f>if('Point Intercept 1'!N231 = 'Point Intercept 2'!M231, 'Point Intercept 1'!N231, "ERROR")</f>
        <v/>
      </c>
      <c r="N231" s="9" t="str">
        <f>if('Point Intercept 1'!O231 = 'Point Intercept 2'!N231, 'Point Intercept 1'!O231, "ERROR")</f>
        <v/>
      </c>
      <c r="O231" s="9" t="str">
        <f>if('Point Intercept 1'!P231 = 'Point Intercept 2'!O231, 'Point Intercept 1'!P231, "ERROR")</f>
        <v/>
      </c>
    </row>
    <row r="232">
      <c r="A232" s="9">
        <f>if('Point Intercept 1'!A232 = 'Point Intercept 2'!A232, 'Point Intercept 1'!A232, "ERROR")</f>
        <v>3</v>
      </c>
      <c r="B232" s="9">
        <f>if('Point Intercept 1'!B232 = 'Point Intercept 2'!B232, 'Point Intercept 1'!B232, "ERROR")</f>
        <v>2025</v>
      </c>
      <c r="C232" s="14">
        <f>if('Point Intercept 1'!C232 = 'Point Intercept 2'!C232, 'Point Intercept 1'!C232, "ERROR")</f>
        <v>45755</v>
      </c>
      <c r="D232" s="9" t="str">
        <f>if('Point Intercept 1'!D232 = 'Point Intercept 2'!D232, 'Point Intercept 1'!D232, "ERROR")</f>
        <v>JC, TL</v>
      </c>
      <c r="E232" s="9" t="str">
        <f>if('Point Intercept 1'!E232 = 'Point Intercept 2'!E232, 'Point Intercept 1'!E232, "ERROR")</f>
        <v>VB</v>
      </c>
      <c r="F232" s="9">
        <f>if('Point Intercept 1'!F232 = 'Point Intercept 2'!F232, 'Point Intercept 1'!F232, "ERROR")</f>
        <v>3</v>
      </c>
      <c r="G232" s="9" t="str">
        <f>if('Point Intercept 1'!G232 = 'Point Intercept 2'!G232, 'Point Intercept 1'!G232, "ERROR")</f>
        <v>LU</v>
      </c>
      <c r="H232" s="9">
        <f>if('Point Intercept 1'!I232 = 'Point Intercept 2'!I232, 'Point Intercept 1'!I232, "ERROR")</f>
        <v>9</v>
      </c>
      <c r="I232" s="9">
        <f>if('Point Intercept 1'!H232 = 'Point Intercept 2'!H232, 'Point Intercept 1'!H232, "ERROR")</f>
        <v>1</v>
      </c>
      <c r="J232" s="9">
        <f>if('Point Intercept 1'!J232 = 'Point Intercept 2'!J232, 'Point Intercept 1'!J232, "ERROR")</f>
        <v>4</v>
      </c>
      <c r="K232" s="9" t="str">
        <f>if('Point Intercept 1'!K232 = 'Point Intercept 2'!K232, 'Point Intercept 1'!K232, "ERROR")</f>
        <v>MEDPOL</v>
      </c>
      <c r="L232" s="9" t="str">
        <f>if('Point Intercept 1'!L232 = 'Point Intercept 2'!L232, 'Point Intercept 1'!L232, "ERROR")</f>
        <v>Medicago polymorpha</v>
      </c>
      <c r="M232" s="9" t="str">
        <f>if('Point Intercept 1'!N232 = 'Point Intercept 2'!M232, 'Point Intercept 1'!N232, "ERROR")</f>
        <v/>
      </c>
      <c r="N232" s="9" t="str">
        <f>if('Point Intercept 1'!O232 = 'Point Intercept 2'!N232, 'Point Intercept 1'!O232, "ERROR")</f>
        <v/>
      </c>
      <c r="O232" s="9" t="str">
        <f>if('Point Intercept 1'!P232 = 'Point Intercept 2'!O232, 'Point Intercept 1'!P232, "ERROR")</f>
        <v/>
      </c>
    </row>
    <row r="233">
      <c r="A233" s="9">
        <f>if('Point Intercept 1'!A233 = 'Point Intercept 2'!A233, 'Point Intercept 1'!A233, "ERROR")</f>
        <v>3</v>
      </c>
      <c r="B233" s="9">
        <f>if('Point Intercept 1'!B233 = 'Point Intercept 2'!B233, 'Point Intercept 1'!B233, "ERROR")</f>
        <v>2025</v>
      </c>
      <c r="C233" s="14">
        <f>if('Point Intercept 1'!C233 = 'Point Intercept 2'!C233, 'Point Intercept 1'!C233, "ERROR")</f>
        <v>45755</v>
      </c>
      <c r="D233" s="9" t="str">
        <f>if('Point Intercept 1'!D233 = 'Point Intercept 2'!D233, 'Point Intercept 1'!D233, "ERROR")</f>
        <v>JC, TL</v>
      </c>
      <c r="E233" s="9" t="str">
        <f>if('Point Intercept 1'!E233 = 'Point Intercept 2'!E233, 'Point Intercept 1'!E233, "ERROR")</f>
        <v>VB</v>
      </c>
      <c r="F233" s="9">
        <f>if('Point Intercept 1'!F233 = 'Point Intercept 2'!F233, 'Point Intercept 1'!F233, "ERROR")</f>
        <v>3</v>
      </c>
      <c r="G233" s="9" t="str">
        <f>if('Point Intercept 1'!G233 = 'Point Intercept 2'!G233, 'Point Intercept 1'!G233, "ERROR")</f>
        <v>LU</v>
      </c>
      <c r="H233" s="9">
        <f>if('Point Intercept 1'!I233 = 'Point Intercept 2'!I233, 'Point Intercept 1'!I233, "ERROR")</f>
        <v>9</v>
      </c>
      <c r="I233" s="9">
        <f>if('Point Intercept 1'!H233 = 'Point Intercept 2'!H233, 'Point Intercept 1'!H233, "ERROR")</f>
        <v>1</v>
      </c>
      <c r="J233" s="9">
        <f>if('Point Intercept 1'!J233 = 'Point Intercept 2'!J233, 'Point Intercept 1'!J233, "ERROR")</f>
        <v>4</v>
      </c>
      <c r="K233" s="9" t="str">
        <f>if('Point Intercept 1'!K233 = 'Point Intercept 2'!K233, 'Point Intercept 1'!K233, "ERROR")</f>
        <v>FESMYU</v>
      </c>
      <c r="L233" s="9" t="str">
        <f>if('Point Intercept 1'!L233 = 'Point Intercept 2'!L233, 'Point Intercept 1'!L233, "ERROR")</f>
        <v>Festuca myuros</v>
      </c>
      <c r="M233" s="9" t="str">
        <f>if('Point Intercept 1'!N233 = 'Point Intercept 2'!M233, 'Point Intercept 1'!N233, "ERROR")</f>
        <v/>
      </c>
      <c r="N233" s="9" t="str">
        <f>if('Point Intercept 1'!O233 = 'Point Intercept 2'!N233, 'Point Intercept 1'!O233, "ERROR")</f>
        <v/>
      </c>
      <c r="O233" s="9" t="str">
        <f>if('Point Intercept 1'!P233 = 'Point Intercept 2'!O233, 'Point Intercept 1'!P233, "ERROR")</f>
        <v/>
      </c>
    </row>
    <row r="234">
      <c r="A234" s="9">
        <f>if('Point Intercept 1'!A234 = 'Point Intercept 2'!A234, 'Point Intercept 1'!A234, "ERROR")</f>
        <v>3</v>
      </c>
      <c r="B234" s="9">
        <f>if('Point Intercept 1'!B234 = 'Point Intercept 2'!B234, 'Point Intercept 1'!B234, "ERROR")</f>
        <v>2025</v>
      </c>
      <c r="C234" s="14">
        <f>if('Point Intercept 1'!C234 = 'Point Intercept 2'!C234, 'Point Intercept 1'!C234, "ERROR")</f>
        <v>45755</v>
      </c>
      <c r="D234" s="9" t="str">
        <f>if('Point Intercept 1'!D234 = 'Point Intercept 2'!D234, 'Point Intercept 1'!D234, "ERROR")</f>
        <v>JC, TL</v>
      </c>
      <c r="E234" s="9" t="str">
        <f>if('Point Intercept 1'!E234 = 'Point Intercept 2'!E234, 'Point Intercept 1'!E234, "ERROR")</f>
        <v>VB</v>
      </c>
      <c r="F234" s="9">
        <f>if('Point Intercept 1'!F234 = 'Point Intercept 2'!F234, 'Point Intercept 1'!F234, "ERROR")</f>
        <v>3</v>
      </c>
      <c r="G234" s="9" t="str">
        <f>if('Point Intercept 1'!G234 = 'Point Intercept 2'!G234, 'Point Intercept 1'!G234, "ERROR")</f>
        <v>LU</v>
      </c>
      <c r="H234" s="9">
        <f>if('Point Intercept 1'!I234 = 'Point Intercept 2'!I234, 'Point Intercept 1'!I234, "ERROR")</f>
        <v>10</v>
      </c>
      <c r="I234" s="9">
        <f>if('Point Intercept 1'!H234 = 'Point Intercept 2'!H234, 'Point Intercept 1'!H234, "ERROR")</f>
        <v>1</v>
      </c>
      <c r="J234" s="9">
        <f>if('Point Intercept 1'!J234 = 'Point Intercept 2'!J234, 'Point Intercept 1'!J234, "ERROR")</f>
        <v>4.5</v>
      </c>
      <c r="K234" s="9" t="str">
        <f>if('Point Intercept 1'!K234 = 'Point Intercept 2'!K234, 'Point Intercept 1'!K234, "ERROR")</f>
        <v>L</v>
      </c>
      <c r="L234" s="9" t="str">
        <f>if('Point Intercept 1'!L234 = 'Point Intercept 2'!L234, 'Point Intercept 1'!L234, "ERROR")</f>
        <v>Litter</v>
      </c>
      <c r="M234" s="9" t="str">
        <f>if('Point Intercept 1'!N234 = 'Point Intercept 2'!M234, 'Point Intercept 1'!N234, "ERROR")</f>
        <v/>
      </c>
      <c r="N234" s="9" t="str">
        <f>if('Point Intercept 1'!O234 = 'Point Intercept 2'!N234, 'Point Intercept 1'!O234, "ERROR")</f>
        <v/>
      </c>
      <c r="O234" s="9" t="str">
        <f>if('Point Intercept 1'!P234 = 'Point Intercept 2'!O234, 'Point Intercept 1'!P234, "ERROR")</f>
        <v/>
      </c>
    </row>
    <row r="235">
      <c r="A235" s="9">
        <f>if('Point Intercept 1'!A235 = 'Point Intercept 2'!A235, 'Point Intercept 1'!A235, "ERROR")</f>
        <v>3</v>
      </c>
      <c r="B235" s="9">
        <f>if('Point Intercept 1'!B235 = 'Point Intercept 2'!B235, 'Point Intercept 1'!B235, "ERROR")</f>
        <v>2025</v>
      </c>
      <c r="C235" s="14">
        <f>if('Point Intercept 1'!C235 = 'Point Intercept 2'!C235, 'Point Intercept 1'!C235, "ERROR")</f>
        <v>45755</v>
      </c>
      <c r="D235" s="9" t="str">
        <f>if('Point Intercept 1'!D235 = 'Point Intercept 2'!D235, 'Point Intercept 1'!D235, "ERROR")</f>
        <v>JC, TL</v>
      </c>
      <c r="E235" s="9" t="str">
        <f>if('Point Intercept 1'!E235 = 'Point Intercept 2'!E235, 'Point Intercept 1'!E235, "ERROR")</f>
        <v>VB</v>
      </c>
      <c r="F235" s="9">
        <f>if('Point Intercept 1'!F235 = 'Point Intercept 2'!F235, 'Point Intercept 1'!F235, "ERROR")</f>
        <v>3</v>
      </c>
      <c r="G235" s="9" t="str">
        <f>if('Point Intercept 1'!G235 = 'Point Intercept 2'!G235, 'Point Intercept 1'!G235, "ERROR")</f>
        <v>LU</v>
      </c>
      <c r="H235" s="9">
        <f>if('Point Intercept 1'!I235 = 'Point Intercept 2'!I235, 'Point Intercept 1'!I235, "ERROR")</f>
        <v>10</v>
      </c>
      <c r="I235" s="9">
        <f>if('Point Intercept 1'!H235 = 'Point Intercept 2'!H235, 'Point Intercept 1'!H235, "ERROR")</f>
        <v>1</v>
      </c>
      <c r="J235" s="9">
        <f>if('Point Intercept 1'!J235 = 'Point Intercept 2'!J235, 'Point Intercept 1'!J235, "ERROR")</f>
        <v>4.5</v>
      </c>
      <c r="K235" s="9" t="str">
        <f>if('Point Intercept 1'!K235 = 'Point Intercept 2'!K235, 'Point Intercept 1'!K235, "ERROR")</f>
        <v>DAUPUS</v>
      </c>
      <c r="L235" s="9" t="str">
        <f>if('Point Intercept 1'!L235 = 'Point Intercept 2'!L235, 'Point Intercept 1'!L235, "ERROR")</f>
        <v>Daucus pusillus</v>
      </c>
      <c r="M235" s="9" t="str">
        <f>if('Point Intercept 1'!N235 = 'Point Intercept 2'!M235, 'Point Intercept 1'!N235, "ERROR")</f>
        <v/>
      </c>
      <c r="N235" s="9" t="str">
        <f>if('Point Intercept 1'!O235 = 'Point Intercept 2'!N235, 'Point Intercept 1'!O235, "ERROR")</f>
        <v/>
      </c>
      <c r="O235" s="9" t="str">
        <f>if('Point Intercept 1'!P235 = 'Point Intercept 2'!O235, 'Point Intercept 1'!P235, "ERROR")</f>
        <v/>
      </c>
    </row>
    <row r="236">
      <c r="A236" s="9">
        <f>if('Point Intercept 1'!A236 = 'Point Intercept 2'!A236, 'Point Intercept 1'!A236, "ERROR")</f>
        <v>3</v>
      </c>
      <c r="B236" s="9">
        <f>if('Point Intercept 1'!B236 = 'Point Intercept 2'!B236, 'Point Intercept 1'!B236, "ERROR")</f>
        <v>2025</v>
      </c>
      <c r="C236" s="14">
        <f>if('Point Intercept 1'!C236 = 'Point Intercept 2'!C236, 'Point Intercept 1'!C236, "ERROR")</f>
        <v>45755</v>
      </c>
      <c r="D236" s="9" t="str">
        <f>if('Point Intercept 1'!D236 = 'Point Intercept 2'!D236, 'Point Intercept 1'!D236, "ERROR")</f>
        <v>JC, TL</v>
      </c>
      <c r="E236" s="9" t="str">
        <f>if('Point Intercept 1'!E236 = 'Point Intercept 2'!E236, 'Point Intercept 1'!E236, "ERROR")</f>
        <v>VB</v>
      </c>
      <c r="F236" s="9">
        <f>if('Point Intercept 1'!F236 = 'Point Intercept 2'!F236, 'Point Intercept 1'!F236, "ERROR")</f>
        <v>3</v>
      </c>
      <c r="G236" s="9" t="str">
        <f>if('Point Intercept 1'!G236 = 'Point Intercept 2'!G236, 'Point Intercept 1'!G236, "ERROR")</f>
        <v>LU</v>
      </c>
      <c r="H236" s="9">
        <f>if('Point Intercept 1'!I236 = 'Point Intercept 2'!I236, 'Point Intercept 1'!I236, "ERROR")</f>
        <v>10</v>
      </c>
      <c r="I236" s="9">
        <f>if('Point Intercept 1'!H236 = 'Point Intercept 2'!H236, 'Point Intercept 1'!H236, "ERROR")</f>
        <v>1</v>
      </c>
      <c r="J236" s="9">
        <f>if('Point Intercept 1'!J236 = 'Point Intercept 2'!J236, 'Point Intercept 1'!J236, "ERROR")</f>
        <v>4.5</v>
      </c>
      <c r="K236" s="9" t="str">
        <f>if('Point Intercept 1'!K236 = 'Point Intercept 2'!K236, 'Point Intercept 1'!K236, "ERROR")</f>
        <v>SONASP</v>
      </c>
      <c r="L236" s="9" t="str">
        <f>if('Point Intercept 1'!L236 = 'Point Intercept 2'!L236, 'Point Intercept 1'!L236, "ERROR")</f>
        <v>Sonchus asper</v>
      </c>
      <c r="M236" s="9" t="str">
        <f>if('Point Intercept 1'!N236 = 'Point Intercept 2'!M236, 'Point Intercept 1'!N236, "ERROR")</f>
        <v/>
      </c>
      <c r="N236" s="9" t="str">
        <f>if('Point Intercept 1'!O236 = 'Point Intercept 2'!N236, 'Point Intercept 1'!O236, "ERROR")</f>
        <v/>
      </c>
      <c r="O236" s="9" t="str">
        <f>if('Point Intercept 1'!P236 = 'Point Intercept 2'!O236, 'Point Intercept 1'!P236, "ERROR")</f>
        <v/>
      </c>
    </row>
    <row r="237">
      <c r="A237" s="9">
        <f>if('Point Intercept 1'!A237 = 'Point Intercept 2'!A237, 'Point Intercept 1'!A237, "ERROR")</f>
        <v>3</v>
      </c>
      <c r="B237" s="9">
        <f>if('Point Intercept 1'!B237 = 'Point Intercept 2'!B237, 'Point Intercept 1'!B237, "ERROR")</f>
        <v>2025</v>
      </c>
      <c r="C237" s="14">
        <f>if('Point Intercept 1'!C237 = 'Point Intercept 2'!C237, 'Point Intercept 1'!C237, "ERROR")</f>
        <v>45755</v>
      </c>
      <c r="D237" s="9" t="str">
        <f>if('Point Intercept 1'!D237 = 'Point Intercept 2'!D237, 'Point Intercept 1'!D237, "ERROR")</f>
        <v>JC, TL</v>
      </c>
      <c r="E237" s="9" t="str">
        <f>if('Point Intercept 1'!E237 = 'Point Intercept 2'!E237, 'Point Intercept 1'!E237, "ERROR")</f>
        <v>VB</v>
      </c>
      <c r="F237" s="9">
        <f>if('Point Intercept 1'!F237 = 'Point Intercept 2'!F237, 'Point Intercept 1'!F237, "ERROR")</f>
        <v>3</v>
      </c>
      <c r="G237" s="9" t="str">
        <f>if('Point Intercept 1'!G237 = 'Point Intercept 2'!G237, 'Point Intercept 1'!G237, "ERROR")</f>
        <v>LU</v>
      </c>
      <c r="H237" s="9">
        <f>if('Point Intercept 1'!I237 = 'Point Intercept 2'!I237, 'Point Intercept 1'!I237, "ERROR")</f>
        <v>11</v>
      </c>
      <c r="I237" s="9">
        <f>if('Point Intercept 1'!H237 = 'Point Intercept 2'!H237, 'Point Intercept 1'!H237, "ERROR")</f>
        <v>1</v>
      </c>
      <c r="J237" s="9">
        <f>if('Point Intercept 1'!J237 = 'Point Intercept 2'!J237, 'Point Intercept 1'!J237, "ERROR")</f>
        <v>5</v>
      </c>
      <c r="K237" s="9" t="str">
        <f>if('Point Intercept 1'!K237 = 'Point Intercept 2'!K237, 'Point Intercept 1'!K237, "ERROR")</f>
        <v>L</v>
      </c>
      <c r="L237" s="9" t="str">
        <f>if('Point Intercept 1'!L237 = 'Point Intercept 2'!L237, 'Point Intercept 1'!L237, "ERROR")</f>
        <v>Litter</v>
      </c>
      <c r="M237" s="9" t="str">
        <f>if('Point Intercept 1'!N237 = 'Point Intercept 2'!M237, 'Point Intercept 1'!N237, "ERROR")</f>
        <v/>
      </c>
      <c r="N237" s="9" t="str">
        <f>if('Point Intercept 1'!O237 = 'Point Intercept 2'!N237, 'Point Intercept 1'!O237, "ERROR")</f>
        <v/>
      </c>
      <c r="O237" s="9" t="str">
        <f>if('Point Intercept 1'!P237 = 'Point Intercept 2'!O237, 'Point Intercept 1'!P237, "ERROR")</f>
        <v/>
      </c>
    </row>
    <row r="238">
      <c r="A238" s="9">
        <f>if('Point Intercept 1'!A238 = 'Point Intercept 2'!A238, 'Point Intercept 1'!A238, "ERROR")</f>
        <v>3</v>
      </c>
      <c r="B238" s="9">
        <f>if('Point Intercept 1'!B238 = 'Point Intercept 2'!B238, 'Point Intercept 1'!B238, "ERROR")</f>
        <v>2025</v>
      </c>
      <c r="C238" s="14">
        <f>if('Point Intercept 1'!C238 = 'Point Intercept 2'!C238, 'Point Intercept 1'!C238, "ERROR")</f>
        <v>45755</v>
      </c>
      <c r="D238" s="9" t="str">
        <f>if('Point Intercept 1'!D238 = 'Point Intercept 2'!D238, 'Point Intercept 1'!D238, "ERROR")</f>
        <v>JC, TL</v>
      </c>
      <c r="E238" s="9" t="str">
        <f>if('Point Intercept 1'!E238 = 'Point Intercept 2'!E238, 'Point Intercept 1'!E238, "ERROR")</f>
        <v>VB</v>
      </c>
      <c r="F238" s="9">
        <f>if('Point Intercept 1'!F238 = 'Point Intercept 2'!F238, 'Point Intercept 1'!F238, "ERROR")</f>
        <v>3</v>
      </c>
      <c r="G238" s="9" t="str">
        <f>if('Point Intercept 1'!G238 = 'Point Intercept 2'!G238, 'Point Intercept 1'!G238, "ERROR")</f>
        <v>LU</v>
      </c>
      <c r="H238" s="9">
        <f>if('Point Intercept 1'!I238 = 'Point Intercept 2'!I238, 'Point Intercept 1'!I238, "ERROR")</f>
        <v>11</v>
      </c>
      <c r="I238" s="9">
        <f>if('Point Intercept 1'!H238 = 'Point Intercept 2'!H238, 'Point Intercept 1'!H238, "ERROR")</f>
        <v>1</v>
      </c>
      <c r="J238" s="9">
        <f>if('Point Intercept 1'!J238 = 'Point Intercept 2'!J238, 'Point Intercept 1'!J238, "ERROR")</f>
        <v>5</v>
      </c>
      <c r="K238" s="9" t="str">
        <f>if('Point Intercept 1'!K238 = 'Point Intercept 2'!K238, 'Point Intercept 1'!K238, "ERROR")</f>
        <v>DEIFAS</v>
      </c>
      <c r="L238" s="9" t="str">
        <f>if('Point Intercept 1'!L238 = 'Point Intercept 2'!L238, 'Point Intercept 1'!L238, "ERROR")</f>
        <v>Deinandra fasciculata</v>
      </c>
      <c r="M238" s="9" t="str">
        <f>if('Point Intercept 1'!N238 = 'Point Intercept 2'!M238, 'Point Intercept 1'!N238, "ERROR")</f>
        <v/>
      </c>
      <c r="N238" s="9" t="str">
        <f>if('Point Intercept 1'!O238 = 'Point Intercept 2'!N238, 'Point Intercept 1'!O238, "ERROR")</f>
        <v/>
      </c>
      <c r="O238" s="9" t="str">
        <f>if('Point Intercept 1'!P238 = 'Point Intercept 2'!O238, 'Point Intercept 1'!P238, "ERROR")</f>
        <v/>
      </c>
    </row>
    <row r="239">
      <c r="A239" s="9">
        <f>if('Point Intercept 1'!A239 = 'Point Intercept 2'!A239, 'Point Intercept 1'!A239, "ERROR")</f>
        <v>3</v>
      </c>
      <c r="B239" s="9">
        <f>if('Point Intercept 1'!B239 = 'Point Intercept 2'!B239, 'Point Intercept 1'!B239, "ERROR")</f>
        <v>2025</v>
      </c>
      <c r="C239" s="14">
        <f>if('Point Intercept 1'!C239 = 'Point Intercept 2'!C239, 'Point Intercept 1'!C239, "ERROR")</f>
        <v>45755</v>
      </c>
      <c r="D239" s="9" t="str">
        <f>if('Point Intercept 1'!D239 = 'Point Intercept 2'!D239, 'Point Intercept 1'!D239, "ERROR")</f>
        <v>JC, TL</v>
      </c>
      <c r="E239" s="9" t="str">
        <f>if('Point Intercept 1'!E239 = 'Point Intercept 2'!E239, 'Point Intercept 1'!E239, "ERROR")</f>
        <v>VB</v>
      </c>
      <c r="F239" s="9">
        <f>if('Point Intercept 1'!F239 = 'Point Intercept 2'!F239, 'Point Intercept 1'!F239, "ERROR")</f>
        <v>3</v>
      </c>
      <c r="G239" s="9" t="str">
        <f>if('Point Intercept 1'!G239 = 'Point Intercept 2'!G239, 'Point Intercept 1'!G239, "ERROR")</f>
        <v>LU</v>
      </c>
      <c r="H239" s="9">
        <f>if('Point Intercept 1'!I239 = 'Point Intercept 2'!I239, 'Point Intercept 1'!I239, "ERROR")</f>
        <v>11</v>
      </c>
      <c r="I239" s="9">
        <f>if('Point Intercept 1'!H239 = 'Point Intercept 2'!H239, 'Point Intercept 1'!H239, "ERROR")</f>
        <v>1</v>
      </c>
      <c r="J239" s="9">
        <f>if('Point Intercept 1'!J239 = 'Point Intercept 2'!J239, 'Point Intercept 1'!J239, "ERROR")</f>
        <v>5</v>
      </c>
      <c r="K239" s="9" t="str">
        <f>if('Point Intercept 1'!K239 = 'Point Intercept 2'!K239, 'Point Intercept 1'!K239, "ERROR")</f>
        <v>FESMYU</v>
      </c>
      <c r="L239" s="9" t="str">
        <f>if('Point Intercept 1'!L239 = 'Point Intercept 2'!L239, 'Point Intercept 1'!L239, "ERROR")</f>
        <v>Festuca myuros</v>
      </c>
      <c r="M239" s="9" t="str">
        <f>if('Point Intercept 1'!N239 = 'Point Intercept 2'!M239, 'Point Intercept 1'!N239, "ERROR")</f>
        <v/>
      </c>
      <c r="N239" s="9" t="str">
        <f>if('Point Intercept 1'!O239 = 'Point Intercept 2'!N239, 'Point Intercept 1'!O239, "ERROR")</f>
        <v/>
      </c>
      <c r="O239" s="9" t="str">
        <f>if('Point Intercept 1'!P239 = 'Point Intercept 2'!O239, 'Point Intercept 1'!P239, "ERROR")</f>
        <v/>
      </c>
    </row>
    <row r="240">
      <c r="A240" s="9">
        <f>if('Point Intercept 1'!A240 = 'Point Intercept 2'!A240, 'Point Intercept 1'!A240, "ERROR")</f>
        <v>3</v>
      </c>
      <c r="B240" s="9">
        <f>if('Point Intercept 1'!B240 = 'Point Intercept 2'!B240, 'Point Intercept 1'!B240, "ERROR")</f>
        <v>2025</v>
      </c>
      <c r="C240" s="14">
        <f>if('Point Intercept 1'!C240 = 'Point Intercept 2'!C240, 'Point Intercept 1'!C240, "ERROR")</f>
        <v>45755</v>
      </c>
      <c r="D240" s="9" t="str">
        <f>if('Point Intercept 1'!D240 = 'Point Intercept 2'!D240, 'Point Intercept 1'!D240, "ERROR")</f>
        <v>JC, TL</v>
      </c>
      <c r="E240" s="9" t="str">
        <f>if('Point Intercept 1'!E240 = 'Point Intercept 2'!E240, 'Point Intercept 1'!E240, "ERROR")</f>
        <v>VB</v>
      </c>
      <c r="F240" s="9">
        <f>if('Point Intercept 1'!F240 = 'Point Intercept 2'!F240, 'Point Intercept 1'!F240, "ERROR")</f>
        <v>3</v>
      </c>
      <c r="G240" s="9" t="str">
        <f>if('Point Intercept 1'!G240 = 'Point Intercept 2'!G240, 'Point Intercept 1'!G240, "ERROR")</f>
        <v>LU</v>
      </c>
      <c r="H240" s="9">
        <f>if('Point Intercept 1'!I240 = 'Point Intercept 2'!I240, 'Point Intercept 1'!I240, "ERROR")</f>
        <v>12</v>
      </c>
      <c r="I240" s="9">
        <f>if('Point Intercept 1'!H240 = 'Point Intercept 2'!H240, 'Point Intercept 1'!H240, "ERROR")</f>
        <v>1</v>
      </c>
      <c r="J240" s="9">
        <f>if('Point Intercept 1'!J240 = 'Point Intercept 2'!J240, 'Point Intercept 1'!J240, "ERROR")</f>
        <v>5.5</v>
      </c>
      <c r="K240" s="9" t="str">
        <f>if('Point Intercept 1'!K240 = 'Point Intercept 2'!K240, 'Point Intercept 1'!K240, "ERROR")</f>
        <v>L</v>
      </c>
      <c r="L240" s="9" t="str">
        <f>if('Point Intercept 1'!L240 = 'Point Intercept 2'!L240, 'Point Intercept 1'!L240, "ERROR")</f>
        <v>Litter</v>
      </c>
      <c r="M240" s="9" t="str">
        <f>if('Point Intercept 1'!N240 = 'Point Intercept 2'!M240, 'Point Intercept 1'!N240, "ERROR")</f>
        <v/>
      </c>
      <c r="N240" s="9" t="str">
        <f>if('Point Intercept 1'!O240 = 'Point Intercept 2'!N240, 'Point Intercept 1'!O240, "ERROR")</f>
        <v/>
      </c>
      <c r="O240" s="9" t="str">
        <f>if('Point Intercept 1'!P240 = 'Point Intercept 2'!O240, 'Point Intercept 1'!P240, "ERROR")</f>
        <v/>
      </c>
    </row>
    <row r="241">
      <c r="A241" s="9">
        <f>if('Point Intercept 1'!A241 = 'Point Intercept 2'!A241, 'Point Intercept 1'!A241, "ERROR")</f>
        <v>3</v>
      </c>
      <c r="B241" s="9">
        <f>if('Point Intercept 1'!B241 = 'Point Intercept 2'!B241, 'Point Intercept 1'!B241, "ERROR")</f>
        <v>2025</v>
      </c>
      <c r="C241" s="14">
        <f>if('Point Intercept 1'!C241 = 'Point Intercept 2'!C241, 'Point Intercept 1'!C241, "ERROR")</f>
        <v>45755</v>
      </c>
      <c r="D241" s="9" t="str">
        <f>if('Point Intercept 1'!D241 = 'Point Intercept 2'!D241, 'Point Intercept 1'!D241, "ERROR")</f>
        <v>JC, TL</v>
      </c>
      <c r="E241" s="9" t="str">
        <f>if('Point Intercept 1'!E241 = 'Point Intercept 2'!E241, 'Point Intercept 1'!E241, "ERROR")</f>
        <v>VB</v>
      </c>
      <c r="F241" s="9">
        <f>if('Point Intercept 1'!F241 = 'Point Intercept 2'!F241, 'Point Intercept 1'!F241, "ERROR")</f>
        <v>3</v>
      </c>
      <c r="G241" s="9" t="str">
        <f>if('Point Intercept 1'!G241 = 'Point Intercept 2'!G241, 'Point Intercept 1'!G241, "ERROR")</f>
        <v>LU</v>
      </c>
      <c r="H241" s="9">
        <f>if('Point Intercept 1'!I241 = 'Point Intercept 2'!I241, 'Point Intercept 1'!I241, "ERROR")</f>
        <v>12</v>
      </c>
      <c r="I241" s="9">
        <f>if('Point Intercept 1'!H241 = 'Point Intercept 2'!H241, 'Point Intercept 1'!H241, "ERROR")</f>
        <v>1</v>
      </c>
      <c r="J241" s="9">
        <f>if('Point Intercept 1'!J241 = 'Point Intercept 2'!J241, 'Point Intercept 1'!J241, "ERROR")</f>
        <v>5.5</v>
      </c>
      <c r="K241" s="9" t="str">
        <f>if('Point Intercept 1'!K241 = 'Point Intercept 2'!K241, 'Point Intercept 1'!K241, "ERROR")</f>
        <v>FESMYU</v>
      </c>
      <c r="L241" s="9" t="str">
        <f>if('Point Intercept 1'!L241 = 'Point Intercept 2'!L241, 'Point Intercept 1'!L241, "ERROR")</f>
        <v>Festuca myuros</v>
      </c>
      <c r="M241" s="9" t="str">
        <f>if('Point Intercept 1'!N241 = 'Point Intercept 2'!M241, 'Point Intercept 1'!N241, "ERROR")</f>
        <v/>
      </c>
      <c r="N241" s="9" t="str">
        <f>if('Point Intercept 1'!O241 = 'Point Intercept 2'!N241, 'Point Intercept 1'!O241, "ERROR")</f>
        <v/>
      </c>
      <c r="O241" s="9" t="str">
        <f>if('Point Intercept 1'!P241 = 'Point Intercept 2'!O241, 'Point Intercept 1'!P241, "ERROR")</f>
        <v/>
      </c>
    </row>
    <row r="242">
      <c r="A242" s="9">
        <f>if('Point Intercept 1'!A242 = 'Point Intercept 2'!A242, 'Point Intercept 1'!A242, "ERROR")</f>
        <v>3</v>
      </c>
      <c r="B242" s="9">
        <f>if('Point Intercept 1'!B242 = 'Point Intercept 2'!B242, 'Point Intercept 1'!B242, "ERROR")</f>
        <v>2025</v>
      </c>
      <c r="C242" s="14">
        <f>if('Point Intercept 1'!C242 = 'Point Intercept 2'!C242, 'Point Intercept 1'!C242, "ERROR")</f>
        <v>45755</v>
      </c>
      <c r="D242" s="9" t="str">
        <f>if('Point Intercept 1'!D242 = 'Point Intercept 2'!D242, 'Point Intercept 1'!D242, "ERROR")</f>
        <v>JC, TL</v>
      </c>
      <c r="E242" s="9" t="str">
        <f>if('Point Intercept 1'!E242 = 'Point Intercept 2'!E242, 'Point Intercept 1'!E242, "ERROR")</f>
        <v>VB</v>
      </c>
      <c r="F242" s="9">
        <f>if('Point Intercept 1'!F242 = 'Point Intercept 2'!F242, 'Point Intercept 1'!F242, "ERROR")</f>
        <v>3</v>
      </c>
      <c r="G242" s="9" t="str">
        <f>if('Point Intercept 1'!G242 = 'Point Intercept 2'!G242, 'Point Intercept 1'!G242, "ERROR")</f>
        <v>LU</v>
      </c>
      <c r="H242" s="9">
        <f>if('Point Intercept 1'!I242 = 'Point Intercept 2'!I242, 'Point Intercept 1'!I242, "ERROR")</f>
        <v>13</v>
      </c>
      <c r="I242" s="9">
        <f>if('Point Intercept 1'!H242 = 'Point Intercept 2'!H242, 'Point Intercept 1'!H242, "ERROR")</f>
        <v>1</v>
      </c>
      <c r="J242" s="9">
        <f>if('Point Intercept 1'!J242 = 'Point Intercept 2'!J242, 'Point Intercept 1'!J242, "ERROR")</f>
        <v>6.5</v>
      </c>
      <c r="K242" s="9" t="str">
        <f>if('Point Intercept 1'!K242 = 'Point Intercept 2'!K242, 'Point Intercept 1'!K242, "ERROR")</f>
        <v>L</v>
      </c>
      <c r="L242" s="9" t="str">
        <f>if('Point Intercept 1'!L242 = 'Point Intercept 2'!L242, 'Point Intercept 1'!L242, "ERROR")</f>
        <v>Litter</v>
      </c>
      <c r="M242" s="9" t="str">
        <f>if('Point Intercept 1'!N242 = 'Point Intercept 2'!M242, 'Point Intercept 1'!N242, "ERROR")</f>
        <v/>
      </c>
      <c r="N242" s="9" t="str">
        <f>if('Point Intercept 1'!O242 = 'Point Intercept 2'!N242, 'Point Intercept 1'!O242, "ERROR")</f>
        <v/>
      </c>
      <c r="O242" s="9" t="str">
        <f>if('Point Intercept 1'!P242 = 'Point Intercept 2'!O242, 'Point Intercept 1'!P242, "ERROR")</f>
        <v/>
      </c>
    </row>
    <row r="243">
      <c r="A243" s="9">
        <f>if('Point Intercept 1'!A243 = 'Point Intercept 2'!A243, 'Point Intercept 1'!A243, "ERROR")</f>
        <v>3</v>
      </c>
      <c r="B243" s="9">
        <f>if('Point Intercept 1'!B243 = 'Point Intercept 2'!B243, 'Point Intercept 1'!B243, "ERROR")</f>
        <v>2025</v>
      </c>
      <c r="C243" s="14">
        <f>if('Point Intercept 1'!C243 = 'Point Intercept 2'!C243, 'Point Intercept 1'!C243, "ERROR")</f>
        <v>45755</v>
      </c>
      <c r="D243" s="9" t="str">
        <f>if('Point Intercept 1'!D243 = 'Point Intercept 2'!D243, 'Point Intercept 1'!D243, "ERROR")</f>
        <v>JC, TL</v>
      </c>
      <c r="E243" s="9" t="str">
        <f>if('Point Intercept 1'!E243 = 'Point Intercept 2'!E243, 'Point Intercept 1'!E243, "ERROR")</f>
        <v>VB</v>
      </c>
      <c r="F243" s="9">
        <f>if('Point Intercept 1'!F243 = 'Point Intercept 2'!F243, 'Point Intercept 1'!F243, "ERROR")</f>
        <v>3</v>
      </c>
      <c r="G243" s="9" t="str">
        <f>if('Point Intercept 1'!G243 = 'Point Intercept 2'!G243, 'Point Intercept 1'!G243, "ERROR")</f>
        <v>LU</v>
      </c>
      <c r="H243" s="9">
        <f>if('Point Intercept 1'!I243 = 'Point Intercept 2'!I243, 'Point Intercept 1'!I243, "ERROR")</f>
        <v>13</v>
      </c>
      <c r="I243" s="9">
        <f>if('Point Intercept 1'!H243 = 'Point Intercept 2'!H243, 'Point Intercept 1'!H243, "ERROR")</f>
        <v>1</v>
      </c>
      <c r="J243" s="9">
        <f>if('Point Intercept 1'!J243 = 'Point Intercept 2'!J243, 'Point Intercept 1'!J243, "ERROR")</f>
        <v>6.5</v>
      </c>
      <c r="K243" s="9" t="str">
        <f>if('Point Intercept 1'!K243 = 'Point Intercept 2'!K243, 'Point Intercept 1'!K243, "ERROR")</f>
        <v>DAUPUS</v>
      </c>
      <c r="L243" s="9" t="str">
        <f>if('Point Intercept 1'!L243 = 'Point Intercept 2'!L243, 'Point Intercept 1'!L243, "ERROR")</f>
        <v>Daucus pusillus</v>
      </c>
      <c r="M243" s="9" t="str">
        <f>if('Point Intercept 1'!N243 = 'Point Intercept 2'!M243, 'Point Intercept 1'!N243, "ERROR")</f>
        <v/>
      </c>
      <c r="N243" s="9" t="str">
        <f>if('Point Intercept 1'!O243 = 'Point Intercept 2'!N243, 'Point Intercept 1'!O243, "ERROR")</f>
        <v/>
      </c>
      <c r="O243" s="9" t="str">
        <f>if('Point Intercept 1'!P243 = 'Point Intercept 2'!O243, 'Point Intercept 1'!P243, "ERROR")</f>
        <v/>
      </c>
    </row>
    <row r="244">
      <c r="A244" s="9">
        <f>if('Point Intercept 1'!A244 = 'Point Intercept 2'!A244, 'Point Intercept 1'!A244, "ERROR")</f>
        <v>3</v>
      </c>
      <c r="B244" s="9">
        <f>if('Point Intercept 1'!B244 = 'Point Intercept 2'!B244, 'Point Intercept 1'!B244, "ERROR")</f>
        <v>2025</v>
      </c>
      <c r="C244" s="14">
        <f>if('Point Intercept 1'!C244 = 'Point Intercept 2'!C244, 'Point Intercept 1'!C244, "ERROR")</f>
        <v>45755</v>
      </c>
      <c r="D244" s="9" t="str">
        <f>if('Point Intercept 1'!D244 = 'Point Intercept 2'!D244, 'Point Intercept 1'!D244, "ERROR")</f>
        <v>JC, TL</v>
      </c>
      <c r="E244" s="9" t="str">
        <f>if('Point Intercept 1'!E244 = 'Point Intercept 2'!E244, 'Point Intercept 1'!E244, "ERROR")</f>
        <v>VB</v>
      </c>
      <c r="F244" s="9">
        <f>if('Point Intercept 1'!F244 = 'Point Intercept 2'!F244, 'Point Intercept 1'!F244, "ERROR")</f>
        <v>3</v>
      </c>
      <c r="G244" s="9" t="str">
        <f>if('Point Intercept 1'!G244 = 'Point Intercept 2'!G244, 'Point Intercept 1'!G244, "ERROR")</f>
        <v>LU</v>
      </c>
      <c r="H244" s="9">
        <f>if('Point Intercept 1'!I244 = 'Point Intercept 2'!I244, 'Point Intercept 1'!I244, "ERROR")</f>
        <v>13</v>
      </c>
      <c r="I244" s="9">
        <f>if('Point Intercept 1'!H244 = 'Point Intercept 2'!H244, 'Point Intercept 1'!H244, "ERROR")</f>
        <v>1</v>
      </c>
      <c r="J244" s="9">
        <f>if('Point Intercept 1'!J244 = 'Point Intercept 2'!J244, 'Point Intercept 1'!J244, "ERROR")</f>
        <v>6.5</v>
      </c>
      <c r="K244" s="9" t="str">
        <f>if('Point Intercept 1'!K244 = 'Point Intercept 2'!K244, 'Point Intercept 1'!K244, "ERROR")</f>
        <v>DEIFAS</v>
      </c>
      <c r="L244" s="9" t="str">
        <f>if('Point Intercept 1'!L244 = 'Point Intercept 2'!L244, 'Point Intercept 1'!L244, "ERROR")</f>
        <v>Deinandra fasciculata</v>
      </c>
      <c r="M244" s="9" t="str">
        <f>if('Point Intercept 1'!N244 = 'Point Intercept 2'!M244, 'Point Intercept 1'!N244, "ERROR")</f>
        <v/>
      </c>
      <c r="N244" s="9" t="str">
        <f>if('Point Intercept 1'!O244 = 'Point Intercept 2'!N244, 'Point Intercept 1'!O244, "ERROR")</f>
        <v/>
      </c>
      <c r="O244" s="9" t="str">
        <f>if('Point Intercept 1'!P244 = 'Point Intercept 2'!O244, 'Point Intercept 1'!P244, "ERROR")</f>
        <v/>
      </c>
    </row>
    <row r="245">
      <c r="A245" s="9">
        <f>if('Point Intercept 1'!A245 = 'Point Intercept 2'!A245, 'Point Intercept 1'!A245, "ERROR")</f>
        <v>3</v>
      </c>
      <c r="B245" s="9">
        <f>if('Point Intercept 1'!B245 = 'Point Intercept 2'!B245, 'Point Intercept 1'!B245, "ERROR")</f>
        <v>2025</v>
      </c>
      <c r="C245" s="14">
        <f>if('Point Intercept 1'!C245 = 'Point Intercept 2'!C245, 'Point Intercept 1'!C245, "ERROR")</f>
        <v>45755</v>
      </c>
      <c r="D245" s="9" t="str">
        <f>if('Point Intercept 1'!D245 = 'Point Intercept 2'!D245, 'Point Intercept 1'!D245, "ERROR")</f>
        <v>JC, TL</v>
      </c>
      <c r="E245" s="9" t="str">
        <f>if('Point Intercept 1'!E245 = 'Point Intercept 2'!E245, 'Point Intercept 1'!E245, "ERROR")</f>
        <v>VB</v>
      </c>
      <c r="F245" s="9">
        <f>if('Point Intercept 1'!F245 = 'Point Intercept 2'!F245, 'Point Intercept 1'!F245, "ERROR")</f>
        <v>3</v>
      </c>
      <c r="G245" s="9" t="str">
        <f>if('Point Intercept 1'!G245 = 'Point Intercept 2'!G245, 'Point Intercept 1'!G245, "ERROR")</f>
        <v>LU</v>
      </c>
      <c r="H245" s="9">
        <f>if('Point Intercept 1'!I245 = 'Point Intercept 2'!I245, 'Point Intercept 1'!I245, "ERROR")</f>
        <v>13</v>
      </c>
      <c r="I245" s="9">
        <f>if('Point Intercept 1'!H245 = 'Point Intercept 2'!H245, 'Point Intercept 1'!H245, "ERROR")</f>
        <v>1</v>
      </c>
      <c r="J245" s="9">
        <f>if('Point Intercept 1'!J245 = 'Point Intercept 2'!J245, 'Point Intercept 1'!J245, "ERROR")</f>
        <v>6.5</v>
      </c>
      <c r="K245" s="9" t="str">
        <f>if('Point Intercept 1'!K245 = 'Point Intercept 2'!K245, 'Point Intercept 1'!K245, "ERROR")</f>
        <v>MEDPOL</v>
      </c>
      <c r="L245" s="9" t="str">
        <f>if('Point Intercept 1'!L245 = 'Point Intercept 2'!L245, 'Point Intercept 1'!L245, "ERROR")</f>
        <v>Medicago polymorpha</v>
      </c>
      <c r="M245" s="9" t="str">
        <f>if('Point Intercept 1'!N245 = 'Point Intercept 2'!M245, 'Point Intercept 1'!N245, "ERROR")</f>
        <v/>
      </c>
      <c r="N245" s="9" t="str">
        <f>if('Point Intercept 1'!O245 = 'Point Intercept 2'!N245, 'Point Intercept 1'!O245, "ERROR")</f>
        <v/>
      </c>
      <c r="O245" s="9" t="str">
        <f>if('Point Intercept 1'!P245 = 'Point Intercept 2'!O245, 'Point Intercept 1'!P245, "ERROR")</f>
        <v/>
      </c>
    </row>
    <row r="246">
      <c r="A246" s="9">
        <f>if('Point Intercept 1'!A246 = 'Point Intercept 2'!A246, 'Point Intercept 1'!A246, "ERROR")</f>
        <v>3</v>
      </c>
      <c r="B246" s="9">
        <f>if('Point Intercept 1'!B246 = 'Point Intercept 2'!B246, 'Point Intercept 1'!B246, "ERROR")</f>
        <v>2025</v>
      </c>
      <c r="C246" s="14">
        <f>if('Point Intercept 1'!C246 = 'Point Intercept 2'!C246, 'Point Intercept 1'!C246, "ERROR")</f>
        <v>45755</v>
      </c>
      <c r="D246" s="9" t="str">
        <f>if('Point Intercept 1'!D246 = 'Point Intercept 2'!D246, 'Point Intercept 1'!D246, "ERROR")</f>
        <v>JC, TL</v>
      </c>
      <c r="E246" s="9" t="str">
        <f>if('Point Intercept 1'!E246 = 'Point Intercept 2'!E246, 'Point Intercept 1'!E246, "ERROR")</f>
        <v>VB</v>
      </c>
      <c r="F246" s="9">
        <f>if('Point Intercept 1'!F246 = 'Point Intercept 2'!F246, 'Point Intercept 1'!F246, "ERROR")</f>
        <v>3</v>
      </c>
      <c r="G246" s="9" t="str">
        <f>if('Point Intercept 1'!G246 = 'Point Intercept 2'!G246, 'Point Intercept 1'!G246, "ERROR")</f>
        <v>LU</v>
      </c>
      <c r="H246" s="9">
        <f>if('Point Intercept 1'!I246 = 'Point Intercept 2'!I246, 'Point Intercept 1'!I246, "ERROR")</f>
        <v>13</v>
      </c>
      <c r="I246" s="9">
        <f>if('Point Intercept 1'!H246 = 'Point Intercept 2'!H246, 'Point Intercept 1'!H246, "ERROR")</f>
        <v>1</v>
      </c>
      <c r="J246" s="9">
        <f>if('Point Intercept 1'!J246 = 'Point Intercept 2'!J246, 'Point Intercept 1'!J246, "ERROR")</f>
        <v>6.5</v>
      </c>
      <c r="K246" s="9" t="str">
        <f>if('Point Intercept 1'!K246 = 'Point Intercept 2'!K246, 'Point Intercept 1'!K246, "ERROR")</f>
        <v>FESMYU</v>
      </c>
      <c r="L246" s="9" t="str">
        <f>if('Point Intercept 1'!L246 = 'Point Intercept 2'!L246, 'Point Intercept 1'!L246, "ERROR")</f>
        <v>Festuca myuros</v>
      </c>
      <c r="M246" s="9" t="str">
        <f>if('Point Intercept 1'!N246 = 'Point Intercept 2'!M246, 'Point Intercept 1'!N246, "ERROR")</f>
        <v/>
      </c>
      <c r="N246" s="9" t="str">
        <f>if('Point Intercept 1'!O246 = 'Point Intercept 2'!N246, 'Point Intercept 1'!O246, "ERROR")</f>
        <v/>
      </c>
      <c r="O246" s="9" t="str">
        <f>if('Point Intercept 1'!P246 = 'Point Intercept 2'!O246, 'Point Intercept 1'!P246, "ERROR")</f>
        <v/>
      </c>
    </row>
    <row r="247">
      <c r="A247" s="9">
        <f>if('Point Intercept 1'!A247 = 'Point Intercept 2'!A247, 'Point Intercept 1'!A247, "ERROR")</f>
        <v>3</v>
      </c>
      <c r="B247" s="9">
        <f>if('Point Intercept 1'!B247 = 'Point Intercept 2'!B247, 'Point Intercept 1'!B247, "ERROR")</f>
        <v>2025</v>
      </c>
      <c r="C247" s="14">
        <f>if('Point Intercept 1'!C247 = 'Point Intercept 2'!C247, 'Point Intercept 1'!C247, "ERROR")</f>
        <v>45755</v>
      </c>
      <c r="D247" s="9" t="str">
        <f>if('Point Intercept 1'!D247 = 'Point Intercept 2'!D247, 'Point Intercept 1'!D247, "ERROR")</f>
        <v>JC, TL</v>
      </c>
      <c r="E247" s="9" t="str">
        <f>if('Point Intercept 1'!E247 = 'Point Intercept 2'!E247, 'Point Intercept 1'!E247, "ERROR")</f>
        <v>VB</v>
      </c>
      <c r="F247" s="9">
        <f>if('Point Intercept 1'!F247 = 'Point Intercept 2'!F247, 'Point Intercept 1'!F247, "ERROR")</f>
        <v>3</v>
      </c>
      <c r="G247" s="9" t="str">
        <f>if('Point Intercept 1'!G247 = 'Point Intercept 2'!G247, 'Point Intercept 1'!G247, "ERROR")</f>
        <v>LU</v>
      </c>
      <c r="H247" s="9">
        <f>if('Point Intercept 1'!I247 = 'Point Intercept 2'!I247, 'Point Intercept 1'!I247, "ERROR")</f>
        <v>14</v>
      </c>
      <c r="I247" s="9">
        <f>if('Point Intercept 1'!H247 = 'Point Intercept 2'!H247, 'Point Intercept 1'!H247, "ERROR")</f>
        <v>1</v>
      </c>
      <c r="J247" s="9">
        <f>if('Point Intercept 1'!J247 = 'Point Intercept 2'!J247, 'Point Intercept 1'!J247, "ERROR")</f>
        <v>7</v>
      </c>
      <c r="K247" s="9" t="str">
        <f>if('Point Intercept 1'!K247 = 'Point Intercept 2'!K247, 'Point Intercept 1'!K247, "ERROR")</f>
        <v>S</v>
      </c>
      <c r="L247" s="9" t="str">
        <f>if('Point Intercept 1'!L247 = 'Point Intercept 2'!L247, 'Point Intercept 1'!L247, "ERROR")</f>
        <v>Stem</v>
      </c>
      <c r="M247" s="9" t="str">
        <f>if('Point Intercept 1'!N247 = 'Point Intercept 2'!M247, 'Point Intercept 1'!N247, "ERROR")</f>
        <v/>
      </c>
      <c r="N247" s="9" t="str">
        <f>if('Point Intercept 1'!O247 = 'Point Intercept 2'!N247, 'Point Intercept 1'!O247, "ERROR")</f>
        <v/>
      </c>
      <c r="O247" s="9" t="str">
        <f>if('Point Intercept 1'!P247 = 'Point Intercept 2'!O247, 'Point Intercept 1'!P247, "ERROR")</f>
        <v/>
      </c>
    </row>
    <row r="248">
      <c r="A248" s="9">
        <f>if('Point Intercept 1'!A248 = 'Point Intercept 2'!A248, 'Point Intercept 1'!A248, "ERROR")</f>
        <v>3</v>
      </c>
      <c r="B248" s="9">
        <f>if('Point Intercept 1'!B248 = 'Point Intercept 2'!B248, 'Point Intercept 1'!B248, "ERROR")</f>
        <v>2025</v>
      </c>
      <c r="C248" s="14">
        <f>if('Point Intercept 1'!C248 = 'Point Intercept 2'!C248, 'Point Intercept 1'!C248, "ERROR")</f>
        <v>45755</v>
      </c>
      <c r="D248" s="9" t="str">
        <f>if('Point Intercept 1'!D248 = 'Point Intercept 2'!D248, 'Point Intercept 1'!D248, "ERROR")</f>
        <v>JC, TL</v>
      </c>
      <c r="E248" s="9" t="str">
        <f>if('Point Intercept 1'!E248 = 'Point Intercept 2'!E248, 'Point Intercept 1'!E248, "ERROR")</f>
        <v>VB</v>
      </c>
      <c r="F248" s="9">
        <f>if('Point Intercept 1'!F248 = 'Point Intercept 2'!F248, 'Point Intercept 1'!F248, "ERROR")</f>
        <v>3</v>
      </c>
      <c r="G248" s="9" t="str">
        <f>if('Point Intercept 1'!G248 = 'Point Intercept 2'!G248, 'Point Intercept 1'!G248, "ERROR")</f>
        <v>LU</v>
      </c>
      <c r="H248" s="9">
        <f>if('Point Intercept 1'!I248 = 'Point Intercept 2'!I248, 'Point Intercept 1'!I248, "ERROR")</f>
        <v>14</v>
      </c>
      <c r="I248" s="9">
        <f>if('Point Intercept 1'!H248 = 'Point Intercept 2'!H248, 'Point Intercept 1'!H248, "ERROR")</f>
        <v>1</v>
      </c>
      <c r="J248" s="9">
        <f>if('Point Intercept 1'!J248 = 'Point Intercept 2'!J248, 'Point Intercept 1'!J248, "ERROR")</f>
        <v>7</v>
      </c>
      <c r="K248" s="9" t="str">
        <f>if('Point Intercept 1'!K248 = 'Point Intercept 2'!K248, 'Point Intercept 1'!K248, "ERROR")</f>
        <v>MEDPOL</v>
      </c>
      <c r="L248" s="9" t="str">
        <f>if('Point Intercept 1'!L248 = 'Point Intercept 2'!L248, 'Point Intercept 1'!L248, "ERROR")</f>
        <v>Medicago polymorpha</v>
      </c>
      <c r="M248" s="9" t="str">
        <f>if('Point Intercept 1'!N248 = 'Point Intercept 2'!M248, 'Point Intercept 1'!N248, "ERROR")</f>
        <v/>
      </c>
      <c r="N248" s="9" t="str">
        <f>if('Point Intercept 1'!O248 = 'Point Intercept 2'!N248, 'Point Intercept 1'!O248, "ERROR")</f>
        <v/>
      </c>
      <c r="O248" s="9" t="str">
        <f>if('Point Intercept 1'!P248 = 'Point Intercept 2'!O248, 'Point Intercept 1'!P248, "ERROR")</f>
        <v/>
      </c>
    </row>
    <row r="249">
      <c r="A249" s="9">
        <f>if('Point Intercept 1'!A249 = 'Point Intercept 2'!A249, 'Point Intercept 1'!A249, "ERROR")</f>
        <v>3</v>
      </c>
      <c r="B249" s="9">
        <f>if('Point Intercept 1'!B249 = 'Point Intercept 2'!B249, 'Point Intercept 1'!B249, "ERROR")</f>
        <v>2025</v>
      </c>
      <c r="C249" s="14">
        <f>if('Point Intercept 1'!C249 = 'Point Intercept 2'!C249, 'Point Intercept 1'!C249, "ERROR")</f>
        <v>45755</v>
      </c>
      <c r="D249" s="9" t="str">
        <f>if('Point Intercept 1'!D249 = 'Point Intercept 2'!D249, 'Point Intercept 1'!D249, "ERROR")</f>
        <v>JC, TL</v>
      </c>
      <c r="E249" s="9" t="str">
        <f>if('Point Intercept 1'!E249 = 'Point Intercept 2'!E249, 'Point Intercept 1'!E249, "ERROR")</f>
        <v>VB</v>
      </c>
      <c r="F249" s="9">
        <f>if('Point Intercept 1'!F249 = 'Point Intercept 2'!F249, 'Point Intercept 1'!F249, "ERROR")</f>
        <v>3</v>
      </c>
      <c r="G249" s="9" t="str">
        <f>if('Point Intercept 1'!G249 = 'Point Intercept 2'!G249, 'Point Intercept 1'!G249, "ERROR")</f>
        <v>LU</v>
      </c>
      <c r="H249" s="9">
        <f>if('Point Intercept 1'!I249 = 'Point Intercept 2'!I249, 'Point Intercept 1'!I249, "ERROR")</f>
        <v>14</v>
      </c>
      <c r="I249" s="9">
        <f>if('Point Intercept 1'!H249 = 'Point Intercept 2'!H249, 'Point Intercept 1'!H249, "ERROR")</f>
        <v>1</v>
      </c>
      <c r="J249" s="9">
        <f>if('Point Intercept 1'!J249 = 'Point Intercept 2'!J249, 'Point Intercept 1'!J249, "ERROR")</f>
        <v>7</v>
      </c>
      <c r="K249" s="9" t="str">
        <f>if('Point Intercept 1'!K249 = 'Point Intercept 2'!K249, 'Point Intercept 1'!K249, "ERROR")</f>
        <v>OPULIT</v>
      </c>
      <c r="L249" s="9" t="str">
        <f>if('Point Intercept 1'!L249 = 'Point Intercept 2'!L249, 'Point Intercept 1'!L249, "ERROR")</f>
        <v>Opuntia littoralis</v>
      </c>
      <c r="M249" s="9" t="str">
        <f>if('Point Intercept 1'!N249 = 'Point Intercept 2'!M249, 'Point Intercept 1'!N249, "ERROR")</f>
        <v/>
      </c>
      <c r="N249" s="9" t="str">
        <f>if('Point Intercept 1'!O249 = 'Point Intercept 2'!N249, 'Point Intercept 1'!O249, "ERROR")</f>
        <v/>
      </c>
      <c r="O249" s="9" t="str">
        <f>if('Point Intercept 1'!P249 = 'Point Intercept 2'!O249, 'Point Intercept 1'!P249, "ERROR")</f>
        <v/>
      </c>
    </row>
    <row r="250">
      <c r="A250" s="9">
        <f>if('Point Intercept 1'!A250 = 'Point Intercept 2'!A250, 'Point Intercept 1'!A250, "ERROR")</f>
        <v>3</v>
      </c>
      <c r="B250" s="9">
        <f>if('Point Intercept 1'!B250 = 'Point Intercept 2'!B250, 'Point Intercept 1'!B250, "ERROR")</f>
        <v>2025</v>
      </c>
      <c r="C250" s="14">
        <f>if('Point Intercept 1'!C250 = 'Point Intercept 2'!C250, 'Point Intercept 1'!C250, "ERROR")</f>
        <v>45755</v>
      </c>
      <c r="D250" s="9" t="str">
        <f>if('Point Intercept 1'!D250 = 'Point Intercept 2'!D250, 'Point Intercept 1'!D250, "ERROR")</f>
        <v>JC, TL</v>
      </c>
      <c r="E250" s="9" t="str">
        <f>if('Point Intercept 1'!E250 = 'Point Intercept 2'!E250, 'Point Intercept 1'!E250, "ERROR")</f>
        <v>VB</v>
      </c>
      <c r="F250" s="9">
        <f>if('Point Intercept 1'!F250 = 'Point Intercept 2'!F250, 'Point Intercept 1'!F250, "ERROR")</f>
        <v>3</v>
      </c>
      <c r="G250" s="9" t="str">
        <f>if('Point Intercept 1'!G250 = 'Point Intercept 2'!G250, 'Point Intercept 1'!G250, "ERROR")</f>
        <v>LU</v>
      </c>
      <c r="H250" s="9">
        <f>if('Point Intercept 1'!I250 = 'Point Intercept 2'!I250, 'Point Intercept 1'!I250, "ERROR")</f>
        <v>15</v>
      </c>
      <c r="I250" s="9">
        <f>if('Point Intercept 1'!H250 = 'Point Intercept 2'!H250, 'Point Intercept 1'!H250, "ERROR")</f>
        <v>1</v>
      </c>
      <c r="J250" s="9">
        <f>if('Point Intercept 1'!J250 = 'Point Intercept 2'!J250, 'Point Intercept 1'!J250, "ERROR")</f>
        <v>7.5</v>
      </c>
      <c r="K250" s="9" t="str">
        <f>if('Point Intercept 1'!K250 = 'Point Intercept 2'!K250, 'Point Intercept 1'!K250, "ERROR")</f>
        <v>L</v>
      </c>
      <c r="L250" s="9" t="str">
        <f>if('Point Intercept 1'!L250 = 'Point Intercept 2'!L250, 'Point Intercept 1'!L250, "ERROR")</f>
        <v>Litter</v>
      </c>
      <c r="M250" s="9" t="str">
        <f>if('Point Intercept 1'!N250 = 'Point Intercept 2'!M250, 'Point Intercept 1'!N250, "ERROR")</f>
        <v/>
      </c>
      <c r="N250" s="9" t="str">
        <f>if('Point Intercept 1'!O250 = 'Point Intercept 2'!N250, 'Point Intercept 1'!O250, "ERROR")</f>
        <v/>
      </c>
      <c r="O250" s="9" t="str">
        <f>if('Point Intercept 1'!P250 = 'Point Intercept 2'!O250, 'Point Intercept 1'!P250, "ERROR")</f>
        <v/>
      </c>
    </row>
    <row r="251">
      <c r="A251" s="9">
        <f>if('Point Intercept 1'!A251 = 'Point Intercept 2'!A251, 'Point Intercept 1'!A251, "ERROR")</f>
        <v>3</v>
      </c>
      <c r="B251" s="9">
        <f>if('Point Intercept 1'!B251 = 'Point Intercept 2'!B251, 'Point Intercept 1'!B251, "ERROR")</f>
        <v>2025</v>
      </c>
      <c r="C251" s="14">
        <f>if('Point Intercept 1'!C251 = 'Point Intercept 2'!C251, 'Point Intercept 1'!C251, "ERROR")</f>
        <v>45755</v>
      </c>
      <c r="D251" s="9" t="str">
        <f>if('Point Intercept 1'!D251 = 'Point Intercept 2'!D251, 'Point Intercept 1'!D251, "ERROR")</f>
        <v>JC, TL</v>
      </c>
      <c r="E251" s="9" t="str">
        <f>if('Point Intercept 1'!E251 = 'Point Intercept 2'!E251, 'Point Intercept 1'!E251, "ERROR")</f>
        <v>VB</v>
      </c>
      <c r="F251" s="9">
        <f>if('Point Intercept 1'!F251 = 'Point Intercept 2'!F251, 'Point Intercept 1'!F251, "ERROR")</f>
        <v>3</v>
      </c>
      <c r="G251" s="9" t="str">
        <f>if('Point Intercept 1'!G251 = 'Point Intercept 2'!G251, 'Point Intercept 1'!G251, "ERROR")</f>
        <v>LU</v>
      </c>
      <c r="H251" s="9">
        <f>if('Point Intercept 1'!I251 = 'Point Intercept 2'!I251, 'Point Intercept 1'!I251, "ERROR")</f>
        <v>15</v>
      </c>
      <c r="I251" s="9">
        <f>if('Point Intercept 1'!H251 = 'Point Intercept 2'!H251, 'Point Intercept 1'!H251, "ERROR")</f>
        <v>1</v>
      </c>
      <c r="J251" s="9">
        <f>if('Point Intercept 1'!J251 = 'Point Intercept 2'!J251, 'Point Intercept 1'!J251, "ERROR")</f>
        <v>7.5</v>
      </c>
      <c r="K251" s="9" t="str">
        <f>if('Point Intercept 1'!K251 = 'Point Intercept 2'!K251, 'Point Intercept 1'!K251, "ERROR")</f>
        <v>FESMYU</v>
      </c>
      <c r="L251" s="9" t="str">
        <f>if('Point Intercept 1'!L251 = 'Point Intercept 2'!L251, 'Point Intercept 1'!L251, "ERROR")</f>
        <v>Festuca myuros</v>
      </c>
      <c r="M251" s="9" t="str">
        <f>if('Point Intercept 1'!N251 = 'Point Intercept 2'!M251, 'Point Intercept 1'!N251, "ERROR")</f>
        <v/>
      </c>
      <c r="N251" s="9" t="str">
        <f>if('Point Intercept 1'!O251 = 'Point Intercept 2'!N251, 'Point Intercept 1'!O251, "ERROR")</f>
        <v/>
      </c>
      <c r="O251" s="9" t="str">
        <f>if('Point Intercept 1'!P251 = 'Point Intercept 2'!O251, 'Point Intercept 1'!P251, "ERROR")</f>
        <v/>
      </c>
    </row>
    <row r="252">
      <c r="A252" s="9">
        <f>if('Point Intercept 1'!A252 = 'Point Intercept 2'!A252, 'Point Intercept 1'!A252, "ERROR")</f>
        <v>3</v>
      </c>
      <c r="B252" s="9">
        <f>if('Point Intercept 1'!B252 = 'Point Intercept 2'!B252, 'Point Intercept 1'!B252, "ERROR")</f>
        <v>2025</v>
      </c>
      <c r="C252" s="14">
        <f>if('Point Intercept 1'!C252 = 'Point Intercept 2'!C252, 'Point Intercept 1'!C252, "ERROR")</f>
        <v>45755</v>
      </c>
      <c r="D252" s="9" t="str">
        <f>if('Point Intercept 1'!D252 = 'Point Intercept 2'!D252, 'Point Intercept 1'!D252, "ERROR")</f>
        <v>JC, TL</v>
      </c>
      <c r="E252" s="9" t="str">
        <f>if('Point Intercept 1'!E252 = 'Point Intercept 2'!E252, 'Point Intercept 1'!E252, "ERROR")</f>
        <v>VB</v>
      </c>
      <c r="F252" s="9">
        <f>if('Point Intercept 1'!F252 = 'Point Intercept 2'!F252, 'Point Intercept 1'!F252, "ERROR")</f>
        <v>3</v>
      </c>
      <c r="G252" s="9" t="str">
        <f>if('Point Intercept 1'!G252 = 'Point Intercept 2'!G252, 'Point Intercept 1'!G252, "ERROR")</f>
        <v>LU</v>
      </c>
      <c r="H252" s="9">
        <f>if('Point Intercept 1'!I252 = 'Point Intercept 2'!I252, 'Point Intercept 1'!I252, "ERROR")</f>
        <v>15</v>
      </c>
      <c r="I252" s="9">
        <f>if('Point Intercept 1'!H252 = 'Point Intercept 2'!H252, 'Point Intercept 1'!H252, "ERROR")</f>
        <v>1</v>
      </c>
      <c r="J252" s="9">
        <f>if('Point Intercept 1'!J252 = 'Point Intercept 2'!J252, 'Point Intercept 1'!J252, "ERROR")</f>
        <v>7.5</v>
      </c>
      <c r="K252" s="9" t="str">
        <f>if('Point Intercept 1'!K252 = 'Point Intercept 2'!K252, 'Point Intercept 1'!K252, "ERROR")</f>
        <v>DEIFAS</v>
      </c>
      <c r="L252" s="9" t="str">
        <f>if('Point Intercept 1'!L252 = 'Point Intercept 2'!L252, 'Point Intercept 1'!L252, "ERROR")</f>
        <v>Deinandra fasciculata</v>
      </c>
      <c r="M252" s="9" t="str">
        <f>if('Point Intercept 1'!N252 = 'Point Intercept 2'!M252, 'Point Intercept 1'!N252, "ERROR")</f>
        <v/>
      </c>
      <c r="N252" s="9" t="str">
        <f>if('Point Intercept 1'!O252 = 'Point Intercept 2'!N252, 'Point Intercept 1'!O252, "ERROR")</f>
        <v/>
      </c>
      <c r="O252" s="9" t="str">
        <f>if('Point Intercept 1'!P252 = 'Point Intercept 2'!O252, 'Point Intercept 1'!P252, "ERROR")</f>
        <v/>
      </c>
    </row>
    <row r="253">
      <c r="A253" s="9">
        <f>if('Point Intercept 1'!A253 = 'Point Intercept 2'!A253, 'Point Intercept 1'!A253, "ERROR")</f>
        <v>3</v>
      </c>
      <c r="B253" s="9">
        <f>if('Point Intercept 1'!B253 = 'Point Intercept 2'!B253, 'Point Intercept 1'!B253, "ERROR")</f>
        <v>2025</v>
      </c>
      <c r="C253" s="14">
        <f>if('Point Intercept 1'!C253 = 'Point Intercept 2'!C253, 'Point Intercept 1'!C253, "ERROR")</f>
        <v>45755</v>
      </c>
      <c r="D253" s="9" t="str">
        <f>if('Point Intercept 1'!D253 = 'Point Intercept 2'!D253, 'Point Intercept 1'!D253, "ERROR")</f>
        <v>JC, TL</v>
      </c>
      <c r="E253" s="9" t="str">
        <f>if('Point Intercept 1'!E253 = 'Point Intercept 2'!E253, 'Point Intercept 1'!E253, "ERROR")</f>
        <v>VB</v>
      </c>
      <c r="F253" s="9">
        <f>if('Point Intercept 1'!F253 = 'Point Intercept 2'!F253, 'Point Intercept 1'!F253, "ERROR")</f>
        <v>3</v>
      </c>
      <c r="G253" s="9" t="str">
        <f>if('Point Intercept 1'!G253 = 'Point Intercept 2'!G253, 'Point Intercept 1'!G253, "ERROR")</f>
        <v>LU</v>
      </c>
      <c r="H253" s="9">
        <f>if('Point Intercept 1'!I253 = 'Point Intercept 2'!I253, 'Point Intercept 1'!I253, "ERROR")</f>
        <v>15</v>
      </c>
      <c r="I253" s="9">
        <f>if('Point Intercept 1'!H253 = 'Point Intercept 2'!H253, 'Point Intercept 1'!H253, "ERROR")</f>
        <v>1</v>
      </c>
      <c r="J253" s="9">
        <f>if('Point Intercept 1'!J253 = 'Point Intercept 2'!J253, 'Point Intercept 1'!J253, "ERROR")</f>
        <v>7.5</v>
      </c>
      <c r="K253" s="9" t="str">
        <f>if('Point Intercept 1'!K253 = 'Point Intercept 2'!K253, 'Point Intercept 1'!K253, "ERROR")</f>
        <v>CENMEL</v>
      </c>
      <c r="L253" s="9" t="str">
        <f>if('Point Intercept 1'!L253 = 'Point Intercept 2'!L253, 'Point Intercept 1'!L253, "ERROR")</f>
        <v>Centaurea melitensis</v>
      </c>
      <c r="M253" s="9" t="str">
        <f>if('Point Intercept 1'!N253 = 'Point Intercept 2'!M253, 'Point Intercept 1'!N253, "ERROR")</f>
        <v/>
      </c>
      <c r="N253" s="9" t="str">
        <f>if('Point Intercept 1'!O253 = 'Point Intercept 2'!N253, 'Point Intercept 1'!O253, "ERROR")</f>
        <v/>
      </c>
      <c r="O253" s="9" t="str">
        <f>if('Point Intercept 1'!P253 = 'Point Intercept 2'!O253, 'Point Intercept 1'!P253, "ERROR")</f>
        <v/>
      </c>
    </row>
    <row r="254">
      <c r="A254" s="9">
        <f>if('Point Intercept 1'!A254 = 'Point Intercept 2'!A254, 'Point Intercept 1'!A254, "ERROR")</f>
        <v>3</v>
      </c>
      <c r="B254" s="9">
        <f>if('Point Intercept 1'!B254 = 'Point Intercept 2'!B254, 'Point Intercept 1'!B254, "ERROR")</f>
        <v>2025</v>
      </c>
      <c r="C254" s="14">
        <f>if('Point Intercept 1'!C254 = 'Point Intercept 2'!C254, 'Point Intercept 1'!C254, "ERROR")</f>
        <v>45755</v>
      </c>
      <c r="D254" s="9" t="str">
        <f>if('Point Intercept 1'!D254 = 'Point Intercept 2'!D254, 'Point Intercept 1'!D254, "ERROR")</f>
        <v>JC, TL</v>
      </c>
      <c r="E254" s="9" t="str">
        <f>if('Point Intercept 1'!E254 = 'Point Intercept 2'!E254, 'Point Intercept 1'!E254, "ERROR")</f>
        <v>VB</v>
      </c>
      <c r="F254" s="9">
        <f>if('Point Intercept 1'!F254 = 'Point Intercept 2'!F254, 'Point Intercept 1'!F254, "ERROR")</f>
        <v>3</v>
      </c>
      <c r="G254" s="9" t="str">
        <f>if('Point Intercept 1'!G254 = 'Point Intercept 2'!G254, 'Point Intercept 1'!G254, "ERROR")</f>
        <v>LU</v>
      </c>
      <c r="H254" s="9">
        <f>if('Point Intercept 1'!I254 = 'Point Intercept 2'!I254, 'Point Intercept 1'!I254, "ERROR")</f>
        <v>1</v>
      </c>
      <c r="I254" s="9">
        <f>if('Point Intercept 1'!H254 = 'Point Intercept 2'!H254, 'Point Intercept 1'!H254, "ERROR")</f>
        <v>2</v>
      </c>
      <c r="J254" s="9">
        <f>if('Point Intercept 1'!J254 = 'Point Intercept 2'!J254, 'Point Intercept 1'!J254, "ERROR")</f>
        <v>0</v>
      </c>
      <c r="K254" s="9" t="str">
        <f>if('Point Intercept 1'!K254 = 'Point Intercept 2'!K254, 'Point Intercept 1'!K254, "ERROR")</f>
        <v>L</v>
      </c>
      <c r="L254" s="9" t="str">
        <f>if('Point Intercept 1'!L254 = 'Point Intercept 2'!L254, 'Point Intercept 1'!L254, "ERROR")</f>
        <v>Litter</v>
      </c>
      <c r="M254" s="9" t="str">
        <f>if('Point Intercept 1'!N254 = 'Point Intercept 2'!M254, 'Point Intercept 1'!N254, "ERROR")</f>
        <v/>
      </c>
      <c r="N254" s="9" t="str">
        <f>if('Point Intercept 1'!O254 = 'Point Intercept 2'!N254, 'Point Intercept 1'!O254, "ERROR")</f>
        <v/>
      </c>
      <c r="O254" s="9" t="str">
        <f>if('Point Intercept 1'!P254 = 'Point Intercept 2'!O254, 'Point Intercept 1'!P254, "ERROR")</f>
        <v/>
      </c>
    </row>
    <row r="255">
      <c r="A255" s="9">
        <f>if('Point Intercept 1'!A255 = 'Point Intercept 2'!A255, 'Point Intercept 1'!A255, "ERROR")</f>
        <v>3</v>
      </c>
      <c r="B255" s="9">
        <f>if('Point Intercept 1'!B255 = 'Point Intercept 2'!B255, 'Point Intercept 1'!B255, "ERROR")</f>
        <v>2025</v>
      </c>
      <c r="C255" s="14">
        <f>if('Point Intercept 1'!C255 = 'Point Intercept 2'!C255, 'Point Intercept 1'!C255, "ERROR")</f>
        <v>45755</v>
      </c>
      <c r="D255" s="9" t="str">
        <f>if('Point Intercept 1'!D255 = 'Point Intercept 2'!D255, 'Point Intercept 1'!D255, "ERROR")</f>
        <v>JC, TL</v>
      </c>
      <c r="E255" s="9" t="str">
        <f>if('Point Intercept 1'!E255 = 'Point Intercept 2'!E255, 'Point Intercept 1'!E255, "ERROR")</f>
        <v>VB</v>
      </c>
      <c r="F255" s="9">
        <f>if('Point Intercept 1'!F255 = 'Point Intercept 2'!F255, 'Point Intercept 1'!F255, "ERROR")</f>
        <v>3</v>
      </c>
      <c r="G255" s="9" t="str">
        <f>if('Point Intercept 1'!G255 = 'Point Intercept 2'!G255, 'Point Intercept 1'!G255, "ERROR")</f>
        <v>LU</v>
      </c>
      <c r="H255" s="9">
        <f>if('Point Intercept 1'!I255 = 'Point Intercept 2'!I255, 'Point Intercept 1'!I255, "ERROR")</f>
        <v>1</v>
      </c>
      <c r="I255" s="9">
        <f>if('Point Intercept 1'!H255 = 'Point Intercept 2'!H255, 'Point Intercept 1'!H255, "ERROR")</f>
        <v>2</v>
      </c>
      <c r="J255" s="9">
        <f>if('Point Intercept 1'!J255 = 'Point Intercept 2'!J255, 'Point Intercept 1'!J255, "ERROR")</f>
        <v>0</v>
      </c>
      <c r="K255" s="9" t="str">
        <f>if('Point Intercept 1'!K255 = 'Point Intercept 2'!K255, 'Point Intercept 1'!K255, "ERROR")</f>
        <v>ANAARV</v>
      </c>
      <c r="L255" s="9" t="str">
        <f>if('Point Intercept 1'!L255 = 'Point Intercept 2'!L255, 'Point Intercept 1'!L255, "ERROR")</f>
        <v>Anagallis arvensis</v>
      </c>
      <c r="M255" s="9" t="str">
        <f>if('Point Intercept 1'!N255 = 'Point Intercept 2'!M255, 'Point Intercept 1'!N255, "ERROR")</f>
        <v/>
      </c>
      <c r="N255" s="9" t="str">
        <f>if('Point Intercept 1'!O255 = 'Point Intercept 2'!N255, 'Point Intercept 1'!O255, "ERROR")</f>
        <v/>
      </c>
      <c r="O255" s="9" t="str">
        <f>if('Point Intercept 1'!P255 = 'Point Intercept 2'!O255, 'Point Intercept 1'!P255, "ERROR")</f>
        <v/>
      </c>
    </row>
    <row r="256">
      <c r="A256" s="9">
        <f>if('Point Intercept 1'!A256 = 'Point Intercept 2'!A256, 'Point Intercept 1'!A256, "ERROR")</f>
        <v>3</v>
      </c>
      <c r="B256" s="9">
        <f>if('Point Intercept 1'!B256 = 'Point Intercept 2'!B256, 'Point Intercept 1'!B256, "ERROR")</f>
        <v>2025</v>
      </c>
      <c r="C256" s="14">
        <f>if('Point Intercept 1'!C256 = 'Point Intercept 2'!C256, 'Point Intercept 1'!C256, "ERROR")</f>
        <v>45755</v>
      </c>
      <c r="D256" s="9" t="str">
        <f>if('Point Intercept 1'!D256 = 'Point Intercept 2'!D256, 'Point Intercept 1'!D256, "ERROR")</f>
        <v>JC, TL</v>
      </c>
      <c r="E256" s="9" t="str">
        <f>if('Point Intercept 1'!E256 = 'Point Intercept 2'!E256, 'Point Intercept 1'!E256, "ERROR")</f>
        <v>VB</v>
      </c>
      <c r="F256" s="9">
        <f>if('Point Intercept 1'!F256 = 'Point Intercept 2'!F256, 'Point Intercept 1'!F256, "ERROR")</f>
        <v>3</v>
      </c>
      <c r="G256" s="9" t="str">
        <f>if('Point Intercept 1'!G256 = 'Point Intercept 2'!G256, 'Point Intercept 1'!G256, "ERROR")</f>
        <v>LU</v>
      </c>
      <c r="H256" s="9">
        <f>if('Point Intercept 1'!I256 = 'Point Intercept 2'!I256, 'Point Intercept 1'!I256, "ERROR")</f>
        <v>1</v>
      </c>
      <c r="I256" s="9">
        <f>if('Point Intercept 1'!H256 = 'Point Intercept 2'!H256, 'Point Intercept 1'!H256, "ERROR")</f>
        <v>2</v>
      </c>
      <c r="J256" s="9">
        <f>if('Point Intercept 1'!J256 = 'Point Intercept 2'!J256, 'Point Intercept 1'!J256, "ERROR")</f>
        <v>0</v>
      </c>
      <c r="K256" s="9" t="str">
        <f>if('Point Intercept 1'!K256 = 'Point Intercept 2'!K256, 'Point Intercept 1'!K256, "ERROR")</f>
        <v>MEDPOL</v>
      </c>
      <c r="L256" s="9" t="str">
        <f>if('Point Intercept 1'!L256 = 'Point Intercept 2'!L256, 'Point Intercept 1'!L256, "ERROR")</f>
        <v>Medicago polymorpha</v>
      </c>
      <c r="M256" s="9" t="str">
        <f>if('Point Intercept 1'!N256 = 'Point Intercept 2'!M256, 'Point Intercept 1'!N256, "ERROR")</f>
        <v/>
      </c>
      <c r="N256" s="9" t="str">
        <f>if('Point Intercept 1'!O256 = 'Point Intercept 2'!N256, 'Point Intercept 1'!O256, "ERROR")</f>
        <v/>
      </c>
      <c r="O256" s="9" t="str">
        <f>if('Point Intercept 1'!P256 = 'Point Intercept 2'!O256, 'Point Intercept 1'!P256, "ERROR")</f>
        <v/>
      </c>
    </row>
    <row r="257">
      <c r="A257" s="9">
        <f>if('Point Intercept 1'!A257 = 'Point Intercept 2'!A257, 'Point Intercept 1'!A257, "ERROR")</f>
        <v>3</v>
      </c>
      <c r="B257" s="9">
        <f>if('Point Intercept 1'!B257 = 'Point Intercept 2'!B257, 'Point Intercept 1'!B257, "ERROR")</f>
        <v>2025</v>
      </c>
      <c r="C257" s="14">
        <f>if('Point Intercept 1'!C257 = 'Point Intercept 2'!C257, 'Point Intercept 1'!C257, "ERROR")</f>
        <v>45755</v>
      </c>
      <c r="D257" s="9" t="str">
        <f>if('Point Intercept 1'!D257 = 'Point Intercept 2'!D257, 'Point Intercept 1'!D257, "ERROR")</f>
        <v>JC, TL</v>
      </c>
      <c r="E257" s="9" t="str">
        <f>if('Point Intercept 1'!E257 = 'Point Intercept 2'!E257, 'Point Intercept 1'!E257, "ERROR")</f>
        <v>VB</v>
      </c>
      <c r="F257" s="9">
        <f>if('Point Intercept 1'!F257 = 'Point Intercept 2'!F257, 'Point Intercept 1'!F257, "ERROR")</f>
        <v>3</v>
      </c>
      <c r="G257" s="9" t="str">
        <f>if('Point Intercept 1'!G257 = 'Point Intercept 2'!G257, 'Point Intercept 1'!G257, "ERROR")</f>
        <v>LU</v>
      </c>
      <c r="H257" s="9">
        <f>if('Point Intercept 1'!I257 = 'Point Intercept 2'!I257, 'Point Intercept 1'!I257, "ERROR")</f>
        <v>1</v>
      </c>
      <c r="I257" s="9">
        <f>if('Point Intercept 1'!H257 = 'Point Intercept 2'!H257, 'Point Intercept 1'!H257, "ERROR")</f>
        <v>2</v>
      </c>
      <c r="J257" s="9">
        <f>if('Point Intercept 1'!J257 = 'Point Intercept 2'!J257, 'Point Intercept 1'!J257, "ERROR")</f>
        <v>0</v>
      </c>
      <c r="K257" s="9" t="str">
        <f>if('Point Intercept 1'!K257 = 'Point Intercept 2'!K257, 'Point Intercept 1'!K257, "ERROR")</f>
        <v>FESMYU</v>
      </c>
      <c r="L257" s="9" t="str">
        <f>if('Point Intercept 1'!L257 = 'Point Intercept 2'!L257, 'Point Intercept 1'!L257, "ERROR")</f>
        <v>Festuca myuros</v>
      </c>
      <c r="M257" s="9" t="str">
        <f>if('Point Intercept 1'!N257 = 'Point Intercept 2'!M257, 'Point Intercept 1'!N257, "ERROR")</f>
        <v/>
      </c>
      <c r="N257" s="9" t="str">
        <f>if('Point Intercept 1'!O257 = 'Point Intercept 2'!N257, 'Point Intercept 1'!O257, "ERROR")</f>
        <v/>
      </c>
      <c r="O257" s="9" t="str">
        <f>if('Point Intercept 1'!P257 = 'Point Intercept 2'!O257, 'Point Intercept 1'!P257, "ERROR")</f>
        <v/>
      </c>
    </row>
    <row r="258">
      <c r="A258" s="9">
        <f>if('Point Intercept 1'!A258 = 'Point Intercept 2'!A258, 'Point Intercept 1'!A258, "ERROR")</f>
        <v>3</v>
      </c>
      <c r="B258" s="9">
        <f>if('Point Intercept 1'!B258 = 'Point Intercept 2'!B258, 'Point Intercept 1'!B258, "ERROR")</f>
        <v>2025</v>
      </c>
      <c r="C258" s="14">
        <f>if('Point Intercept 1'!C258 = 'Point Intercept 2'!C258, 'Point Intercept 1'!C258, "ERROR")</f>
        <v>45755</v>
      </c>
      <c r="D258" s="9" t="str">
        <f>if('Point Intercept 1'!D258 = 'Point Intercept 2'!D258, 'Point Intercept 1'!D258, "ERROR")</f>
        <v>JC, TL</v>
      </c>
      <c r="E258" s="9" t="str">
        <f>if('Point Intercept 1'!E258 = 'Point Intercept 2'!E258, 'Point Intercept 1'!E258, "ERROR")</f>
        <v>VB</v>
      </c>
      <c r="F258" s="9">
        <f>if('Point Intercept 1'!F258 = 'Point Intercept 2'!F258, 'Point Intercept 1'!F258, "ERROR")</f>
        <v>3</v>
      </c>
      <c r="G258" s="9" t="str">
        <f>if('Point Intercept 1'!G258 = 'Point Intercept 2'!G258, 'Point Intercept 1'!G258, "ERROR")</f>
        <v>LU</v>
      </c>
      <c r="H258" s="9">
        <f>if('Point Intercept 1'!I258 = 'Point Intercept 2'!I258, 'Point Intercept 1'!I258, "ERROR")</f>
        <v>2</v>
      </c>
      <c r="I258" s="9">
        <f>if('Point Intercept 1'!H258 = 'Point Intercept 2'!H258, 'Point Intercept 1'!H258, "ERROR")</f>
        <v>2</v>
      </c>
      <c r="J258" s="9">
        <f>if('Point Intercept 1'!J258 = 'Point Intercept 2'!J258, 'Point Intercept 1'!J258, "ERROR")</f>
        <v>0.5</v>
      </c>
      <c r="K258" s="9" t="str">
        <f>if('Point Intercept 1'!K258 = 'Point Intercept 2'!K258, 'Point Intercept 1'!K258, "ERROR")</f>
        <v>L</v>
      </c>
      <c r="L258" s="9" t="str">
        <f>if('Point Intercept 1'!L258 = 'Point Intercept 2'!L258, 'Point Intercept 1'!L258, "ERROR")</f>
        <v>Litter</v>
      </c>
      <c r="M258" s="9" t="str">
        <f>if('Point Intercept 1'!N258 = 'Point Intercept 2'!M258, 'Point Intercept 1'!N258, "ERROR")</f>
        <v/>
      </c>
      <c r="N258" s="9" t="str">
        <f>if('Point Intercept 1'!O258 = 'Point Intercept 2'!N258, 'Point Intercept 1'!O258, "ERROR")</f>
        <v/>
      </c>
      <c r="O258" s="9" t="str">
        <f>if('Point Intercept 1'!P258 = 'Point Intercept 2'!O258, 'Point Intercept 1'!P258, "ERROR")</f>
        <v/>
      </c>
    </row>
    <row r="259">
      <c r="A259" s="9">
        <f>if('Point Intercept 1'!A259 = 'Point Intercept 2'!A259, 'Point Intercept 1'!A259, "ERROR")</f>
        <v>3</v>
      </c>
      <c r="B259" s="9">
        <f>if('Point Intercept 1'!B259 = 'Point Intercept 2'!B259, 'Point Intercept 1'!B259, "ERROR")</f>
        <v>2025</v>
      </c>
      <c r="C259" s="14">
        <f>if('Point Intercept 1'!C259 = 'Point Intercept 2'!C259, 'Point Intercept 1'!C259, "ERROR")</f>
        <v>45755</v>
      </c>
      <c r="D259" s="9" t="str">
        <f>if('Point Intercept 1'!D259 = 'Point Intercept 2'!D259, 'Point Intercept 1'!D259, "ERROR")</f>
        <v>JC, TL</v>
      </c>
      <c r="E259" s="9" t="str">
        <f>if('Point Intercept 1'!E259 = 'Point Intercept 2'!E259, 'Point Intercept 1'!E259, "ERROR")</f>
        <v>VB</v>
      </c>
      <c r="F259" s="9">
        <f>if('Point Intercept 1'!F259 = 'Point Intercept 2'!F259, 'Point Intercept 1'!F259, "ERROR")</f>
        <v>3</v>
      </c>
      <c r="G259" s="9" t="str">
        <f>if('Point Intercept 1'!G259 = 'Point Intercept 2'!G259, 'Point Intercept 1'!G259, "ERROR")</f>
        <v>LU</v>
      </c>
      <c r="H259" s="9">
        <f>if('Point Intercept 1'!I259 = 'Point Intercept 2'!I259, 'Point Intercept 1'!I259, "ERROR")</f>
        <v>2</v>
      </c>
      <c r="I259" s="9">
        <f>if('Point Intercept 1'!H259 = 'Point Intercept 2'!H259, 'Point Intercept 1'!H259, "ERROR")</f>
        <v>2</v>
      </c>
      <c r="J259" s="9">
        <f>if('Point Intercept 1'!J259 = 'Point Intercept 2'!J259, 'Point Intercept 1'!J259, "ERROR")</f>
        <v>0.5</v>
      </c>
      <c r="K259" s="9" t="str">
        <f>if('Point Intercept 1'!K259 = 'Point Intercept 2'!K259, 'Point Intercept 1'!K259, "ERROR")</f>
        <v>ANAARV</v>
      </c>
      <c r="L259" s="9" t="str">
        <f>if('Point Intercept 1'!L259 = 'Point Intercept 2'!L259, 'Point Intercept 1'!L259, "ERROR")</f>
        <v>Anagallis arvensis</v>
      </c>
      <c r="M259" s="9" t="str">
        <f>if('Point Intercept 1'!N259 = 'Point Intercept 2'!M259, 'Point Intercept 1'!N259, "ERROR")</f>
        <v/>
      </c>
      <c r="N259" s="9" t="str">
        <f>if('Point Intercept 1'!O259 = 'Point Intercept 2'!N259, 'Point Intercept 1'!O259, "ERROR")</f>
        <v/>
      </c>
      <c r="O259" s="9" t="str">
        <f>if('Point Intercept 1'!P259 = 'Point Intercept 2'!O259, 'Point Intercept 1'!P259, "ERROR")</f>
        <v/>
      </c>
    </row>
    <row r="260">
      <c r="A260" s="9">
        <f>if('Point Intercept 1'!A260 = 'Point Intercept 2'!A260, 'Point Intercept 1'!A260, "ERROR")</f>
        <v>3</v>
      </c>
      <c r="B260" s="9">
        <f>if('Point Intercept 1'!B260 = 'Point Intercept 2'!B260, 'Point Intercept 1'!B260, "ERROR")</f>
        <v>2025</v>
      </c>
      <c r="C260" s="14">
        <f>if('Point Intercept 1'!C260 = 'Point Intercept 2'!C260, 'Point Intercept 1'!C260, "ERROR")</f>
        <v>45755</v>
      </c>
      <c r="D260" s="9" t="str">
        <f>if('Point Intercept 1'!D260 = 'Point Intercept 2'!D260, 'Point Intercept 1'!D260, "ERROR")</f>
        <v>JC, TL</v>
      </c>
      <c r="E260" s="9" t="str">
        <f>if('Point Intercept 1'!E260 = 'Point Intercept 2'!E260, 'Point Intercept 1'!E260, "ERROR")</f>
        <v>VB</v>
      </c>
      <c r="F260" s="9">
        <f>if('Point Intercept 1'!F260 = 'Point Intercept 2'!F260, 'Point Intercept 1'!F260, "ERROR")</f>
        <v>3</v>
      </c>
      <c r="G260" s="9" t="str">
        <f>if('Point Intercept 1'!G260 = 'Point Intercept 2'!G260, 'Point Intercept 1'!G260, "ERROR")</f>
        <v>LU</v>
      </c>
      <c r="H260" s="9">
        <f>if('Point Intercept 1'!I260 = 'Point Intercept 2'!I260, 'Point Intercept 1'!I260, "ERROR")</f>
        <v>2</v>
      </c>
      <c r="I260" s="9">
        <f>if('Point Intercept 1'!H260 = 'Point Intercept 2'!H260, 'Point Intercept 1'!H260, "ERROR")</f>
        <v>2</v>
      </c>
      <c r="J260" s="9">
        <f>if('Point Intercept 1'!J260 = 'Point Intercept 2'!J260, 'Point Intercept 1'!J260, "ERROR")</f>
        <v>0.5</v>
      </c>
      <c r="K260" s="9" t="str">
        <f>if('Point Intercept 1'!K260 = 'Point Intercept 2'!K260, 'Point Intercept 1'!K260, "ERROR")</f>
        <v>STIPUL</v>
      </c>
      <c r="L260" s="9" t="str">
        <f>if('Point Intercept 1'!L260 = 'Point Intercept 2'!L260, 'Point Intercept 1'!L260, "ERROR")</f>
        <v>Stipa pulchra</v>
      </c>
      <c r="M260" s="9" t="str">
        <f>if('Point Intercept 1'!N260 = 'Point Intercept 2'!M260, 'Point Intercept 1'!N260, "ERROR")</f>
        <v/>
      </c>
      <c r="N260" s="9" t="str">
        <f>if('Point Intercept 1'!O260 = 'Point Intercept 2'!N260, 'Point Intercept 1'!O260, "ERROR")</f>
        <v/>
      </c>
      <c r="O260" s="9" t="str">
        <f>if('Point Intercept 1'!P260 = 'Point Intercept 2'!O260, 'Point Intercept 1'!P260, "ERROR")</f>
        <v/>
      </c>
    </row>
    <row r="261">
      <c r="A261" s="9">
        <f>if('Point Intercept 1'!A261 = 'Point Intercept 2'!A261, 'Point Intercept 1'!A261, "ERROR")</f>
        <v>3</v>
      </c>
      <c r="B261" s="9">
        <f>if('Point Intercept 1'!B261 = 'Point Intercept 2'!B261, 'Point Intercept 1'!B261, "ERROR")</f>
        <v>2025</v>
      </c>
      <c r="C261" s="14">
        <f>if('Point Intercept 1'!C261 = 'Point Intercept 2'!C261, 'Point Intercept 1'!C261, "ERROR")</f>
        <v>45755</v>
      </c>
      <c r="D261" s="9" t="str">
        <f>if('Point Intercept 1'!D261 = 'Point Intercept 2'!D261, 'Point Intercept 1'!D261, "ERROR")</f>
        <v>JC, TL</v>
      </c>
      <c r="E261" s="9" t="str">
        <f>if('Point Intercept 1'!E261 = 'Point Intercept 2'!E261, 'Point Intercept 1'!E261, "ERROR")</f>
        <v>VB</v>
      </c>
      <c r="F261" s="9">
        <f>if('Point Intercept 1'!F261 = 'Point Intercept 2'!F261, 'Point Intercept 1'!F261, "ERROR")</f>
        <v>3</v>
      </c>
      <c r="G261" s="9" t="str">
        <f>if('Point Intercept 1'!G261 = 'Point Intercept 2'!G261, 'Point Intercept 1'!G261, "ERROR")</f>
        <v>LU</v>
      </c>
      <c r="H261" s="9">
        <f>if('Point Intercept 1'!I261 = 'Point Intercept 2'!I261, 'Point Intercept 1'!I261, "ERROR")</f>
        <v>2</v>
      </c>
      <c r="I261" s="9">
        <f>if('Point Intercept 1'!H261 = 'Point Intercept 2'!H261, 'Point Intercept 1'!H261, "ERROR")</f>
        <v>2</v>
      </c>
      <c r="J261" s="9">
        <f>if('Point Intercept 1'!J261 = 'Point Intercept 2'!J261, 'Point Intercept 1'!J261, "ERROR")</f>
        <v>0.5</v>
      </c>
      <c r="K261" s="9" t="str">
        <f>if('Point Intercept 1'!K261 = 'Point Intercept 2'!K261, 'Point Intercept 1'!K261, "ERROR")</f>
        <v>DAUPUS</v>
      </c>
      <c r="L261" s="9" t="str">
        <f>if('Point Intercept 1'!L261 = 'Point Intercept 2'!L261, 'Point Intercept 1'!L261, "ERROR")</f>
        <v>Daucus pusillus</v>
      </c>
      <c r="M261" s="9" t="str">
        <f>if('Point Intercept 1'!N261 = 'Point Intercept 2'!M261, 'Point Intercept 1'!N261, "ERROR")</f>
        <v/>
      </c>
      <c r="N261" s="9" t="str">
        <f>if('Point Intercept 1'!O261 = 'Point Intercept 2'!N261, 'Point Intercept 1'!O261, "ERROR")</f>
        <v/>
      </c>
      <c r="O261" s="9" t="str">
        <f>if('Point Intercept 1'!P261 = 'Point Intercept 2'!O261, 'Point Intercept 1'!P261, "ERROR")</f>
        <v/>
      </c>
    </row>
    <row r="262">
      <c r="A262" s="9">
        <f>if('Point Intercept 1'!A262 = 'Point Intercept 2'!A262, 'Point Intercept 1'!A262, "ERROR")</f>
        <v>3</v>
      </c>
      <c r="B262" s="9">
        <f>if('Point Intercept 1'!B262 = 'Point Intercept 2'!B262, 'Point Intercept 1'!B262, "ERROR")</f>
        <v>2025</v>
      </c>
      <c r="C262" s="14">
        <f>if('Point Intercept 1'!C262 = 'Point Intercept 2'!C262, 'Point Intercept 1'!C262, "ERROR")</f>
        <v>45755</v>
      </c>
      <c r="D262" s="9" t="str">
        <f>if('Point Intercept 1'!D262 = 'Point Intercept 2'!D262, 'Point Intercept 1'!D262, "ERROR")</f>
        <v>JC, TL</v>
      </c>
      <c r="E262" s="9" t="str">
        <f>if('Point Intercept 1'!E262 = 'Point Intercept 2'!E262, 'Point Intercept 1'!E262, "ERROR")</f>
        <v>VB</v>
      </c>
      <c r="F262" s="9">
        <f>if('Point Intercept 1'!F262 = 'Point Intercept 2'!F262, 'Point Intercept 1'!F262, "ERROR")</f>
        <v>3</v>
      </c>
      <c r="G262" s="9" t="str">
        <f>if('Point Intercept 1'!G262 = 'Point Intercept 2'!G262, 'Point Intercept 1'!G262, "ERROR")</f>
        <v>LU</v>
      </c>
      <c r="H262" s="9">
        <f>if('Point Intercept 1'!I262 = 'Point Intercept 2'!I262, 'Point Intercept 1'!I262, "ERROR")</f>
        <v>2</v>
      </c>
      <c r="I262" s="9">
        <f>if('Point Intercept 1'!H262 = 'Point Intercept 2'!H262, 'Point Intercept 1'!H262, "ERROR")</f>
        <v>2</v>
      </c>
      <c r="J262" s="9">
        <f>if('Point Intercept 1'!J262 = 'Point Intercept 2'!J262, 'Point Intercept 1'!J262, "ERROR")</f>
        <v>0.5</v>
      </c>
      <c r="K262" s="9" t="str">
        <f>if('Point Intercept 1'!K262 = 'Point Intercept 2'!K262, 'Point Intercept 1'!K262, "ERROR")</f>
        <v>MEDPOL</v>
      </c>
      <c r="L262" s="9" t="str">
        <f>if('Point Intercept 1'!L262 = 'Point Intercept 2'!L262, 'Point Intercept 1'!L262, "ERROR")</f>
        <v>Medicago polymorpha</v>
      </c>
      <c r="M262" s="9" t="str">
        <f>if('Point Intercept 1'!N262 = 'Point Intercept 2'!M262, 'Point Intercept 1'!N262, "ERROR")</f>
        <v/>
      </c>
      <c r="N262" s="9" t="str">
        <f>if('Point Intercept 1'!O262 = 'Point Intercept 2'!N262, 'Point Intercept 1'!O262, "ERROR")</f>
        <v/>
      </c>
      <c r="O262" s="9" t="str">
        <f>if('Point Intercept 1'!P262 = 'Point Intercept 2'!O262, 'Point Intercept 1'!P262, "ERROR")</f>
        <v/>
      </c>
    </row>
    <row r="263">
      <c r="A263" s="9">
        <f>if('Point Intercept 1'!A263 = 'Point Intercept 2'!A263, 'Point Intercept 1'!A263, "ERROR")</f>
        <v>3</v>
      </c>
      <c r="B263" s="9">
        <f>if('Point Intercept 1'!B263 = 'Point Intercept 2'!B263, 'Point Intercept 1'!B263, "ERROR")</f>
        <v>2025</v>
      </c>
      <c r="C263" s="14">
        <f>if('Point Intercept 1'!C263 = 'Point Intercept 2'!C263, 'Point Intercept 1'!C263, "ERROR")</f>
        <v>45755</v>
      </c>
      <c r="D263" s="9" t="str">
        <f>if('Point Intercept 1'!D263 = 'Point Intercept 2'!D263, 'Point Intercept 1'!D263, "ERROR")</f>
        <v>JC, TL</v>
      </c>
      <c r="E263" s="9" t="str">
        <f>if('Point Intercept 1'!E263 = 'Point Intercept 2'!E263, 'Point Intercept 1'!E263, "ERROR")</f>
        <v>VB</v>
      </c>
      <c r="F263" s="9">
        <f>if('Point Intercept 1'!F263 = 'Point Intercept 2'!F263, 'Point Intercept 1'!F263, "ERROR")</f>
        <v>3</v>
      </c>
      <c r="G263" s="9" t="str">
        <f>if('Point Intercept 1'!G263 = 'Point Intercept 2'!G263, 'Point Intercept 1'!G263, "ERROR")</f>
        <v>LU</v>
      </c>
      <c r="H263" s="9">
        <f>if('Point Intercept 1'!I263 = 'Point Intercept 2'!I263, 'Point Intercept 1'!I263, "ERROR")</f>
        <v>3</v>
      </c>
      <c r="I263" s="9">
        <f>if('Point Intercept 1'!H263 = 'Point Intercept 2'!H263, 'Point Intercept 1'!H263, "ERROR")</f>
        <v>2</v>
      </c>
      <c r="J263" s="9">
        <f>if('Point Intercept 1'!J263 = 'Point Intercept 2'!J263, 'Point Intercept 1'!J263, "ERROR")</f>
        <v>1</v>
      </c>
      <c r="K263" s="9" t="str">
        <f>if('Point Intercept 1'!K263 = 'Point Intercept 2'!K263, 'Point Intercept 1'!K263, "ERROR")</f>
        <v>S</v>
      </c>
      <c r="L263" s="9" t="str">
        <f>if('Point Intercept 1'!L263 = 'Point Intercept 2'!L263, 'Point Intercept 1'!L263, "ERROR")</f>
        <v>Stem</v>
      </c>
      <c r="M263" s="9" t="str">
        <f>if('Point Intercept 1'!N263 = 'Point Intercept 2'!M263, 'Point Intercept 1'!N263, "ERROR")</f>
        <v/>
      </c>
      <c r="N263" s="9" t="str">
        <f>if('Point Intercept 1'!O263 = 'Point Intercept 2'!N263, 'Point Intercept 1'!O263, "ERROR")</f>
        <v/>
      </c>
      <c r="O263" s="9" t="str">
        <f>if('Point Intercept 1'!P263 = 'Point Intercept 2'!O263, 'Point Intercept 1'!P263, "ERROR")</f>
        <v/>
      </c>
    </row>
    <row r="264">
      <c r="A264" s="9">
        <f>if('Point Intercept 1'!A264 = 'Point Intercept 2'!A264, 'Point Intercept 1'!A264, "ERROR")</f>
        <v>3</v>
      </c>
      <c r="B264" s="9">
        <f>if('Point Intercept 1'!B264 = 'Point Intercept 2'!B264, 'Point Intercept 1'!B264, "ERROR")</f>
        <v>2025</v>
      </c>
      <c r="C264" s="14">
        <f>if('Point Intercept 1'!C264 = 'Point Intercept 2'!C264, 'Point Intercept 1'!C264, "ERROR")</f>
        <v>45755</v>
      </c>
      <c r="D264" s="9" t="str">
        <f>if('Point Intercept 1'!D264 = 'Point Intercept 2'!D264, 'Point Intercept 1'!D264, "ERROR")</f>
        <v>JC, TL</v>
      </c>
      <c r="E264" s="9" t="str">
        <f>if('Point Intercept 1'!E264 = 'Point Intercept 2'!E264, 'Point Intercept 1'!E264, "ERROR")</f>
        <v>VB</v>
      </c>
      <c r="F264" s="9">
        <f>if('Point Intercept 1'!F264 = 'Point Intercept 2'!F264, 'Point Intercept 1'!F264, "ERROR")</f>
        <v>3</v>
      </c>
      <c r="G264" s="9" t="str">
        <f>if('Point Intercept 1'!G264 = 'Point Intercept 2'!G264, 'Point Intercept 1'!G264, "ERROR")</f>
        <v>LU</v>
      </c>
      <c r="H264" s="9">
        <f>if('Point Intercept 1'!I264 = 'Point Intercept 2'!I264, 'Point Intercept 1'!I264, "ERROR")</f>
        <v>3</v>
      </c>
      <c r="I264" s="9">
        <f>if('Point Intercept 1'!H264 = 'Point Intercept 2'!H264, 'Point Intercept 1'!H264, "ERROR")</f>
        <v>2</v>
      </c>
      <c r="J264" s="9">
        <f>if('Point Intercept 1'!J264 = 'Point Intercept 2'!J264, 'Point Intercept 1'!J264, "ERROR")</f>
        <v>1</v>
      </c>
      <c r="K264" s="9" t="str">
        <f>if('Point Intercept 1'!K264 = 'Point Intercept 2'!K264, 'Point Intercept 1'!K264, "ERROR")</f>
        <v>CYLPRO</v>
      </c>
      <c r="L264" s="9" t="str">
        <f>if('Point Intercept 1'!L264 = 'Point Intercept 2'!L264, 'Point Intercept 1'!L264, "ERROR")</f>
        <v>Cylindropuntia prolifera</v>
      </c>
      <c r="M264" s="9" t="str">
        <f>if('Point Intercept 1'!N264 = 'Point Intercept 2'!M264, 'Point Intercept 1'!N264, "ERROR")</f>
        <v/>
      </c>
      <c r="N264" s="9" t="str">
        <f>if('Point Intercept 1'!O264 = 'Point Intercept 2'!N264, 'Point Intercept 1'!O264, "ERROR")</f>
        <v/>
      </c>
      <c r="O264" s="9" t="str">
        <f>if('Point Intercept 1'!P264 = 'Point Intercept 2'!O264, 'Point Intercept 1'!P264, "ERROR")</f>
        <v/>
      </c>
    </row>
    <row r="265">
      <c r="A265" s="9">
        <f>if('Point Intercept 1'!A265 = 'Point Intercept 2'!A265, 'Point Intercept 1'!A265, "ERROR")</f>
        <v>3</v>
      </c>
      <c r="B265" s="9">
        <f>if('Point Intercept 1'!B265 = 'Point Intercept 2'!B265, 'Point Intercept 1'!B265, "ERROR")</f>
        <v>2025</v>
      </c>
      <c r="C265" s="14">
        <f>if('Point Intercept 1'!C265 = 'Point Intercept 2'!C265, 'Point Intercept 1'!C265, "ERROR")</f>
        <v>45755</v>
      </c>
      <c r="D265" s="9" t="str">
        <f>if('Point Intercept 1'!D265 = 'Point Intercept 2'!D265, 'Point Intercept 1'!D265, "ERROR")</f>
        <v>JC, TL</v>
      </c>
      <c r="E265" s="9" t="str">
        <f>if('Point Intercept 1'!E265 = 'Point Intercept 2'!E265, 'Point Intercept 1'!E265, "ERROR")</f>
        <v>VB</v>
      </c>
      <c r="F265" s="9">
        <f>if('Point Intercept 1'!F265 = 'Point Intercept 2'!F265, 'Point Intercept 1'!F265, "ERROR")</f>
        <v>3</v>
      </c>
      <c r="G265" s="9" t="str">
        <f>if('Point Intercept 1'!G265 = 'Point Intercept 2'!G265, 'Point Intercept 1'!G265, "ERROR")</f>
        <v>LU</v>
      </c>
      <c r="H265" s="9">
        <f>if('Point Intercept 1'!I265 = 'Point Intercept 2'!I265, 'Point Intercept 1'!I265, "ERROR")</f>
        <v>4</v>
      </c>
      <c r="I265" s="9">
        <f>if('Point Intercept 1'!H265 = 'Point Intercept 2'!H265, 'Point Intercept 1'!H265, "ERROR")</f>
        <v>2</v>
      </c>
      <c r="J265" s="9">
        <f>if('Point Intercept 1'!J265 = 'Point Intercept 2'!J265, 'Point Intercept 1'!J265, "ERROR")</f>
        <v>1.5</v>
      </c>
      <c r="K265" s="9" t="str">
        <f>if('Point Intercept 1'!K265 = 'Point Intercept 2'!K265, 'Point Intercept 1'!K265, "ERROR")</f>
        <v>B</v>
      </c>
      <c r="L265" s="9" t="str">
        <f>if('Point Intercept 1'!L265 = 'Point Intercept 2'!L265, 'Point Intercept 1'!L265, "ERROR")</f>
        <v>Bareground</v>
      </c>
      <c r="M265" s="9" t="str">
        <f>if('Point Intercept 1'!N265 = 'Point Intercept 2'!M265, 'Point Intercept 1'!N265, "ERROR")</f>
        <v/>
      </c>
      <c r="N265" s="9" t="str">
        <f>if('Point Intercept 1'!O265 = 'Point Intercept 2'!N265, 'Point Intercept 1'!O265, "ERROR")</f>
        <v/>
      </c>
      <c r="O265" s="9" t="str">
        <f>if('Point Intercept 1'!P265 = 'Point Intercept 2'!O265, 'Point Intercept 1'!P265, "ERROR")</f>
        <v/>
      </c>
    </row>
    <row r="266">
      <c r="A266" s="9">
        <f>if('Point Intercept 1'!A266 = 'Point Intercept 2'!A266, 'Point Intercept 1'!A266, "ERROR")</f>
        <v>3</v>
      </c>
      <c r="B266" s="9">
        <f>if('Point Intercept 1'!B266 = 'Point Intercept 2'!B266, 'Point Intercept 1'!B266, "ERROR")</f>
        <v>2025</v>
      </c>
      <c r="C266" s="14">
        <f>if('Point Intercept 1'!C266 = 'Point Intercept 2'!C266, 'Point Intercept 1'!C266, "ERROR")</f>
        <v>45755</v>
      </c>
      <c r="D266" s="9" t="str">
        <f>if('Point Intercept 1'!D266 = 'Point Intercept 2'!D266, 'Point Intercept 1'!D266, "ERROR")</f>
        <v>JC, TL</v>
      </c>
      <c r="E266" s="9" t="str">
        <f>if('Point Intercept 1'!E266 = 'Point Intercept 2'!E266, 'Point Intercept 1'!E266, "ERROR")</f>
        <v>VB</v>
      </c>
      <c r="F266" s="9">
        <f>if('Point Intercept 1'!F266 = 'Point Intercept 2'!F266, 'Point Intercept 1'!F266, "ERROR")</f>
        <v>3</v>
      </c>
      <c r="G266" s="9" t="str">
        <f>if('Point Intercept 1'!G266 = 'Point Intercept 2'!G266, 'Point Intercept 1'!G266, "ERROR")</f>
        <v>LU</v>
      </c>
      <c r="H266" s="9">
        <f>if('Point Intercept 1'!I266 = 'Point Intercept 2'!I266, 'Point Intercept 1'!I266, "ERROR")</f>
        <v>4</v>
      </c>
      <c r="I266" s="9">
        <f>if('Point Intercept 1'!H266 = 'Point Intercept 2'!H266, 'Point Intercept 1'!H266, "ERROR")</f>
        <v>2</v>
      </c>
      <c r="J266" s="9">
        <f>if('Point Intercept 1'!J266 = 'Point Intercept 2'!J266, 'Point Intercept 1'!J266, "ERROR")</f>
        <v>1.5</v>
      </c>
      <c r="K266" s="9" t="str">
        <f>if('Point Intercept 1'!K266 = 'Point Intercept 2'!K266, 'Point Intercept 1'!K266, "ERROR")</f>
        <v>STIPUL</v>
      </c>
      <c r="L266" s="9" t="str">
        <f>if('Point Intercept 1'!L266 = 'Point Intercept 2'!L266, 'Point Intercept 1'!L266, "ERROR")</f>
        <v>Stipa pulchra</v>
      </c>
      <c r="M266" s="9" t="str">
        <f>if('Point Intercept 1'!N266 = 'Point Intercept 2'!M266, 'Point Intercept 1'!N266, "ERROR")</f>
        <v/>
      </c>
      <c r="N266" s="9" t="str">
        <f>if('Point Intercept 1'!O266 = 'Point Intercept 2'!N266, 'Point Intercept 1'!O266, "ERROR")</f>
        <v/>
      </c>
      <c r="O266" s="9" t="str">
        <f>if('Point Intercept 1'!P266 = 'Point Intercept 2'!O266, 'Point Intercept 1'!P266, "ERROR")</f>
        <v/>
      </c>
    </row>
    <row r="267">
      <c r="A267" s="9">
        <f>if('Point Intercept 1'!A267 = 'Point Intercept 2'!A267, 'Point Intercept 1'!A267, "ERROR")</f>
        <v>3</v>
      </c>
      <c r="B267" s="9">
        <f>if('Point Intercept 1'!B267 = 'Point Intercept 2'!B267, 'Point Intercept 1'!B267, "ERROR")</f>
        <v>2025</v>
      </c>
      <c r="C267" s="14">
        <f>if('Point Intercept 1'!C267 = 'Point Intercept 2'!C267, 'Point Intercept 1'!C267, "ERROR")</f>
        <v>45755</v>
      </c>
      <c r="D267" s="9" t="str">
        <f>if('Point Intercept 1'!D267 = 'Point Intercept 2'!D267, 'Point Intercept 1'!D267, "ERROR")</f>
        <v>JC, TL</v>
      </c>
      <c r="E267" s="9" t="str">
        <f>if('Point Intercept 1'!E267 = 'Point Intercept 2'!E267, 'Point Intercept 1'!E267, "ERROR")</f>
        <v>VB</v>
      </c>
      <c r="F267" s="9">
        <f>if('Point Intercept 1'!F267 = 'Point Intercept 2'!F267, 'Point Intercept 1'!F267, "ERROR")</f>
        <v>3</v>
      </c>
      <c r="G267" s="9" t="str">
        <f>if('Point Intercept 1'!G267 = 'Point Intercept 2'!G267, 'Point Intercept 1'!G267, "ERROR")</f>
        <v>LU</v>
      </c>
      <c r="H267" s="9">
        <f>if('Point Intercept 1'!I267 = 'Point Intercept 2'!I267, 'Point Intercept 1'!I267, "ERROR")</f>
        <v>4</v>
      </c>
      <c r="I267" s="9">
        <f>if('Point Intercept 1'!H267 = 'Point Intercept 2'!H267, 'Point Intercept 1'!H267, "ERROR")</f>
        <v>2</v>
      </c>
      <c r="J267" s="9">
        <f>if('Point Intercept 1'!J267 = 'Point Intercept 2'!J267, 'Point Intercept 1'!J267, "ERROR")</f>
        <v>1.5</v>
      </c>
      <c r="K267" s="9" t="str">
        <f>if('Point Intercept 1'!K267 = 'Point Intercept 2'!K267, 'Point Intercept 1'!K267, "ERROR")</f>
        <v>CRACON</v>
      </c>
      <c r="L267" s="9" t="str">
        <f>if('Point Intercept 1'!L267 = 'Point Intercept 2'!L267, 'Point Intercept 1'!L267, "ERROR")</f>
        <v>Crassula connata</v>
      </c>
      <c r="M267" s="9" t="str">
        <f>if('Point Intercept 1'!N267 = 'Point Intercept 2'!M267, 'Point Intercept 1'!N267, "ERROR")</f>
        <v/>
      </c>
      <c r="N267" s="9" t="str">
        <f>if('Point Intercept 1'!O267 = 'Point Intercept 2'!N267, 'Point Intercept 1'!O267, "ERROR")</f>
        <v/>
      </c>
      <c r="O267" s="9" t="str">
        <f>if('Point Intercept 1'!P267 = 'Point Intercept 2'!O267, 'Point Intercept 1'!P267, "ERROR")</f>
        <v/>
      </c>
    </row>
    <row r="268">
      <c r="A268" s="9">
        <f>if('Point Intercept 1'!A268 = 'Point Intercept 2'!A268, 'Point Intercept 1'!A268, "ERROR")</f>
        <v>3</v>
      </c>
      <c r="B268" s="9">
        <f>if('Point Intercept 1'!B268 = 'Point Intercept 2'!B268, 'Point Intercept 1'!B268, "ERROR")</f>
        <v>2025</v>
      </c>
      <c r="C268" s="14">
        <f>if('Point Intercept 1'!C268 = 'Point Intercept 2'!C268, 'Point Intercept 1'!C268, "ERROR")</f>
        <v>45755</v>
      </c>
      <c r="D268" s="9" t="str">
        <f>if('Point Intercept 1'!D268 = 'Point Intercept 2'!D268, 'Point Intercept 1'!D268, "ERROR")</f>
        <v>JC, TL</v>
      </c>
      <c r="E268" s="9" t="str">
        <f>if('Point Intercept 1'!E268 = 'Point Intercept 2'!E268, 'Point Intercept 1'!E268, "ERROR")</f>
        <v>VB</v>
      </c>
      <c r="F268" s="9">
        <f>if('Point Intercept 1'!F268 = 'Point Intercept 2'!F268, 'Point Intercept 1'!F268, "ERROR")</f>
        <v>3</v>
      </c>
      <c r="G268" s="9" t="str">
        <f>if('Point Intercept 1'!G268 = 'Point Intercept 2'!G268, 'Point Intercept 1'!G268, "ERROR")</f>
        <v>LU</v>
      </c>
      <c r="H268" s="9">
        <f>if('Point Intercept 1'!I268 = 'Point Intercept 2'!I268, 'Point Intercept 1'!I268, "ERROR")</f>
        <v>4</v>
      </c>
      <c r="I268" s="9">
        <f>if('Point Intercept 1'!H268 = 'Point Intercept 2'!H268, 'Point Intercept 1'!H268, "ERROR")</f>
        <v>2</v>
      </c>
      <c r="J268" s="9">
        <f>if('Point Intercept 1'!J268 = 'Point Intercept 2'!J268, 'Point Intercept 1'!J268, "ERROR")</f>
        <v>1.5</v>
      </c>
      <c r="K268" s="9" t="str">
        <f>if('Point Intercept 1'!K268 = 'Point Intercept 2'!K268, 'Point Intercept 1'!K268, "ERROR")</f>
        <v>DAUPUS</v>
      </c>
      <c r="L268" s="9" t="str">
        <f>if('Point Intercept 1'!L268 = 'Point Intercept 2'!L268, 'Point Intercept 1'!L268, "ERROR")</f>
        <v>Daucus pusillus</v>
      </c>
      <c r="M268" s="9" t="str">
        <f>if('Point Intercept 1'!N268 = 'Point Intercept 2'!M268, 'Point Intercept 1'!N268, "ERROR")</f>
        <v/>
      </c>
      <c r="N268" s="9" t="str">
        <f>if('Point Intercept 1'!O268 = 'Point Intercept 2'!N268, 'Point Intercept 1'!O268, "ERROR")</f>
        <v/>
      </c>
      <c r="O268" s="9" t="str">
        <f>if('Point Intercept 1'!P268 = 'Point Intercept 2'!O268, 'Point Intercept 1'!P268, "ERROR")</f>
        <v/>
      </c>
    </row>
    <row r="269">
      <c r="A269" s="9">
        <f>if('Point Intercept 1'!A269 = 'Point Intercept 2'!A269, 'Point Intercept 1'!A269, "ERROR")</f>
        <v>3</v>
      </c>
      <c r="B269" s="9">
        <f>if('Point Intercept 1'!B269 = 'Point Intercept 2'!B269, 'Point Intercept 1'!B269, "ERROR")</f>
        <v>2025</v>
      </c>
      <c r="C269" s="14">
        <f>if('Point Intercept 1'!C269 = 'Point Intercept 2'!C269, 'Point Intercept 1'!C269, "ERROR")</f>
        <v>45755</v>
      </c>
      <c r="D269" s="9" t="str">
        <f>if('Point Intercept 1'!D269 = 'Point Intercept 2'!D269, 'Point Intercept 1'!D269, "ERROR")</f>
        <v>JC, TL</v>
      </c>
      <c r="E269" s="9" t="str">
        <f>if('Point Intercept 1'!E269 = 'Point Intercept 2'!E269, 'Point Intercept 1'!E269, "ERROR")</f>
        <v>VB</v>
      </c>
      <c r="F269" s="9">
        <f>if('Point Intercept 1'!F269 = 'Point Intercept 2'!F269, 'Point Intercept 1'!F269, "ERROR")</f>
        <v>3</v>
      </c>
      <c r="G269" s="9" t="str">
        <f>if('Point Intercept 1'!G269 = 'Point Intercept 2'!G269, 'Point Intercept 1'!G269, "ERROR")</f>
        <v>LU</v>
      </c>
      <c r="H269" s="9">
        <f>if('Point Intercept 1'!I269 = 'Point Intercept 2'!I269, 'Point Intercept 1'!I269, "ERROR")</f>
        <v>4</v>
      </c>
      <c r="I269" s="9">
        <f>if('Point Intercept 1'!H269 = 'Point Intercept 2'!H269, 'Point Intercept 1'!H269, "ERROR")</f>
        <v>2</v>
      </c>
      <c r="J269" s="9">
        <f>if('Point Intercept 1'!J269 = 'Point Intercept 2'!J269, 'Point Intercept 1'!J269, "ERROR")</f>
        <v>1.5</v>
      </c>
      <c r="K269" s="9" t="str">
        <f>if('Point Intercept 1'!K269 = 'Point Intercept 2'!K269, 'Point Intercept 1'!K269, "ERROR")</f>
        <v>FESMYU</v>
      </c>
      <c r="L269" s="9" t="str">
        <f>if('Point Intercept 1'!L269 = 'Point Intercept 2'!L269, 'Point Intercept 1'!L269, "ERROR")</f>
        <v>Festuca myuros</v>
      </c>
      <c r="M269" s="9" t="str">
        <f>if('Point Intercept 1'!N269 = 'Point Intercept 2'!M269, 'Point Intercept 1'!N269, "ERROR")</f>
        <v/>
      </c>
      <c r="N269" s="9" t="str">
        <f>if('Point Intercept 1'!O269 = 'Point Intercept 2'!N269, 'Point Intercept 1'!O269, "ERROR")</f>
        <v/>
      </c>
      <c r="O269" s="9" t="str">
        <f>if('Point Intercept 1'!P269 = 'Point Intercept 2'!O269, 'Point Intercept 1'!P269, "ERROR")</f>
        <v/>
      </c>
    </row>
    <row r="270">
      <c r="A270" s="9">
        <f>if('Point Intercept 1'!A270 = 'Point Intercept 2'!A270, 'Point Intercept 1'!A270, "ERROR")</f>
        <v>3</v>
      </c>
      <c r="B270" s="9">
        <f>if('Point Intercept 1'!B270 = 'Point Intercept 2'!B270, 'Point Intercept 1'!B270, "ERROR")</f>
        <v>2025</v>
      </c>
      <c r="C270" s="14">
        <f>if('Point Intercept 1'!C270 = 'Point Intercept 2'!C270, 'Point Intercept 1'!C270, "ERROR")</f>
        <v>45755</v>
      </c>
      <c r="D270" s="9" t="str">
        <f>if('Point Intercept 1'!D270 = 'Point Intercept 2'!D270, 'Point Intercept 1'!D270, "ERROR")</f>
        <v>JC, TL</v>
      </c>
      <c r="E270" s="9" t="str">
        <f>if('Point Intercept 1'!E270 = 'Point Intercept 2'!E270, 'Point Intercept 1'!E270, "ERROR")</f>
        <v>VB</v>
      </c>
      <c r="F270" s="9">
        <f>if('Point Intercept 1'!F270 = 'Point Intercept 2'!F270, 'Point Intercept 1'!F270, "ERROR")</f>
        <v>3</v>
      </c>
      <c r="G270" s="9" t="str">
        <f>if('Point Intercept 1'!G270 = 'Point Intercept 2'!G270, 'Point Intercept 1'!G270, "ERROR")</f>
        <v>LU</v>
      </c>
      <c r="H270" s="9">
        <f>if('Point Intercept 1'!I270 = 'Point Intercept 2'!I270, 'Point Intercept 1'!I270, "ERROR")</f>
        <v>5</v>
      </c>
      <c r="I270" s="9">
        <f>if('Point Intercept 1'!H270 = 'Point Intercept 2'!H270, 'Point Intercept 1'!H270, "ERROR")</f>
        <v>2</v>
      </c>
      <c r="J270" s="9">
        <f>if('Point Intercept 1'!J270 = 'Point Intercept 2'!J270, 'Point Intercept 1'!J270, "ERROR")</f>
        <v>2.5</v>
      </c>
      <c r="K270" s="9" t="str">
        <f>if('Point Intercept 1'!K270 = 'Point Intercept 2'!K270, 'Point Intercept 1'!K270, "ERROR")</f>
        <v>B</v>
      </c>
      <c r="L270" s="9" t="str">
        <f>if('Point Intercept 1'!L270 = 'Point Intercept 2'!L270, 'Point Intercept 1'!L270, "ERROR")</f>
        <v>Bareground</v>
      </c>
      <c r="M270" s="9" t="str">
        <f>if('Point Intercept 1'!N270 = 'Point Intercept 2'!M270, 'Point Intercept 1'!N270, "ERROR")</f>
        <v/>
      </c>
      <c r="N270" s="9" t="str">
        <f>if('Point Intercept 1'!O270 = 'Point Intercept 2'!N270, 'Point Intercept 1'!O270, "ERROR")</f>
        <v/>
      </c>
      <c r="O270" s="9" t="str">
        <f>if('Point Intercept 1'!P270 = 'Point Intercept 2'!O270, 'Point Intercept 1'!P270, "ERROR")</f>
        <v/>
      </c>
    </row>
    <row r="271">
      <c r="A271" s="9">
        <f>if('Point Intercept 1'!A271 = 'Point Intercept 2'!A271, 'Point Intercept 1'!A271, "ERROR")</f>
        <v>3</v>
      </c>
      <c r="B271" s="9">
        <f>if('Point Intercept 1'!B271 = 'Point Intercept 2'!B271, 'Point Intercept 1'!B271, "ERROR")</f>
        <v>2025</v>
      </c>
      <c r="C271" s="14">
        <f>if('Point Intercept 1'!C271 = 'Point Intercept 2'!C271, 'Point Intercept 1'!C271, "ERROR")</f>
        <v>45755</v>
      </c>
      <c r="D271" s="9" t="str">
        <f>if('Point Intercept 1'!D271 = 'Point Intercept 2'!D271, 'Point Intercept 1'!D271, "ERROR")</f>
        <v>JC, TL</v>
      </c>
      <c r="E271" s="9" t="str">
        <f>if('Point Intercept 1'!E271 = 'Point Intercept 2'!E271, 'Point Intercept 1'!E271, "ERROR")</f>
        <v>VB</v>
      </c>
      <c r="F271" s="9">
        <f>if('Point Intercept 1'!F271 = 'Point Intercept 2'!F271, 'Point Intercept 1'!F271, "ERROR")</f>
        <v>3</v>
      </c>
      <c r="G271" s="9" t="str">
        <f>if('Point Intercept 1'!G271 = 'Point Intercept 2'!G271, 'Point Intercept 1'!G271, "ERROR")</f>
        <v>LU</v>
      </c>
      <c r="H271" s="9">
        <f>if('Point Intercept 1'!I271 = 'Point Intercept 2'!I271, 'Point Intercept 1'!I271, "ERROR")</f>
        <v>5</v>
      </c>
      <c r="I271" s="9">
        <f>if('Point Intercept 1'!H271 = 'Point Intercept 2'!H271, 'Point Intercept 1'!H271, "ERROR")</f>
        <v>2</v>
      </c>
      <c r="J271" s="9">
        <f>if('Point Intercept 1'!J271 = 'Point Intercept 2'!J271, 'Point Intercept 1'!J271, "ERROR")</f>
        <v>2.5</v>
      </c>
      <c r="K271" s="9" t="str">
        <f>if('Point Intercept 1'!K271 = 'Point Intercept 2'!K271, 'Point Intercept 1'!K271, "ERROR")</f>
        <v>FESMYU</v>
      </c>
      <c r="L271" s="9" t="str">
        <f>if('Point Intercept 1'!L271 = 'Point Intercept 2'!L271, 'Point Intercept 1'!L271, "ERROR")</f>
        <v>Festuca myuros</v>
      </c>
      <c r="M271" s="9" t="str">
        <f>if('Point Intercept 1'!N271 = 'Point Intercept 2'!M271, 'Point Intercept 1'!N271, "ERROR")</f>
        <v/>
      </c>
      <c r="N271" s="9" t="str">
        <f>if('Point Intercept 1'!O271 = 'Point Intercept 2'!N271, 'Point Intercept 1'!O271, "ERROR")</f>
        <v/>
      </c>
      <c r="O271" s="9" t="str">
        <f>if('Point Intercept 1'!P271 = 'Point Intercept 2'!O271, 'Point Intercept 1'!P271, "ERROR")</f>
        <v/>
      </c>
    </row>
    <row r="272">
      <c r="A272" s="9">
        <f>if('Point Intercept 1'!A272 = 'Point Intercept 2'!A272, 'Point Intercept 1'!A272, "ERROR")</f>
        <v>3</v>
      </c>
      <c r="B272" s="9">
        <f>if('Point Intercept 1'!B272 = 'Point Intercept 2'!B272, 'Point Intercept 1'!B272, "ERROR")</f>
        <v>2025</v>
      </c>
      <c r="C272" s="14">
        <f>if('Point Intercept 1'!C272 = 'Point Intercept 2'!C272, 'Point Intercept 1'!C272, "ERROR")</f>
        <v>45755</v>
      </c>
      <c r="D272" s="9" t="str">
        <f>if('Point Intercept 1'!D272 = 'Point Intercept 2'!D272, 'Point Intercept 1'!D272, "ERROR")</f>
        <v>JC, TL</v>
      </c>
      <c r="E272" s="9" t="str">
        <f>if('Point Intercept 1'!E272 = 'Point Intercept 2'!E272, 'Point Intercept 1'!E272, "ERROR")</f>
        <v>VB</v>
      </c>
      <c r="F272" s="9">
        <f>if('Point Intercept 1'!F272 = 'Point Intercept 2'!F272, 'Point Intercept 1'!F272, "ERROR")</f>
        <v>3</v>
      </c>
      <c r="G272" s="9" t="str">
        <f>if('Point Intercept 1'!G272 = 'Point Intercept 2'!G272, 'Point Intercept 1'!G272, "ERROR")</f>
        <v>LU</v>
      </c>
      <c r="H272" s="9">
        <f>if('Point Intercept 1'!I272 = 'Point Intercept 2'!I272, 'Point Intercept 1'!I272, "ERROR")</f>
        <v>6</v>
      </c>
      <c r="I272" s="9">
        <f>if('Point Intercept 1'!H272 = 'Point Intercept 2'!H272, 'Point Intercept 1'!H272, "ERROR")</f>
        <v>2</v>
      </c>
      <c r="J272" s="9">
        <f>if('Point Intercept 1'!J272 = 'Point Intercept 2'!J272, 'Point Intercept 1'!J272, "ERROR")</f>
        <v>3</v>
      </c>
      <c r="K272" s="9" t="str">
        <f>if('Point Intercept 1'!K272 = 'Point Intercept 2'!K272, 'Point Intercept 1'!K272, "ERROR")</f>
        <v>L</v>
      </c>
      <c r="L272" s="9" t="str">
        <f>if('Point Intercept 1'!L272 = 'Point Intercept 2'!L272, 'Point Intercept 1'!L272, "ERROR")</f>
        <v>Litter</v>
      </c>
      <c r="M272" s="9" t="str">
        <f>if('Point Intercept 1'!N272 = 'Point Intercept 2'!M272, 'Point Intercept 1'!N272, "ERROR")</f>
        <v/>
      </c>
      <c r="N272" s="9" t="str">
        <f>if('Point Intercept 1'!O272 = 'Point Intercept 2'!N272, 'Point Intercept 1'!O272, "ERROR")</f>
        <v/>
      </c>
      <c r="O272" s="9" t="str">
        <f>if('Point Intercept 1'!P272 = 'Point Intercept 2'!O272, 'Point Intercept 1'!P272, "ERROR")</f>
        <v/>
      </c>
    </row>
    <row r="273">
      <c r="A273" s="9">
        <f>if('Point Intercept 1'!A273 = 'Point Intercept 2'!A273, 'Point Intercept 1'!A273, "ERROR")</f>
        <v>3</v>
      </c>
      <c r="B273" s="9">
        <f>if('Point Intercept 1'!B273 = 'Point Intercept 2'!B273, 'Point Intercept 1'!B273, "ERROR")</f>
        <v>2025</v>
      </c>
      <c r="C273" s="14">
        <f>if('Point Intercept 1'!C273 = 'Point Intercept 2'!C273, 'Point Intercept 1'!C273, "ERROR")</f>
        <v>45755</v>
      </c>
      <c r="D273" s="9" t="str">
        <f>if('Point Intercept 1'!D273 = 'Point Intercept 2'!D273, 'Point Intercept 1'!D273, "ERROR")</f>
        <v>JC, TL</v>
      </c>
      <c r="E273" s="9" t="str">
        <f>if('Point Intercept 1'!E273 = 'Point Intercept 2'!E273, 'Point Intercept 1'!E273, "ERROR")</f>
        <v>VB</v>
      </c>
      <c r="F273" s="9">
        <f>if('Point Intercept 1'!F273 = 'Point Intercept 2'!F273, 'Point Intercept 1'!F273, "ERROR")</f>
        <v>3</v>
      </c>
      <c r="G273" s="9" t="str">
        <f>if('Point Intercept 1'!G273 = 'Point Intercept 2'!G273, 'Point Intercept 1'!G273, "ERROR")</f>
        <v>LU</v>
      </c>
      <c r="H273" s="9">
        <f>if('Point Intercept 1'!I273 = 'Point Intercept 2'!I273, 'Point Intercept 1'!I273, "ERROR")</f>
        <v>6</v>
      </c>
      <c r="I273" s="9">
        <f>if('Point Intercept 1'!H273 = 'Point Intercept 2'!H273, 'Point Intercept 1'!H273, "ERROR")</f>
        <v>2</v>
      </c>
      <c r="J273" s="9">
        <f>if('Point Intercept 1'!J273 = 'Point Intercept 2'!J273, 'Point Intercept 1'!J273, "ERROR")</f>
        <v>3</v>
      </c>
      <c r="K273" s="9" t="str">
        <f>if('Point Intercept 1'!K273 = 'Point Intercept 2'!K273, 'Point Intercept 1'!K273, "ERROR")</f>
        <v>CRACON</v>
      </c>
      <c r="L273" s="9" t="str">
        <f>if('Point Intercept 1'!L273 = 'Point Intercept 2'!L273, 'Point Intercept 1'!L273, "ERROR")</f>
        <v>Crassula connata</v>
      </c>
      <c r="M273" s="9" t="str">
        <f>if('Point Intercept 1'!N273 = 'Point Intercept 2'!M273, 'Point Intercept 1'!N273, "ERROR")</f>
        <v/>
      </c>
      <c r="N273" s="9" t="str">
        <f>if('Point Intercept 1'!O273 = 'Point Intercept 2'!N273, 'Point Intercept 1'!O273, "ERROR")</f>
        <v/>
      </c>
      <c r="O273" s="9" t="str">
        <f>if('Point Intercept 1'!P273 = 'Point Intercept 2'!O273, 'Point Intercept 1'!P273, "ERROR")</f>
        <v/>
      </c>
    </row>
    <row r="274">
      <c r="A274" s="9">
        <f>if('Point Intercept 1'!A274 = 'Point Intercept 2'!A274, 'Point Intercept 1'!A274, "ERROR")</f>
        <v>3</v>
      </c>
      <c r="B274" s="9">
        <f>if('Point Intercept 1'!B274 = 'Point Intercept 2'!B274, 'Point Intercept 1'!B274, "ERROR")</f>
        <v>2025</v>
      </c>
      <c r="C274" s="14">
        <f>if('Point Intercept 1'!C274 = 'Point Intercept 2'!C274, 'Point Intercept 1'!C274, "ERROR")</f>
        <v>45755</v>
      </c>
      <c r="D274" s="9" t="str">
        <f>if('Point Intercept 1'!D274 = 'Point Intercept 2'!D274, 'Point Intercept 1'!D274, "ERROR")</f>
        <v>JC, TL</v>
      </c>
      <c r="E274" s="9" t="str">
        <f>if('Point Intercept 1'!E274 = 'Point Intercept 2'!E274, 'Point Intercept 1'!E274, "ERROR")</f>
        <v>VB</v>
      </c>
      <c r="F274" s="9">
        <f>if('Point Intercept 1'!F274 = 'Point Intercept 2'!F274, 'Point Intercept 1'!F274, "ERROR")</f>
        <v>3</v>
      </c>
      <c r="G274" s="9" t="str">
        <f>if('Point Intercept 1'!G274 = 'Point Intercept 2'!G274, 'Point Intercept 1'!G274, "ERROR")</f>
        <v>LU</v>
      </c>
      <c r="H274" s="9">
        <f>if('Point Intercept 1'!I274 = 'Point Intercept 2'!I274, 'Point Intercept 1'!I274, "ERROR")</f>
        <v>6</v>
      </c>
      <c r="I274" s="9">
        <f>if('Point Intercept 1'!H274 = 'Point Intercept 2'!H274, 'Point Intercept 1'!H274, "ERROR")</f>
        <v>2</v>
      </c>
      <c r="J274" s="9">
        <f>if('Point Intercept 1'!J274 = 'Point Intercept 2'!J274, 'Point Intercept 1'!J274, "ERROR")</f>
        <v>3</v>
      </c>
      <c r="K274" s="9" t="str">
        <f>if('Point Intercept 1'!K274 = 'Point Intercept 2'!K274, 'Point Intercept 1'!K274, "ERROR")</f>
        <v>FESMYU</v>
      </c>
      <c r="L274" s="9" t="str">
        <f>if('Point Intercept 1'!L274 = 'Point Intercept 2'!L274, 'Point Intercept 1'!L274, "ERROR")</f>
        <v>Festuca myuros</v>
      </c>
      <c r="M274" s="9" t="str">
        <f>if('Point Intercept 1'!N274 = 'Point Intercept 2'!M274, 'Point Intercept 1'!N274, "ERROR")</f>
        <v/>
      </c>
      <c r="N274" s="9" t="str">
        <f>if('Point Intercept 1'!O274 = 'Point Intercept 2'!N274, 'Point Intercept 1'!O274, "ERROR")</f>
        <v/>
      </c>
      <c r="O274" s="9" t="str">
        <f>if('Point Intercept 1'!P274 = 'Point Intercept 2'!O274, 'Point Intercept 1'!P274, "ERROR")</f>
        <v/>
      </c>
    </row>
    <row r="275">
      <c r="A275" s="9">
        <f>if('Point Intercept 1'!A275 = 'Point Intercept 2'!A275, 'Point Intercept 1'!A275, "ERROR")</f>
        <v>3</v>
      </c>
      <c r="B275" s="9">
        <f>if('Point Intercept 1'!B275 = 'Point Intercept 2'!B275, 'Point Intercept 1'!B275, "ERROR")</f>
        <v>2025</v>
      </c>
      <c r="C275" s="14">
        <f>if('Point Intercept 1'!C275 = 'Point Intercept 2'!C275, 'Point Intercept 1'!C275, "ERROR")</f>
        <v>45755</v>
      </c>
      <c r="D275" s="9" t="str">
        <f>if('Point Intercept 1'!D275 = 'Point Intercept 2'!D275, 'Point Intercept 1'!D275, "ERROR")</f>
        <v>JC, TL</v>
      </c>
      <c r="E275" s="9" t="str">
        <f>if('Point Intercept 1'!E275 = 'Point Intercept 2'!E275, 'Point Intercept 1'!E275, "ERROR")</f>
        <v>VB</v>
      </c>
      <c r="F275" s="9">
        <f>if('Point Intercept 1'!F275 = 'Point Intercept 2'!F275, 'Point Intercept 1'!F275, "ERROR")</f>
        <v>3</v>
      </c>
      <c r="G275" s="9" t="str">
        <f>if('Point Intercept 1'!G275 = 'Point Intercept 2'!G275, 'Point Intercept 1'!G275, "ERROR")</f>
        <v>LU</v>
      </c>
      <c r="H275" s="9">
        <f>if('Point Intercept 1'!I275 = 'Point Intercept 2'!I275, 'Point Intercept 1'!I275, "ERROR")</f>
        <v>6</v>
      </c>
      <c r="I275" s="9">
        <f>if('Point Intercept 1'!H275 = 'Point Intercept 2'!H275, 'Point Intercept 1'!H275, "ERROR")</f>
        <v>2</v>
      </c>
      <c r="J275" s="9">
        <f>if('Point Intercept 1'!J275 = 'Point Intercept 2'!J275, 'Point Intercept 1'!J275, "ERROR")</f>
        <v>3</v>
      </c>
      <c r="K275" s="9" t="str">
        <f>if('Point Intercept 1'!K275 = 'Point Intercept 2'!K275, 'Point Intercept 1'!K275, "ERROR")</f>
        <v>MEDPOL</v>
      </c>
      <c r="L275" s="9" t="str">
        <f>if('Point Intercept 1'!L275 = 'Point Intercept 2'!L275, 'Point Intercept 1'!L275, "ERROR")</f>
        <v>Medicago polymorpha</v>
      </c>
      <c r="M275" s="9" t="str">
        <f>if('Point Intercept 1'!N275 = 'Point Intercept 2'!M275, 'Point Intercept 1'!N275, "ERROR")</f>
        <v/>
      </c>
      <c r="N275" s="9" t="str">
        <f>if('Point Intercept 1'!O275 = 'Point Intercept 2'!N275, 'Point Intercept 1'!O275, "ERROR")</f>
        <v/>
      </c>
      <c r="O275" s="9" t="str">
        <f>if('Point Intercept 1'!P275 = 'Point Intercept 2'!O275, 'Point Intercept 1'!P275, "ERROR")</f>
        <v/>
      </c>
    </row>
    <row r="276">
      <c r="A276" s="9">
        <f>if('Point Intercept 1'!A276 = 'Point Intercept 2'!A276, 'Point Intercept 1'!A276, "ERROR")</f>
        <v>3</v>
      </c>
      <c r="B276" s="9">
        <f>if('Point Intercept 1'!B276 = 'Point Intercept 2'!B276, 'Point Intercept 1'!B276, "ERROR")</f>
        <v>2025</v>
      </c>
      <c r="C276" s="14">
        <f>if('Point Intercept 1'!C276 = 'Point Intercept 2'!C276, 'Point Intercept 1'!C276, "ERROR")</f>
        <v>45755</v>
      </c>
      <c r="D276" s="9" t="str">
        <f>if('Point Intercept 1'!D276 = 'Point Intercept 2'!D276, 'Point Intercept 1'!D276, "ERROR")</f>
        <v>JC, TL</v>
      </c>
      <c r="E276" s="9" t="str">
        <f>if('Point Intercept 1'!E276 = 'Point Intercept 2'!E276, 'Point Intercept 1'!E276, "ERROR")</f>
        <v>VB</v>
      </c>
      <c r="F276" s="9">
        <f>if('Point Intercept 1'!F276 = 'Point Intercept 2'!F276, 'Point Intercept 1'!F276, "ERROR")</f>
        <v>3</v>
      </c>
      <c r="G276" s="9" t="str">
        <f>if('Point Intercept 1'!G276 = 'Point Intercept 2'!G276, 'Point Intercept 1'!G276, "ERROR")</f>
        <v>LU</v>
      </c>
      <c r="H276" s="9">
        <f>if('Point Intercept 1'!I276 = 'Point Intercept 2'!I276, 'Point Intercept 1'!I276, "ERROR")</f>
        <v>6</v>
      </c>
      <c r="I276" s="9">
        <f>if('Point Intercept 1'!H276 = 'Point Intercept 2'!H276, 'Point Intercept 1'!H276, "ERROR")</f>
        <v>2</v>
      </c>
      <c r="J276" s="9">
        <f>if('Point Intercept 1'!J276 = 'Point Intercept 2'!J276, 'Point Intercept 1'!J276, "ERROR")</f>
        <v>3</v>
      </c>
      <c r="K276" s="9" t="str">
        <f>if('Point Intercept 1'!K276 = 'Point Intercept 2'!K276, 'Point Intercept 1'!K276, "ERROR")</f>
        <v>OPULIT</v>
      </c>
      <c r="L276" s="9" t="str">
        <f>if('Point Intercept 1'!L276 = 'Point Intercept 2'!L276, 'Point Intercept 1'!L276, "ERROR")</f>
        <v>Opuntia littoralis</v>
      </c>
      <c r="M276" s="9" t="str">
        <f>if('Point Intercept 1'!N276 = 'Point Intercept 2'!M276, 'Point Intercept 1'!N276, "ERROR")</f>
        <v/>
      </c>
      <c r="N276" s="9" t="str">
        <f>if('Point Intercept 1'!O276 = 'Point Intercept 2'!N276, 'Point Intercept 1'!O276, "ERROR")</f>
        <v/>
      </c>
      <c r="O276" s="9" t="str">
        <f>if('Point Intercept 1'!P276 = 'Point Intercept 2'!O276, 'Point Intercept 1'!P276, "ERROR")</f>
        <v/>
      </c>
    </row>
    <row r="277">
      <c r="A277" s="9">
        <f>if('Point Intercept 1'!A277 = 'Point Intercept 2'!A277, 'Point Intercept 1'!A277, "ERROR")</f>
        <v>3</v>
      </c>
      <c r="B277" s="9">
        <f>if('Point Intercept 1'!B277 = 'Point Intercept 2'!B277, 'Point Intercept 1'!B277, "ERROR")</f>
        <v>2025</v>
      </c>
      <c r="C277" s="14">
        <f>if('Point Intercept 1'!C277 = 'Point Intercept 2'!C277, 'Point Intercept 1'!C277, "ERROR")</f>
        <v>45755</v>
      </c>
      <c r="D277" s="9" t="str">
        <f>if('Point Intercept 1'!D277 = 'Point Intercept 2'!D277, 'Point Intercept 1'!D277, "ERROR")</f>
        <v>JC, TL</v>
      </c>
      <c r="E277" s="9" t="str">
        <f>if('Point Intercept 1'!E277 = 'Point Intercept 2'!E277, 'Point Intercept 1'!E277, "ERROR")</f>
        <v>VB</v>
      </c>
      <c r="F277" s="9">
        <f>if('Point Intercept 1'!F277 = 'Point Intercept 2'!F277, 'Point Intercept 1'!F277, "ERROR")</f>
        <v>3</v>
      </c>
      <c r="G277" s="9" t="str">
        <f>if('Point Intercept 1'!G277 = 'Point Intercept 2'!G277, 'Point Intercept 1'!G277, "ERROR")</f>
        <v>LU</v>
      </c>
      <c r="H277" s="9">
        <f>if('Point Intercept 1'!I277 = 'Point Intercept 2'!I277, 'Point Intercept 1'!I277, "ERROR")</f>
        <v>7</v>
      </c>
      <c r="I277" s="9">
        <f>if('Point Intercept 1'!H277 = 'Point Intercept 2'!H277, 'Point Intercept 1'!H277, "ERROR")</f>
        <v>2</v>
      </c>
      <c r="J277" s="9">
        <f>if('Point Intercept 1'!J277 = 'Point Intercept 2'!J277, 'Point Intercept 1'!J277, "ERROR")</f>
        <v>3.5</v>
      </c>
      <c r="K277" s="9" t="str">
        <f>if('Point Intercept 1'!K277 = 'Point Intercept 2'!K277, 'Point Intercept 1'!K277, "ERROR")</f>
        <v>L</v>
      </c>
      <c r="L277" s="9" t="str">
        <f>if('Point Intercept 1'!L277 = 'Point Intercept 2'!L277, 'Point Intercept 1'!L277, "ERROR")</f>
        <v>Litter</v>
      </c>
      <c r="M277" s="9" t="str">
        <f>if('Point Intercept 1'!N277 = 'Point Intercept 2'!M277, 'Point Intercept 1'!N277, "ERROR")</f>
        <v/>
      </c>
      <c r="N277" s="9" t="str">
        <f>if('Point Intercept 1'!O277 = 'Point Intercept 2'!N277, 'Point Intercept 1'!O277, "ERROR")</f>
        <v/>
      </c>
      <c r="O277" s="9" t="str">
        <f>if('Point Intercept 1'!P277 = 'Point Intercept 2'!O277, 'Point Intercept 1'!P277, "ERROR")</f>
        <v/>
      </c>
    </row>
    <row r="278">
      <c r="A278" s="9">
        <f>if('Point Intercept 1'!A278 = 'Point Intercept 2'!A278, 'Point Intercept 1'!A278, "ERROR")</f>
        <v>3</v>
      </c>
      <c r="B278" s="9">
        <f>if('Point Intercept 1'!B278 = 'Point Intercept 2'!B278, 'Point Intercept 1'!B278, "ERROR")</f>
        <v>2025</v>
      </c>
      <c r="C278" s="14">
        <f>if('Point Intercept 1'!C278 = 'Point Intercept 2'!C278, 'Point Intercept 1'!C278, "ERROR")</f>
        <v>45755</v>
      </c>
      <c r="D278" s="9" t="str">
        <f>if('Point Intercept 1'!D278 = 'Point Intercept 2'!D278, 'Point Intercept 1'!D278, "ERROR")</f>
        <v>JC, TL</v>
      </c>
      <c r="E278" s="9" t="str">
        <f>if('Point Intercept 1'!E278 = 'Point Intercept 2'!E278, 'Point Intercept 1'!E278, "ERROR")</f>
        <v>VB</v>
      </c>
      <c r="F278" s="9">
        <f>if('Point Intercept 1'!F278 = 'Point Intercept 2'!F278, 'Point Intercept 1'!F278, "ERROR")</f>
        <v>3</v>
      </c>
      <c r="G278" s="9" t="str">
        <f>if('Point Intercept 1'!G278 = 'Point Intercept 2'!G278, 'Point Intercept 1'!G278, "ERROR")</f>
        <v>LU</v>
      </c>
      <c r="H278" s="9">
        <f>if('Point Intercept 1'!I278 = 'Point Intercept 2'!I278, 'Point Intercept 1'!I278, "ERROR")</f>
        <v>7</v>
      </c>
      <c r="I278" s="9">
        <f>if('Point Intercept 1'!H278 = 'Point Intercept 2'!H278, 'Point Intercept 1'!H278, "ERROR")</f>
        <v>2</v>
      </c>
      <c r="J278" s="9">
        <f>if('Point Intercept 1'!J278 = 'Point Intercept 2'!J278, 'Point Intercept 1'!J278, "ERROR")</f>
        <v>3.5</v>
      </c>
      <c r="K278" s="9" t="str">
        <f>if('Point Intercept 1'!K278 = 'Point Intercept 2'!K278, 'Point Intercept 1'!K278, "ERROR")</f>
        <v>FESMYU</v>
      </c>
      <c r="L278" s="9" t="str">
        <f>if('Point Intercept 1'!L278 = 'Point Intercept 2'!L278, 'Point Intercept 1'!L278, "ERROR")</f>
        <v>Festuca myuros</v>
      </c>
      <c r="M278" s="9" t="str">
        <f>if('Point Intercept 1'!N278 = 'Point Intercept 2'!M278, 'Point Intercept 1'!N278, "ERROR")</f>
        <v/>
      </c>
      <c r="N278" s="9" t="str">
        <f>if('Point Intercept 1'!O278 = 'Point Intercept 2'!N278, 'Point Intercept 1'!O278, "ERROR")</f>
        <v/>
      </c>
      <c r="O278" s="9" t="str">
        <f>if('Point Intercept 1'!P278 = 'Point Intercept 2'!O278, 'Point Intercept 1'!P278, "ERROR")</f>
        <v/>
      </c>
    </row>
    <row r="279">
      <c r="A279" s="9">
        <f>if('Point Intercept 1'!A279 = 'Point Intercept 2'!A279, 'Point Intercept 1'!A279, "ERROR")</f>
        <v>3</v>
      </c>
      <c r="B279" s="9">
        <f>if('Point Intercept 1'!B279 = 'Point Intercept 2'!B279, 'Point Intercept 1'!B279, "ERROR")</f>
        <v>2025</v>
      </c>
      <c r="C279" s="14">
        <f>if('Point Intercept 1'!C279 = 'Point Intercept 2'!C279, 'Point Intercept 1'!C279, "ERROR")</f>
        <v>45755</v>
      </c>
      <c r="D279" s="9" t="str">
        <f>if('Point Intercept 1'!D279 = 'Point Intercept 2'!D279, 'Point Intercept 1'!D279, "ERROR")</f>
        <v>JC, TL</v>
      </c>
      <c r="E279" s="9" t="str">
        <f>if('Point Intercept 1'!E279 = 'Point Intercept 2'!E279, 'Point Intercept 1'!E279, "ERROR")</f>
        <v>VB</v>
      </c>
      <c r="F279" s="9">
        <f>if('Point Intercept 1'!F279 = 'Point Intercept 2'!F279, 'Point Intercept 1'!F279, "ERROR")</f>
        <v>3</v>
      </c>
      <c r="G279" s="9" t="str">
        <f>if('Point Intercept 1'!G279 = 'Point Intercept 2'!G279, 'Point Intercept 1'!G279, "ERROR")</f>
        <v>LU</v>
      </c>
      <c r="H279" s="9">
        <f>if('Point Intercept 1'!I279 = 'Point Intercept 2'!I279, 'Point Intercept 1'!I279, "ERROR")</f>
        <v>8</v>
      </c>
      <c r="I279" s="9">
        <f>if('Point Intercept 1'!H279 = 'Point Intercept 2'!H279, 'Point Intercept 1'!H279, "ERROR")</f>
        <v>2</v>
      </c>
      <c r="J279" s="9">
        <f>if('Point Intercept 1'!J279 = 'Point Intercept 2'!J279, 'Point Intercept 1'!J279, "ERROR")</f>
        <v>4</v>
      </c>
      <c r="K279" s="9" t="str">
        <f>if('Point Intercept 1'!K279 = 'Point Intercept 2'!K279, 'Point Intercept 1'!K279, "ERROR")</f>
        <v>B</v>
      </c>
      <c r="L279" s="9" t="str">
        <f>if('Point Intercept 1'!L279 = 'Point Intercept 2'!L279, 'Point Intercept 1'!L279, "ERROR")</f>
        <v>Bareground</v>
      </c>
      <c r="M279" s="9" t="str">
        <f>if('Point Intercept 1'!N279 = 'Point Intercept 2'!M279, 'Point Intercept 1'!N279, "ERROR")</f>
        <v/>
      </c>
      <c r="N279" s="9" t="str">
        <f>if('Point Intercept 1'!O279 = 'Point Intercept 2'!N279, 'Point Intercept 1'!O279, "ERROR")</f>
        <v/>
      </c>
      <c r="O279" s="9" t="str">
        <f>if('Point Intercept 1'!P279 = 'Point Intercept 2'!O279, 'Point Intercept 1'!P279, "ERROR")</f>
        <v/>
      </c>
    </row>
    <row r="280">
      <c r="A280" s="9">
        <f>if('Point Intercept 1'!A280 = 'Point Intercept 2'!A280, 'Point Intercept 1'!A280, "ERROR")</f>
        <v>3</v>
      </c>
      <c r="B280" s="9">
        <f>if('Point Intercept 1'!B280 = 'Point Intercept 2'!B280, 'Point Intercept 1'!B280, "ERROR")</f>
        <v>2025</v>
      </c>
      <c r="C280" s="14">
        <f>if('Point Intercept 1'!C280 = 'Point Intercept 2'!C280, 'Point Intercept 1'!C280, "ERROR")</f>
        <v>45755</v>
      </c>
      <c r="D280" s="9" t="str">
        <f>if('Point Intercept 1'!D280 = 'Point Intercept 2'!D280, 'Point Intercept 1'!D280, "ERROR")</f>
        <v>JC, TL</v>
      </c>
      <c r="E280" s="9" t="str">
        <f>if('Point Intercept 1'!E280 = 'Point Intercept 2'!E280, 'Point Intercept 1'!E280, "ERROR")</f>
        <v>VB</v>
      </c>
      <c r="F280" s="9">
        <f>if('Point Intercept 1'!F280 = 'Point Intercept 2'!F280, 'Point Intercept 1'!F280, "ERROR")</f>
        <v>3</v>
      </c>
      <c r="G280" s="9" t="str">
        <f>if('Point Intercept 1'!G280 = 'Point Intercept 2'!G280, 'Point Intercept 1'!G280, "ERROR")</f>
        <v>LU</v>
      </c>
      <c r="H280" s="9">
        <f>if('Point Intercept 1'!I280 = 'Point Intercept 2'!I280, 'Point Intercept 1'!I280, "ERROR")</f>
        <v>8</v>
      </c>
      <c r="I280" s="9">
        <f>if('Point Intercept 1'!H280 = 'Point Intercept 2'!H280, 'Point Intercept 1'!H280, "ERROR")</f>
        <v>2</v>
      </c>
      <c r="J280" s="9">
        <f>if('Point Intercept 1'!J280 = 'Point Intercept 2'!J280, 'Point Intercept 1'!J280, "ERROR")</f>
        <v>4</v>
      </c>
      <c r="K280" s="9" t="str">
        <f>if('Point Intercept 1'!K280 = 'Point Intercept 2'!K280, 'Point Intercept 1'!K280, "ERROR")</f>
        <v>DAUPUS</v>
      </c>
      <c r="L280" s="9" t="str">
        <f>if('Point Intercept 1'!L280 = 'Point Intercept 2'!L280, 'Point Intercept 1'!L280, "ERROR")</f>
        <v>Daucus pusillus</v>
      </c>
      <c r="M280" s="9" t="str">
        <f>if('Point Intercept 1'!N280 = 'Point Intercept 2'!M280, 'Point Intercept 1'!N280, "ERROR")</f>
        <v/>
      </c>
      <c r="N280" s="9" t="str">
        <f>if('Point Intercept 1'!O280 = 'Point Intercept 2'!N280, 'Point Intercept 1'!O280, "ERROR")</f>
        <v/>
      </c>
      <c r="O280" s="9" t="str">
        <f>if('Point Intercept 1'!P280 = 'Point Intercept 2'!O280, 'Point Intercept 1'!P280, "ERROR")</f>
        <v/>
      </c>
    </row>
    <row r="281">
      <c r="A281" s="9">
        <f>if('Point Intercept 1'!A281 = 'Point Intercept 2'!A281, 'Point Intercept 1'!A281, "ERROR")</f>
        <v>3</v>
      </c>
      <c r="B281" s="9">
        <f>if('Point Intercept 1'!B281 = 'Point Intercept 2'!B281, 'Point Intercept 1'!B281, "ERROR")</f>
        <v>2025</v>
      </c>
      <c r="C281" s="14">
        <f>if('Point Intercept 1'!C281 = 'Point Intercept 2'!C281, 'Point Intercept 1'!C281, "ERROR")</f>
        <v>45755</v>
      </c>
      <c r="D281" s="9" t="str">
        <f>if('Point Intercept 1'!D281 = 'Point Intercept 2'!D281, 'Point Intercept 1'!D281, "ERROR")</f>
        <v>JC, TL</v>
      </c>
      <c r="E281" s="9" t="str">
        <f>if('Point Intercept 1'!E281 = 'Point Intercept 2'!E281, 'Point Intercept 1'!E281, "ERROR")</f>
        <v>VB</v>
      </c>
      <c r="F281" s="9">
        <f>if('Point Intercept 1'!F281 = 'Point Intercept 2'!F281, 'Point Intercept 1'!F281, "ERROR")</f>
        <v>3</v>
      </c>
      <c r="G281" s="9" t="str">
        <f>if('Point Intercept 1'!G281 = 'Point Intercept 2'!G281, 'Point Intercept 1'!G281, "ERROR")</f>
        <v>LU</v>
      </c>
      <c r="H281" s="9">
        <f>if('Point Intercept 1'!I281 = 'Point Intercept 2'!I281, 'Point Intercept 1'!I281, "ERROR")</f>
        <v>8</v>
      </c>
      <c r="I281" s="9">
        <f>if('Point Intercept 1'!H281 = 'Point Intercept 2'!H281, 'Point Intercept 1'!H281, "ERROR")</f>
        <v>2</v>
      </c>
      <c r="J281" s="9">
        <f>if('Point Intercept 1'!J281 = 'Point Intercept 2'!J281, 'Point Intercept 1'!J281, "ERROR")</f>
        <v>4</v>
      </c>
      <c r="K281" s="9" t="str">
        <f>if('Point Intercept 1'!K281 = 'Point Intercept 2'!K281, 'Point Intercept 1'!K281, "ERROR")</f>
        <v>GRICAM</v>
      </c>
      <c r="L281" s="9" t="str">
        <f>if('Point Intercept 1'!L281 = 'Point Intercept 2'!L281, 'Point Intercept 1'!L281, "ERROR")</f>
        <v>Grindelia camporum</v>
      </c>
      <c r="M281" s="9" t="str">
        <f>if('Point Intercept 1'!N281 = 'Point Intercept 2'!M281, 'Point Intercept 1'!N281, "ERROR")</f>
        <v/>
      </c>
      <c r="N281" s="9" t="str">
        <f>if('Point Intercept 1'!O281 = 'Point Intercept 2'!N281, 'Point Intercept 1'!O281, "ERROR")</f>
        <v/>
      </c>
      <c r="O281" s="9" t="str">
        <f>if('Point Intercept 1'!P281 = 'Point Intercept 2'!O281, 'Point Intercept 1'!P281, "ERROR")</f>
        <v/>
      </c>
    </row>
    <row r="282">
      <c r="A282" s="9">
        <f>if('Point Intercept 1'!A282 = 'Point Intercept 2'!A282, 'Point Intercept 1'!A282, "ERROR")</f>
        <v>3</v>
      </c>
      <c r="B282" s="9">
        <f>if('Point Intercept 1'!B282 = 'Point Intercept 2'!B282, 'Point Intercept 1'!B282, "ERROR")</f>
        <v>2025</v>
      </c>
      <c r="C282" s="14">
        <f>if('Point Intercept 1'!C282 = 'Point Intercept 2'!C282, 'Point Intercept 1'!C282, "ERROR")</f>
        <v>45755</v>
      </c>
      <c r="D282" s="9" t="str">
        <f>if('Point Intercept 1'!D282 = 'Point Intercept 2'!D282, 'Point Intercept 1'!D282, "ERROR")</f>
        <v>JC, TL</v>
      </c>
      <c r="E282" s="9" t="str">
        <f>if('Point Intercept 1'!E282 = 'Point Intercept 2'!E282, 'Point Intercept 1'!E282, "ERROR")</f>
        <v>VB</v>
      </c>
      <c r="F282" s="9">
        <f>if('Point Intercept 1'!F282 = 'Point Intercept 2'!F282, 'Point Intercept 1'!F282, "ERROR")</f>
        <v>3</v>
      </c>
      <c r="G282" s="9" t="str">
        <f>if('Point Intercept 1'!G282 = 'Point Intercept 2'!G282, 'Point Intercept 1'!G282, "ERROR")</f>
        <v>LU</v>
      </c>
      <c r="H282" s="9">
        <f>if('Point Intercept 1'!I282 = 'Point Intercept 2'!I282, 'Point Intercept 1'!I282, "ERROR")</f>
        <v>9</v>
      </c>
      <c r="I282" s="9">
        <f>if('Point Intercept 1'!H282 = 'Point Intercept 2'!H282, 'Point Intercept 1'!H282, "ERROR")</f>
        <v>2</v>
      </c>
      <c r="J282" s="9">
        <f>if('Point Intercept 1'!J282 = 'Point Intercept 2'!J282, 'Point Intercept 1'!J282, "ERROR")</f>
        <v>4.5</v>
      </c>
      <c r="K282" s="9" t="str">
        <f>if('Point Intercept 1'!K282 = 'Point Intercept 2'!K282, 'Point Intercept 1'!K282, "ERROR")</f>
        <v>L</v>
      </c>
      <c r="L282" s="9" t="str">
        <f>if('Point Intercept 1'!L282 = 'Point Intercept 2'!L282, 'Point Intercept 1'!L282, "ERROR")</f>
        <v>Litter</v>
      </c>
      <c r="M282" s="9" t="str">
        <f>if('Point Intercept 1'!N282 = 'Point Intercept 2'!M282, 'Point Intercept 1'!N282, "ERROR")</f>
        <v/>
      </c>
      <c r="N282" s="9" t="str">
        <f>if('Point Intercept 1'!O282 = 'Point Intercept 2'!N282, 'Point Intercept 1'!O282, "ERROR")</f>
        <v/>
      </c>
      <c r="O282" s="9" t="str">
        <f>if('Point Intercept 1'!P282 = 'Point Intercept 2'!O282, 'Point Intercept 1'!P282, "ERROR")</f>
        <v/>
      </c>
    </row>
    <row r="283">
      <c r="A283" s="9">
        <f>if('Point Intercept 1'!A283 = 'Point Intercept 2'!A283, 'Point Intercept 1'!A283, "ERROR")</f>
        <v>3</v>
      </c>
      <c r="B283" s="9">
        <f>if('Point Intercept 1'!B283 = 'Point Intercept 2'!B283, 'Point Intercept 1'!B283, "ERROR")</f>
        <v>2025</v>
      </c>
      <c r="C283" s="14">
        <f>if('Point Intercept 1'!C283 = 'Point Intercept 2'!C283, 'Point Intercept 1'!C283, "ERROR")</f>
        <v>45755</v>
      </c>
      <c r="D283" s="9" t="str">
        <f>if('Point Intercept 1'!D283 = 'Point Intercept 2'!D283, 'Point Intercept 1'!D283, "ERROR")</f>
        <v>JC, TL</v>
      </c>
      <c r="E283" s="9" t="str">
        <f>if('Point Intercept 1'!E283 = 'Point Intercept 2'!E283, 'Point Intercept 1'!E283, "ERROR")</f>
        <v>VB</v>
      </c>
      <c r="F283" s="9">
        <f>if('Point Intercept 1'!F283 = 'Point Intercept 2'!F283, 'Point Intercept 1'!F283, "ERROR")</f>
        <v>3</v>
      </c>
      <c r="G283" s="9" t="str">
        <f>if('Point Intercept 1'!G283 = 'Point Intercept 2'!G283, 'Point Intercept 1'!G283, "ERROR")</f>
        <v>LU</v>
      </c>
      <c r="H283" s="9">
        <f>if('Point Intercept 1'!I283 = 'Point Intercept 2'!I283, 'Point Intercept 1'!I283, "ERROR")</f>
        <v>9</v>
      </c>
      <c r="I283" s="9">
        <f>if('Point Intercept 1'!H283 = 'Point Intercept 2'!H283, 'Point Intercept 1'!H283, "ERROR")</f>
        <v>2</v>
      </c>
      <c r="J283" s="9">
        <f>if('Point Intercept 1'!J283 = 'Point Intercept 2'!J283, 'Point Intercept 1'!J283, "ERROR")</f>
        <v>4.5</v>
      </c>
      <c r="K283" s="9" t="str">
        <f>if('Point Intercept 1'!K283 = 'Point Intercept 2'!K283, 'Point Intercept 1'!K283, "ERROR")</f>
        <v>CRYMIC</v>
      </c>
      <c r="L283" s="9" t="str">
        <f>if('Point Intercept 1'!L283 = 'Point Intercept 2'!L283, 'Point Intercept 1'!L283, "ERROR")</f>
        <v>Cryptantha micromeres</v>
      </c>
      <c r="M283" s="9" t="str">
        <f>if('Point Intercept 1'!N283 = 'Point Intercept 2'!M283, 'Point Intercept 1'!N283, "ERROR")</f>
        <v/>
      </c>
      <c r="N283" s="9" t="str">
        <f>if('Point Intercept 1'!O283 = 'Point Intercept 2'!N283, 'Point Intercept 1'!O283, "ERROR")</f>
        <v/>
      </c>
      <c r="O283" s="9" t="str">
        <f>if('Point Intercept 1'!P283 = 'Point Intercept 2'!O283, 'Point Intercept 1'!P283, "ERROR")</f>
        <v/>
      </c>
    </row>
    <row r="284">
      <c r="A284" s="9">
        <f>if('Point Intercept 1'!A284 = 'Point Intercept 2'!A284, 'Point Intercept 1'!A284, "ERROR")</f>
        <v>3</v>
      </c>
      <c r="B284" s="9">
        <f>if('Point Intercept 1'!B284 = 'Point Intercept 2'!B284, 'Point Intercept 1'!B284, "ERROR")</f>
        <v>2025</v>
      </c>
      <c r="C284" s="14">
        <f>if('Point Intercept 1'!C284 = 'Point Intercept 2'!C284, 'Point Intercept 1'!C284, "ERROR")</f>
        <v>45755</v>
      </c>
      <c r="D284" s="9" t="str">
        <f>if('Point Intercept 1'!D284 = 'Point Intercept 2'!D284, 'Point Intercept 1'!D284, "ERROR")</f>
        <v>JC, TL</v>
      </c>
      <c r="E284" s="9" t="str">
        <f>if('Point Intercept 1'!E284 = 'Point Intercept 2'!E284, 'Point Intercept 1'!E284, "ERROR")</f>
        <v>VB</v>
      </c>
      <c r="F284" s="9">
        <f>if('Point Intercept 1'!F284 = 'Point Intercept 2'!F284, 'Point Intercept 1'!F284, "ERROR")</f>
        <v>3</v>
      </c>
      <c r="G284" s="9" t="str">
        <f>if('Point Intercept 1'!G284 = 'Point Intercept 2'!G284, 'Point Intercept 1'!G284, "ERROR")</f>
        <v>LU</v>
      </c>
      <c r="H284" s="9">
        <f>if('Point Intercept 1'!I284 = 'Point Intercept 2'!I284, 'Point Intercept 1'!I284, "ERROR")</f>
        <v>9</v>
      </c>
      <c r="I284" s="9">
        <f>if('Point Intercept 1'!H284 = 'Point Intercept 2'!H284, 'Point Intercept 1'!H284, "ERROR")</f>
        <v>2</v>
      </c>
      <c r="J284" s="9">
        <f>if('Point Intercept 1'!J284 = 'Point Intercept 2'!J284, 'Point Intercept 1'!J284, "ERROR")</f>
        <v>4.5</v>
      </c>
      <c r="K284" s="9" t="str">
        <f>if('Point Intercept 1'!K284 = 'Point Intercept 2'!K284, 'Point Intercept 1'!K284, "ERROR")</f>
        <v>DEIFAS</v>
      </c>
      <c r="L284" s="9" t="str">
        <f>if('Point Intercept 1'!L284 = 'Point Intercept 2'!L284, 'Point Intercept 1'!L284, "ERROR")</f>
        <v>Deinandra fasciculata</v>
      </c>
      <c r="M284" s="9" t="str">
        <f>if('Point Intercept 1'!N284 = 'Point Intercept 2'!M284, 'Point Intercept 1'!N284, "ERROR")</f>
        <v/>
      </c>
      <c r="N284" s="9" t="str">
        <f>if('Point Intercept 1'!O284 = 'Point Intercept 2'!N284, 'Point Intercept 1'!O284, "ERROR")</f>
        <v/>
      </c>
      <c r="O284" s="9" t="str">
        <f>if('Point Intercept 1'!P284 = 'Point Intercept 2'!O284, 'Point Intercept 1'!P284, "ERROR")</f>
        <v/>
      </c>
    </row>
    <row r="285">
      <c r="A285" s="9">
        <f>if('Point Intercept 1'!A285 = 'Point Intercept 2'!A285, 'Point Intercept 1'!A285, "ERROR")</f>
        <v>3</v>
      </c>
      <c r="B285" s="9">
        <f>if('Point Intercept 1'!B285 = 'Point Intercept 2'!B285, 'Point Intercept 1'!B285, "ERROR")</f>
        <v>2025</v>
      </c>
      <c r="C285" s="14">
        <f>if('Point Intercept 1'!C285 = 'Point Intercept 2'!C285, 'Point Intercept 1'!C285, "ERROR")</f>
        <v>45755</v>
      </c>
      <c r="D285" s="9" t="str">
        <f>if('Point Intercept 1'!D285 = 'Point Intercept 2'!D285, 'Point Intercept 1'!D285, "ERROR")</f>
        <v>JC, TL</v>
      </c>
      <c r="E285" s="9" t="str">
        <f>if('Point Intercept 1'!E285 = 'Point Intercept 2'!E285, 'Point Intercept 1'!E285, "ERROR")</f>
        <v>VB</v>
      </c>
      <c r="F285" s="9">
        <f>if('Point Intercept 1'!F285 = 'Point Intercept 2'!F285, 'Point Intercept 1'!F285, "ERROR")</f>
        <v>3</v>
      </c>
      <c r="G285" s="9" t="str">
        <f>if('Point Intercept 1'!G285 = 'Point Intercept 2'!G285, 'Point Intercept 1'!G285, "ERROR")</f>
        <v>LU</v>
      </c>
      <c r="H285" s="9">
        <f>if('Point Intercept 1'!I285 = 'Point Intercept 2'!I285, 'Point Intercept 1'!I285, "ERROR")</f>
        <v>9</v>
      </c>
      <c r="I285" s="9">
        <f>if('Point Intercept 1'!H285 = 'Point Intercept 2'!H285, 'Point Intercept 1'!H285, "ERROR")</f>
        <v>2</v>
      </c>
      <c r="J285" s="9">
        <f>if('Point Intercept 1'!J285 = 'Point Intercept 2'!J285, 'Point Intercept 1'!J285, "ERROR")</f>
        <v>4.5</v>
      </c>
      <c r="K285" s="9" t="str">
        <f>if('Point Intercept 1'!K285 = 'Point Intercept 2'!K285, 'Point Intercept 1'!K285, "ERROR")</f>
        <v>FESMYU</v>
      </c>
      <c r="L285" s="9" t="str">
        <f>if('Point Intercept 1'!L285 = 'Point Intercept 2'!L285, 'Point Intercept 1'!L285, "ERROR")</f>
        <v>Festuca myuros</v>
      </c>
      <c r="M285" s="9" t="str">
        <f>if('Point Intercept 1'!N285 = 'Point Intercept 2'!M285, 'Point Intercept 1'!N285, "ERROR")</f>
        <v/>
      </c>
      <c r="N285" s="9" t="str">
        <f>if('Point Intercept 1'!O285 = 'Point Intercept 2'!N285, 'Point Intercept 1'!O285, "ERROR")</f>
        <v/>
      </c>
      <c r="O285" s="9" t="str">
        <f>if('Point Intercept 1'!P285 = 'Point Intercept 2'!O285, 'Point Intercept 1'!P285, "ERROR")</f>
        <v/>
      </c>
    </row>
    <row r="286">
      <c r="A286" s="9">
        <f>if('Point Intercept 1'!A286 = 'Point Intercept 2'!A286, 'Point Intercept 1'!A286, "ERROR")</f>
        <v>3</v>
      </c>
      <c r="B286" s="9">
        <f>if('Point Intercept 1'!B286 = 'Point Intercept 2'!B286, 'Point Intercept 1'!B286, "ERROR")</f>
        <v>2025</v>
      </c>
      <c r="C286" s="14">
        <f>if('Point Intercept 1'!C286 = 'Point Intercept 2'!C286, 'Point Intercept 1'!C286, "ERROR")</f>
        <v>45755</v>
      </c>
      <c r="D286" s="9" t="str">
        <f>if('Point Intercept 1'!D286 = 'Point Intercept 2'!D286, 'Point Intercept 1'!D286, "ERROR")</f>
        <v>JC, TL</v>
      </c>
      <c r="E286" s="9" t="str">
        <f>if('Point Intercept 1'!E286 = 'Point Intercept 2'!E286, 'Point Intercept 1'!E286, "ERROR")</f>
        <v>VB</v>
      </c>
      <c r="F286" s="9">
        <f>if('Point Intercept 1'!F286 = 'Point Intercept 2'!F286, 'Point Intercept 1'!F286, "ERROR")</f>
        <v>3</v>
      </c>
      <c r="G286" s="9" t="str">
        <f>if('Point Intercept 1'!G286 = 'Point Intercept 2'!G286, 'Point Intercept 1'!G286, "ERROR")</f>
        <v>LU</v>
      </c>
      <c r="H286" s="9">
        <f>if('Point Intercept 1'!I286 = 'Point Intercept 2'!I286, 'Point Intercept 1'!I286, "ERROR")</f>
        <v>9</v>
      </c>
      <c r="I286" s="9">
        <f>if('Point Intercept 1'!H286 = 'Point Intercept 2'!H286, 'Point Intercept 1'!H286, "ERROR")</f>
        <v>2</v>
      </c>
      <c r="J286" s="9">
        <f>if('Point Intercept 1'!J286 = 'Point Intercept 2'!J286, 'Point Intercept 1'!J286, "ERROR")</f>
        <v>4.5</v>
      </c>
      <c r="K286" s="9" t="str">
        <f>if('Point Intercept 1'!K286 = 'Point Intercept 2'!K286, 'Point Intercept 1'!K286, "ERROR")</f>
        <v>CRACON</v>
      </c>
      <c r="L286" s="9" t="str">
        <f>if('Point Intercept 1'!L286 = 'Point Intercept 2'!L286, 'Point Intercept 1'!L286, "ERROR")</f>
        <v>Crassula connata</v>
      </c>
      <c r="M286" s="9" t="str">
        <f>if('Point Intercept 1'!N286 = 'Point Intercept 2'!M286, 'Point Intercept 1'!N286, "ERROR")</f>
        <v/>
      </c>
      <c r="N286" s="9" t="str">
        <f>if('Point Intercept 1'!O286 = 'Point Intercept 2'!N286, 'Point Intercept 1'!O286, "ERROR")</f>
        <v/>
      </c>
      <c r="O286" s="9" t="str">
        <f>if('Point Intercept 1'!P286 = 'Point Intercept 2'!O286, 'Point Intercept 1'!P286, "ERROR")</f>
        <v/>
      </c>
    </row>
    <row r="287">
      <c r="A287" s="9">
        <f>if('Point Intercept 1'!A287 = 'Point Intercept 2'!A287, 'Point Intercept 1'!A287, "ERROR")</f>
        <v>3</v>
      </c>
      <c r="B287" s="9">
        <f>if('Point Intercept 1'!B287 = 'Point Intercept 2'!B287, 'Point Intercept 1'!B287, "ERROR")</f>
        <v>2025</v>
      </c>
      <c r="C287" s="14">
        <f>if('Point Intercept 1'!C287 = 'Point Intercept 2'!C287, 'Point Intercept 1'!C287, "ERROR")</f>
        <v>45755</v>
      </c>
      <c r="D287" s="9" t="str">
        <f>if('Point Intercept 1'!D287 = 'Point Intercept 2'!D287, 'Point Intercept 1'!D287, "ERROR")</f>
        <v>JC, TL</v>
      </c>
      <c r="E287" s="9" t="str">
        <f>if('Point Intercept 1'!E287 = 'Point Intercept 2'!E287, 'Point Intercept 1'!E287, "ERROR")</f>
        <v>VB</v>
      </c>
      <c r="F287" s="9">
        <f>if('Point Intercept 1'!F287 = 'Point Intercept 2'!F287, 'Point Intercept 1'!F287, "ERROR")</f>
        <v>3</v>
      </c>
      <c r="G287" s="9" t="str">
        <f>if('Point Intercept 1'!G287 = 'Point Intercept 2'!G287, 'Point Intercept 1'!G287, "ERROR")</f>
        <v>LU</v>
      </c>
      <c r="H287" s="9">
        <f>if('Point Intercept 1'!I287 = 'Point Intercept 2'!I287, 'Point Intercept 1'!I287, "ERROR")</f>
        <v>10</v>
      </c>
      <c r="I287" s="9">
        <f>if('Point Intercept 1'!H287 = 'Point Intercept 2'!H287, 'Point Intercept 1'!H287, "ERROR")</f>
        <v>2</v>
      </c>
      <c r="J287" s="9">
        <f>if('Point Intercept 1'!J287 = 'Point Intercept 2'!J287, 'Point Intercept 1'!J287, "ERROR")</f>
        <v>5</v>
      </c>
      <c r="K287" s="9" t="str">
        <f>if('Point Intercept 1'!K287 = 'Point Intercept 2'!K287, 'Point Intercept 1'!K287, "ERROR")</f>
        <v>L</v>
      </c>
      <c r="L287" s="9" t="str">
        <f>if('Point Intercept 1'!L287 = 'Point Intercept 2'!L287, 'Point Intercept 1'!L287, "ERROR")</f>
        <v>Litter</v>
      </c>
      <c r="M287" s="9" t="str">
        <f>if('Point Intercept 1'!N287 = 'Point Intercept 2'!M287, 'Point Intercept 1'!N287, "ERROR")</f>
        <v/>
      </c>
      <c r="N287" s="9" t="str">
        <f>if('Point Intercept 1'!O287 = 'Point Intercept 2'!N287, 'Point Intercept 1'!O287, "ERROR")</f>
        <v/>
      </c>
      <c r="O287" s="9" t="str">
        <f>if('Point Intercept 1'!P287 = 'Point Intercept 2'!O287, 'Point Intercept 1'!P287, "ERROR")</f>
        <v/>
      </c>
    </row>
    <row r="288">
      <c r="A288" s="9">
        <f>if('Point Intercept 1'!A288 = 'Point Intercept 2'!A288, 'Point Intercept 1'!A288, "ERROR")</f>
        <v>3</v>
      </c>
      <c r="B288" s="9">
        <f>if('Point Intercept 1'!B288 = 'Point Intercept 2'!B288, 'Point Intercept 1'!B288, "ERROR")</f>
        <v>2025</v>
      </c>
      <c r="C288" s="14">
        <f>if('Point Intercept 1'!C288 = 'Point Intercept 2'!C288, 'Point Intercept 1'!C288, "ERROR")</f>
        <v>45755</v>
      </c>
      <c r="D288" s="9" t="str">
        <f>if('Point Intercept 1'!D288 = 'Point Intercept 2'!D288, 'Point Intercept 1'!D288, "ERROR")</f>
        <v>JC, TL</v>
      </c>
      <c r="E288" s="9" t="str">
        <f>if('Point Intercept 1'!E288 = 'Point Intercept 2'!E288, 'Point Intercept 1'!E288, "ERROR")</f>
        <v>VB</v>
      </c>
      <c r="F288" s="9">
        <f>if('Point Intercept 1'!F288 = 'Point Intercept 2'!F288, 'Point Intercept 1'!F288, "ERROR")</f>
        <v>3</v>
      </c>
      <c r="G288" s="9" t="str">
        <f>if('Point Intercept 1'!G288 = 'Point Intercept 2'!G288, 'Point Intercept 1'!G288, "ERROR")</f>
        <v>LU</v>
      </c>
      <c r="H288" s="9">
        <f>if('Point Intercept 1'!I288 = 'Point Intercept 2'!I288, 'Point Intercept 1'!I288, "ERROR")</f>
        <v>10</v>
      </c>
      <c r="I288" s="9">
        <f>if('Point Intercept 1'!H288 = 'Point Intercept 2'!H288, 'Point Intercept 1'!H288, "ERROR")</f>
        <v>2</v>
      </c>
      <c r="J288" s="9">
        <f>if('Point Intercept 1'!J288 = 'Point Intercept 2'!J288, 'Point Intercept 1'!J288, "ERROR")</f>
        <v>5</v>
      </c>
      <c r="K288" s="9" t="str">
        <f>if('Point Intercept 1'!K288 = 'Point Intercept 2'!K288, 'Point Intercept 1'!K288, "ERROR")</f>
        <v>CRACON</v>
      </c>
      <c r="L288" s="9" t="str">
        <f>if('Point Intercept 1'!L288 = 'Point Intercept 2'!L288, 'Point Intercept 1'!L288, "ERROR")</f>
        <v>Crassula connata</v>
      </c>
      <c r="M288" s="9" t="str">
        <f>if('Point Intercept 1'!N288 = 'Point Intercept 2'!M288, 'Point Intercept 1'!N288, "ERROR")</f>
        <v/>
      </c>
      <c r="N288" s="9" t="str">
        <f>if('Point Intercept 1'!O288 = 'Point Intercept 2'!N288, 'Point Intercept 1'!O288, "ERROR")</f>
        <v/>
      </c>
      <c r="O288" s="9" t="str">
        <f>if('Point Intercept 1'!P288 = 'Point Intercept 2'!O288, 'Point Intercept 1'!P288, "ERROR")</f>
        <v/>
      </c>
    </row>
    <row r="289">
      <c r="A289" s="9">
        <f>if('Point Intercept 1'!A289 = 'Point Intercept 2'!A289, 'Point Intercept 1'!A289, "ERROR")</f>
        <v>3</v>
      </c>
      <c r="B289" s="9">
        <f>if('Point Intercept 1'!B289 = 'Point Intercept 2'!B289, 'Point Intercept 1'!B289, "ERROR")</f>
        <v>2025</v>
      </c>
      <c r="C289" s="14">
        <f>if('Point Intercept 1'!C289 = 'Point Intercept 2'!C289, 'Point Intercept 1'!C289, "ERROR")</f>
        <v>45755</v>
      </c>
      <c r="D289" s="9" t="str">
        <f>if('Point Intercept 1'!D289 = 'Point Intercept 2'!D289, 'Point Intercept 1'!D289, "ERROR")</f>
        <v>JC, TL</v>
      </c>
      <c r="E289" s="9" t="str">
        <f>if('Point Intercept 1'!E289 = 'Point Intercept 2'!E289, 'Point Intercept 1'!E289, "ERROR")</f>
        <v>VB</v>
      </c>
      <c r="F289" s="9">
        <f>if('Point Intercept 1'!F289 = 'Point Intercept 2'!F289, 'Point Intercept 1'!F289, "ERROR")</f>
        <v>3</v>
      </c>
      <c r="G289" s="9" t="str">
        <f>if('Point Intercept 1'!G289 = 'Point Intercept 2'!G289, 'Point Intercept 1'!G289, "ERROR")</f>
        <v>LU</v>
      </c>
      <c r="H289" s="9">
        <f>if('Point Intercept 1'!I289 = 'Point Intercept 2'!I289, 'Point Intercept 1'!I289, "ERROR")</f>
        <v>10</v>
      </c>
      <c r="I289" s="9">
        <f>if('Point Intercept 1'!H289 = 'Point Intercept 2'!H289, 'Point Intercept 1'!H289, "ERROR")</f>
        <v>2</v>
      </c>
      <c r="J289" s="9">
        <f>if('Point Intercept 1'!J289 = 'Point Intercept 2'!J289, 'Point Intercept 1'!J289, "ERROR")</f>
        <v>5</v>
      </c>
      <c r="K289" s="9" t="str">
        <f>if('Point Intercept 1'!K289 = 'Point Intercept 2'!K289, 'Point Intercept 1'!K289, "ERROR")</f>
        <v>EROCIC</v>
      </c>
      <c r="L289" s="9" t="str">
        <f>if('Point Intercept 1'!L289 = 'Point Intercept 2'!L289, 'Point Intercept 1'!L289, "ERROR")</f>
        <v>Erodium cicutarium</v>
      </c>
      <c r="M289" s="9" t="str">
        <f>if('Point Intercept 1'!N289 = 'Point Intercept 2'!M289, 'Point Intercept 1'!N289, "ERROR")</f>
        <v/>
      </c>
      <c r="N289" s="9" t="str">
        <f>if('Point Intercept 1'!O289 = 'Point Intercept 2'!N289, 'Point Intercept 1'!O289, "ERROR")</f>
        <v/>
      </c>
      <c r="O289" s="9" t="str">
        <f>if('Point Intercept 1'!P289 = 'Point Intercept 2'!O289, 'Point Intercept 1'!P289, "ERROR")</f>
        <v/>
      </c>
    </row>
    <row r="290">
      <c r="A290" s="9">
        <f>if('Point Intercept 1'!A290 = 'Point Intercept 2'!A290, 'Point Intercept 1'!A290, "ERROR")</f>
        <v>3</v>
      </c>
      <c r="B290" s="9">
        <f>if('Point Intercept 1'!B290 = 'Point Intercept 2'!B290, 'Point Intercept 1'!B290, "ERROR")</f>
        <v>2025</v>
      </c>
      <c r="C290" s="14">
        <f>if('Point Intercept 1'!C290 = 'Point Intercept 2'!C290, 'Point Intercept 1'!C290, "ERROR")</f>
        <v>45755</v>
      </c>
      <c r="D290" s="9" t="str">
        <f>if('Point Intercept 1'!D290 = 'Point Intercept 2'!D290, 'Point Intercept 1'!D290, "ERROR")</f>
        <v>JC, TL</v>
      </c>
      <c r="E290" s="9" t="str">
        <f>if('Point Intercept 1'!E290 = 'Point Intercept 2'!E290, 'Point Intercept 1'!E290, "ERROR")</f>
        <v>VB</v>
      </c>
      <c r="F290" s="9">
        <f>if('Point Intercept 1'!F290 = 'Point Intercept 2'!F290, 'Point Intercept 1'!F290, "ERROR")</f>
        <v>3</v>
      </c>
      <c r="G290" s="9" t="str">
        <f>if('Point Intercept 1'!G290 = 'Point Intercept 2'!G290, 'Point Intercept 1'!G290, "ERROR")</f>
        <v>LU</v>
      </c>
      <c r="H290" s="9">
        <f>if('Point Intercept 1'!I290 = 'Point Intercept 2'!I290, 'Point Intercept 1'!I290, "ERROR")</f>
        <v>10</v>
      </c>
      <c r="I290" s="9">
        <f>if('Point Intercept 1'!H290 = 'Point Intercept 2'!H290, 'Point Intercept 1'!H290, "ERROR")</f>
        <v>2</v>
      </c>
      <c r="J290" s="9">
        <f>if('Point Intercept 1'!J290 = 'Point Intercept 2'!J290, 'Point Intercept 1'!J290, "ERROR")</f>
        <v>5</v>
      </c>
      <c r="K290" s="9" t="str">
        <f>if('Point Intercept 1'!K290 = 'Point Intercept 2'!K290, 'Point Intercept 1'!K290, "ERROR")</f>
        <v>DAUPUS</v>
      </c>
      <c r="L290" s="9" t="str">
        <f>if('Point Intercept 1'!L290 = 'Point Intercept 2'!L290, 'Point Intercept 1'!L290, "ERROR")</f>
        <v>Daucus pusillus</v>
      </c>
      <c r="M290" s="9" t="str">
        <f>if('Point Intercept 1'!N290 = 'Point Intercept 2'!M290, 'Point Intercept 1'!N290, "ERROR")</f>
        <v/>
      </c>
      <c r="N290" s="9" t="str">
        <f>if('Point Intercept 1'!O290 = 'Point Intercept 2'!N290, 'Point Intercept 1'!O290, "ERROR")</f>
        <v/>
      </c>
      <c r="O290" s="9" t="str">
        <f>if('Point Intercept 1'!P290 = 'Point Intercept 2'!O290, 'Point Intercept 1'!P290, "ERROR")</f>
        <v/>
      </c>
    </row>
    <row r="291">
      <c r="A291" s="9">
        <f>if('Point Intercept 1'!A291 = 'Point Intercept 2'!A291, 'Point Intercept 1'!A291, "ERROR")</f>
        <v>3</v>
      </c>
      <c r="B291" s="9">
        <f>if('Point Intercept 1'!B291 = 'Point Intercept 2'!B291, 'Point Intercept 1'!B291, "ERROR")</f>
        <v>2025</v>
      </c>
      <c r="C291" s="14">
        <f>if('Point Intercept 1'!C291 = 'Point Intercept 2'!C291, 'Point Intercept 1'!C291, "ERROR")</f>
        <v>45755</v>
      </c>
      <c r="D291" s="9" t="str">
        <f>if('Point Intercept 1'!D291 = 'Point Intercept 2'!D291, 'Point Intercept 1'!D291, "ERROR")</f>
        <v>JC, TL</v>
      </c>
      <c r="E291" s="9" t="str">
        <f>if('Point Intercept 1'!E291 = 'Point Intercept 2'!E291, 'Point Intercept 1'!E291, "ERROR")</f>
        <v>VB</v>
      </c>
      <c r="F291" s="9">
        <f>if('Point Intercept 1'!F291 = 'Point Intercept 2'!F291, 'Point Intercept 1'!F291, "ERROR")</f>
        <v>3</v>
      </c>
      <c r="G291" s="9" t="str">
        <f>if('Point Intercept 1'!G291 = 'Point Intercept 2'!G291, 'Point Intercept 1'!G291, "ERROR")</f>
        <v>LU</v>
      </c>
      <c r="H291" s="9">
        <f>if('Point Intercept 1'!I291 = 'Point Intercept 2'!I291, 'Point Intercept 1'!I291, "ERROR")</f>
        <v>10</v>
      </c>
      <c r="I291" s="9">
        <f>if('Point Intercept 1'!H291 = 'Point Intercept 2'!H291, 'Point Intercept 1'!H291, "ERROR")</f>
        <v>2</v>
      </c>
      <c r="J291" s="9">
        <f>if('Point Intercept 1'!J291 = 'Point Intercept 2'!J291, 'Point Intercept 1'!J291, "ERROR")</f>
        <v>5</v>
      </c>
      <c r="K291" s="9" t="str">
        <f>if('Point Intercept 1'!K291 = 'Point Intercept 2'!K291, 'Point Intercept 1'!K291, "ERROR")</f>
        <v>DEIFAS</v>
      </c>
      <c r="L291" s="9" t="str">
        <f>if('Point Intercept 1'!L291 = 'Point Intercept 2'!L291, 'Point Intercept 1'!L291, "ERROR")</f>
        <v>Deinandra fasciculata</v>
      </c>
      <c r="M291" s="9" t="str">
        <f>if('Point Intercept 1'!N291 = 'Point Intercept 2'!M291, 'Point Intercept 1'!N291, "ERROR")</f>
        <v/>
      </c>
      <c r="N291" s="9" t="str">
        <f>if('Point Intercept 1'!O291 = 'Point Intercept 2'!N291, 'Point Intercept 1'!O291, "ERROR")</f>
        <v/>
      </c>
      <c r="O291" s="9" t="str">
        <f>if('Point Intercept 1'!P291 = 'Point Intercept 2'!O291, 'Point Intercept 1'!P291, "ERROR")</f>
        <v/>
      </c>
    </row>
    <row r="292">
      <c r="A292" s="9">
        <f>if('Point Intercept 1'!A292 = 'Point Intercept 2'!A292, 'Point Intercept 1'!A292, "ERROR")</f>
        <v>3</v>
      </c>
      <c r="B292" s="9">
        <f>if('Point Intercept 1'!B292 = 'Point Intercept 2'!B292, 'Point Intercept 1'!B292, "ERROR")</f>
        <v>2025</v>
      </c>
      <c r="C292" s="14">
        <f>if('Point Intercept 1'!C292 = 'Point Intercept 2'!C292, 'Point Intercept 1'!C292, "ERROR")</f>
        <v>45755</v>
      </c>
      <c r="D292" s="9" t="str">
        <f>if('Point Intercept 1'!D292 = 'Point Intercept 2'!D292, 'Point Intercept 1'!D292, "ERROR")</f>
        <v>JC, TL</v>
      </c>
      <c r="E292" s="9" t="str">
        <f>if('Point Intercept 1'!E292 = 'Point Intercept 2'!E292, 'Point Intercept 1'!E292, "ERROR")</f>
        <v>VB</v>
      </c>
      <c r="F292" s="9">
        <f>if('Point Intercept 1'!F292 = 'Point Intercept 2'!F292, 'Point Intercept 1'!F292, "ERROR")</f>
        <v>3</v>
      </c>
      <c r="G292" s="9" t="str">
        <f>if('Point Intercept 1'!G292 = 'Point Intercept 2'!G292, 'Point Intercept 1'!G292, "ERROR")</f>
        <v>LU</v>
      </c>
      <c r="H292" s="9">
        <f>if('Point Intercept 1'!I292 = 'Point Intercept 2'!I292, 'Point Intercept 1'!I292, "ERROR")</f>
        <v>11</v>
      </c>
      <c r="I292" s="9">
        <f>if('Point Intercept 1'!H292 = 'Point Intercept 2'!H292, 'Point Intercept 1'!H292, "ERROR")</f>
        <v>2</v>
      </c>
      <c r="J292" s="9">
        <f>if('Point Intercept 1'!J292 = 'Point Intercept 2'!J292, 'Point Intercept 1'!J292, "ERROR")</f>
        <v>5.5</v>
      </c>
      <c r="K292" s="9" t="str">
        <f>if('Point Intercept 1'!K292 = 'Point Intercept 2'!K292, 'Point Intercept 1'!K292, "ERROR")</f>
        <v>S</v>
      </c>
      <c r="L292" s="9" t="str">
        <f>if('Point Intercept 1'!L292 = 'Point Intercept 2'!L292, 'Point Intercept 1'!L292, "ERROR")</f>
        <v>Stem</v>
      </c>
      <c r="M292" s="9" t="str">
        <f>if('Point Intercept 1'!N292 = 'Point Intercept 2'!M292, 'Point Intercept 1'!N292, "ERROR")</f>
        <v/>
      </c>
      <c r="N292" s="9" t="str">
        <f>if('Point Intercept 1'!O292 = 'Point Intercept 2'!N292, 'Point Intercept 1'!O292, "ERROR")</f>
        <v/>
      </c>
      <c r="O292" s="9" t="str">
        <f>if('Point Intercept 1'!P292 = 'Point Intercept 2'!O292, 'Point Intercept 1'!P292, "ERROR")</f>
        <v/>
      </c>
    </row>
    <row r="293">
      <c r="A293" s="9">
        <f>if('Point Intercept 1'!A293 = 'Point Intercept 2'!A293, 'Point Intercept 1'!A293, "ERROR")</f>
        <v>3</v>
      </c>
      <c r="B293" s="9">
        <f>if('Point Intercept 1'!B293 = 'Point Intercept 2'!B293, 'Point Intercept 1'!B293, "ERROR")</f>
        <v>2025</v>
      </c>
      <c r="C293" s="14">
        <f>if('Point Intercept 1'!C293 = 'Point Intercept 2'!C293, 'Point Intercept 1'!C293, "ERROR")</f>
        <v>45755</v>
      </c>
      <c r="D293" s="9" t="str">
        <f>if('Point Intercept 1'!D293 = 'Point Intercept 2'!D293, 'Point Intercept 1'!D293, "ERROR")</f>
        <v>JC, TL</v>
      </c>
      <c r="E293" s="9" t="str">
        <f>if('Point Intercept 1'!E293 = 'Point Intercept 2'!E293, 'Point Intercept 1'!E293, "ERROR")</f>
        <v>VB</v>
      </c>
      <c r="F293" s="9">
        <f>if('Point Intercept 1'!F293 = 'Point Intercept 2'!F293, 'Point Intercept 1'!F293, "ERROR")</f>
        <v>3</v>
      </c>
      <c r="G293" s="9" t="str">
        <f>if('Point Intercept 1'!G293 = 'Point Intercept 2'!G293, 'Point Intercept 1'!G293, "ERROR")</f>
        <v>LU</v>
      </c>
      <c r="H293" s="9">
        <f>if('Point Intercept 1'!I293 = 'Point Intercept 2'!I293, 'Point Intercept 1'!I293, "ERROR")</f>
        <v>11</v>
      </c>
      <c r="I293" s="9">
        <f>if('Point Intercept 1'!H293 = 'Point Intercept 2'!H293, 'Point Intercept 1'!H293, "ERROR")</f>
        <v>2</v>
      </c>
      <c r="J293" s="9">
        <f>if('Point Intercept 1'!J293 = 'Point Intercept 2'!J293, 'Point Intercept 1'!J293, "ERROR")</f>
        <v>5.5</v>
      </c>
      <c r="K293" s="9" t="str">
        <f>if('Point Intercept 1'!K293 = 'Point Intercept 2'!K293, 'Point Intercept 1'!K293, "ERROR")</f>
        <v>EROCIC</v>
      </c>
      <c r="L293" s="9" t="str">
        <f>if('Point Intercept 1'!L293 = 'Point Intercept 2'!L293, 'Point Intercept 1'!L293, "ERROR")</f>
        <v>Erodium cicutarium</v>
      </c>
      <c r="M293" s="9" t="str">
        <f>if('Point Intercept 1'!N293 = 'Point Intercept 2'!M293, 'Point Intercept 1'!N293, "ERROR")</f>
        <v/>
      </c>
      <c r="N293" s="9" t="str">
        <f>if('Point Intercept 1'!O293 = 'Point Intercept 2'!N293, 'Point Intercept 1'!O293, "ERROR")</f>
        <v/>
      </c>
      <c r="O293" s="9" t="str">
        <f>if('Point Intercept 1'!P293 = 'Point Intercept 2'!O293, 'Point Intercept 1'!P293, "ERROR")</f>
        <v/>
      </c>
    </row>
    <row r="294">
      <c r="A294" s="9">
        <f>if('Point Intercept 1'!A294 = 'Point Intercept 2'!A294, 'Point Intercept 1'!A294, "ERROR")</f>
        <v>3</v>
      </c>
      <c r="B294" s="9">
        <f>if('Point Intercept 1'!B294 = 'Point Intercept 2'!B294, 'Point Intercept 1'!B294, "ERROR")</f>
        <v>2025</v>
      </c>
      <c r="C294" s="14">
        <f>if('Point Intercept 1'!C294 = 'Point Intercept 2'!C294, 'Point Intercept 1'!C294, "ERROR")</f>
        <v>45755</v>
      </c>
      <c r="D294" s="9" t="str">
        <f>if('Point Intercept 1'!D294 = 'Point Intercept 2'!D294, 'Point Intercept 1'!D294, "ERROR")</f>
        <v>JC, TL</v>
      </c>
      <c r="E294" s="9" t="str">
        <f>if('Point Intercept 1'!E294 = 'Point Intercept 2'!E294, 'Point Intercept 1'!E294, "ERROR")</f>
        <v>VB</v>
      </c>
      <c r="F294" s="9">
        <f>if('Point Intercept 1'!F294 = 'Point Intercept 2'!F294, 'Point Intercept 1'!F294, "ERROR")</f>
        <v>3</v>
      </c>
      <c r="G294" s="9" t="str">
        <f>if('Point Intercept 1'!G294 = 'Point Intercept 2'!G294, 'Point Intercept 1'!G294, "ERROR")</f>
        <v>LU</v>
      </c>
      <c r="H294" s="9">
        <f>if('Point Intercept 1'!I294 = 'Point Intercept 2'!I294, 'Point Intercept 1'!I294, "ERROR")</f>
        <v>11</v>
      </c>
      <c r="I294" s="9">
        <f>if('Point Intercept 1'!H294 = 'Point Intercept 2'!H294, 'Point Intercept 1'!H294, "ERROR")</f>
        <v>2</v>
      </c>
      <c r="J294" s="9">
        <f>if('Point Intercept 1'!J294 = 'Point Intercept 2'!J294, 'Point Intercept 1'!J294, "ERROR")</f>
        <v>5.5</v>
      </c>
      <c r="K294" s="9" t="str">
        <f>if('Point Intercept 1'!K294 = 'Point Intercept 2'!K294, 'Point Intercept 1'!K294, "ERROR")</f>
        <v>DAUPUS</v>
      </c>
      <c r="L294" s="9" t="str">
        <f>if('Point Intercept 1'!L294 = 'Point Intercept 2'!L294, 'Point Intercept 1'!L294, "ERROR")</f>
        <v>Daucus pusillus</v>
      </c>
      <c r="M294" s="9" t="str">
        <f>if('Point Intercept 1'!N294 = 'Point Intercept 2'!M294, 'Point Intercept 1'!N294, "ERROR")</f>
        <v/>
      </c>
      <c r="N294" s="9" t="str">
        <f>if('Point Intercept 1'!O294 = 'Point Intercept 2'!N294, 'Point Intercept 1'!O294, "ERROR")</f>
        <v/>
      </c>
      <c r="O294" s="9" t="str">
        <f>if('Point Intercept 1'!P294 = 'Point Intercept 2'!O294, 'Point Intercept 1'!P294, "ERROR")</f>
        <v/>
      </c>
    </row>
    <row r="295">
      <c r="A295" s="9">
        <f>if('Point Intercept 1'!A295 = 'Point Intercept 2'!A295, 'Point Intercept 1'!A295, "ERROR")</f>
        <v>3</v>
      </c>
      <c r="B295" s="9">
        <f>if('Point Intercept 1'!B295 = 'Point Intercept 2'!B295, 'Point Intercept 1'!B295, "ERROR")</f>
        <v>2025</v>
      </c>
      <c r="C295" s="14">
        <f>if('Point Intercept 1'!C295 = 'Point Intercept 2'!C295, 'Point Intercept 1'!C295, "ERROR")</f>
        <v>45755</v>
      </c>
      <c r="D295" s="9" t="str">
        <f>if('Point Intercept 1'!D295 = 'Point Intercept 2'!D295, 'Point Intercept 1'!D295, "ERROR")</f>
        <v>JC, TL</v>
      </c>
      <c r="E295" s="9" t="str">
        <f>if('Point Intercept 1'!E295 = 'Point Intercept 2'!E295, 'Point Intercept 1'!E295, "ERROR")</f>
        <v>VB</v>
      </c>
      <c r="F295" s="9">
        <f>if('Point Intercept 1'!F295 = 'Point Intercept 2'!F295, 'Point Intercept 1'!F295, "ERROR")</f>
        <v>3</v>
      </c>
      <c r="G295" s="9" t="str">
        <f>if('Point Intercept 1'!G295 = 'Point Intercept 2'!G295, 'Point Intercept 1'!G295, "ERROR")</f>
        <v>LU</v>
      </c>
      <c r="H295" s="9">
        <f>if('Point Intercept 1'!I295 = 'Point Intercept 2'!I295, 'Point Intercept 1'!I295, "ERROR")</f>
        <v>11</v>
      </c>
      <c r="I295" s="9">
        <f>if('Point Intercept 1'!H295 = 'Point Intercept 2'!H295, 'Point Intercept 1'!H295, "ERROR")</f>
        <v>2</v>
      </c>
      <c r="J295" s="9">
        <f>if('Point Intercept 1'!J295 = 'Point Intercept 2'!J295, 'Point Intercept 1'!J295, "ERROR")</f>
        <v>5.5</v>
      </c>
      <c r="K295" s="9" t="str">
        <f>if('Point Intercept 1'!K295 = 'Point Intercept 2'!K295, 'Point Intercept 1'!K295, "ERROR")</f>
        <v>DEIFAS</v>
      </c>
      <c r="L295" s="9" t="str">
        <f>if('Point Intercept 1'!L295 = 'Point Intercept 2'!L295, 'Point Intercept 1'!L295, "ERROR")</f>
        <v>Deinandra fasciculata</v>
      </c>
      <c r="M295" s="9" t="str">
        <f>if('Point Intercept 1'!N295 = 'Point Intercept 2'!M295, 'Point Intercept 1'!N295, "ERROR")</f>
        <v/>
      </c>
      <c r="N295" s="9" t="str">
        <f>if('Point Intercept 1'!O295 = 'Point Intercept 2'!N295, 'Point Intercept 1'!O295, "ERROR")</f>
        <v/>
      </c>
      <c r="O295" s="9" t="str">
        <f>if('Point Intercept 1'!P295 = 'Point Intercept 2'!O295, 'Point Intercept 1'!P295, "ERROR")</f>
        <v/>
      </c>
    </row>
    <row r="296">
      <c r="A296" s="9">
        <f>if('Point Intercept 1'!A296 = 'Point Intercept 2'!A296, 'Point Intercept 1'!A296, "ERROR")</f>
        <v>3</v>
      </c>
      <c r="B296" s="9">
        <f>if('Point Intercept 1'!B296 = 'Point Intercept 2'!B296, 'Point Intercept 1'!B296, "ERROR")</f>
        <v>2025</v>
      </c>
      <c r="C296" s="14">
        <f>if('Point Intercept 1'!C296 = 'Point Intercept 2'!C296, 'Point Intercept 1'!C296, "ERROR")</f>
        <v>45755</v>
      </c>
      <c r="D296" s="9" t="str">
        <f>if('Point Intercept 1'!D296 = 'Point Intercept 2'!D296, 'Point Intercept 1'!D296, "ERROR")</f>
        <v>JC, TL</v>
      </c>
      <c r="E296" s="9" t="str">
        <f>if('Point Intercept 1'!E296 = 'Point Intercept 2'!E296, 'Point Intercept 1'!E296, "ERROR")</f>
        <v>VB</v>
      </c>
      <c r="F296" s="9">
        <f>if('Point Intercept 1'!F296 = 'Point Intercept 2'!F296, 'Point Intercept 1'!F296, "ERROR")</f>
        <v>3</v>
      </c>
      <c r="G296" s="9" t="str">
        <f>if('Point Intercept 1'!G296 = 'Point Intercept 2'!G296, 'Point Intercept 1'!G296, "ERROR")</f>
        <v>LU</v>
      </c>
      <c r="H296" s="9">
        <f>if('Point Intercept 1'!I296 = 'Point Intercept 2'!I296, 'Point Intercept 1'!I296, "ERROR")</f>
        <v>11</v>
      </c>
      <c r="I296" s="9">
        <f>if('Point Intercept 1'!H296 = 'Point Intercept 2'!H296, 'Point Intercept 1'!H296, "ERROR")</f>
        <v>2</v>
      </c>
      <c r="J296" s="9">
        <f>if('Point Intercept 1'!J296 = 'Point Intercept 2'!J296, 'Point Intercept 1'!J296, "ERROR")</f>
        <v>5.5</v>
      </c>
      <c r="K296" s="9" t="str">
        <f>if('Point Intercept 1'!K296 = 'Point Intercept 2'!K296, 'Point Intercept 1'!K296, "ERROR")</f>
        <v>MEDPOL</v>
      </c>
      <c r="L296" s="9" t="str">
        <f>if('Point Intercept 1'!L296 = 'Point Intercept 2'!L296, 'Point Intercept 1'!L296, "ERROR")</f>
        <v>Medicago polymorpha</v>
      </c>
      <c r="M296" s="9" t="str">
        <f>if('Point Intercept 1'!N296 = 'Point Intercept 2'!M296, 'Point Intercept 1'!N296, "ERROR")</f>
        <v/>
      </c>
      <c r="N296" s="9" t="str">
        <f>if('Point Intercept 1'!O296 = 'Point Intercept 2'!N296, 'Point Intercept 1'!O296, "ERROR")</f>
        <v/>
      </c>
      <c r="O296" s="9" t="str">
        <f>if('Point Intercept 1'!P296 = 'Point Intercept 2'!O296, 'Point Intercept 1'!P296, "ERROR")</f>
        <v/>
      </c>
    </row>
    <row r="297">
      <c r="A297" s="9">
        <f>if('Point Intercept 1'!A297 = 'Point Intercept 2'!A297, 'Point Intercept 1'!A297, "ERROR")</f>
        <v>3</v>
      </c>
      <c r="B297" s="9">
        <f>if('Point Intercept 1'!B297 = 'Point Intercept 2'!B297, 'Point Intercept 1'!B297, "ERROR")</f>
        <v>2025</v>
      </c>
      <c r="C297" s="14">
        <f>if('Point Intercept 1'!C297 = 'Point Intercept 2'!C297, 'Point Intercept 1'!C297, "ERROR")</f>
        <v>45755</v>
      </c>
      <c r="D297" s="9" t="str">
        <f>if('Point Intercept 1'!D297 = 'Point Intercept 2'!D297, 'Point Intercept 1'!D297, "ERROR")</f>
        <v>JC, TL</v>
      </c>
      <c r="E297" s="9" t="str">
        <f>if('Point Intercept 1'!E297 = 'Point Intercept 2'!E297, 'Point Intercept 1'!E297, "ERROR")</f>
        <v>VB</v>
      </c>
      <c r="F297" s="9">
        <f>if('Point Intercept 1'!F297 = 'Point Intercept 2'!F297, 'Point Intercept 1'!F297, "ERROR")</f>
        <v>3</v>
      </c>
      <c r="G297" s="9" t="str">
        <f>if('Point Intercept 1'!G297 = 'Point Intercept 2'!G297, 'Point Intercept 1'!G297, "ERROR")</f>
        <v>LU</v>
      </c>
      <c r="H297" s="9">
        <f>if('Point Intercept 1'!I297 = 'Point Intercept 2'!I297, 'Point Intercept 1'!I297, "ERROR")</f>
        <v>12</v>
      </c>
      <c r="I297" s="9">
        <f>if('Point Intercept 1'!H297 = 'Point Intercept 2'!H297, 'Point Intercept 1'!H297, "ERROR")</f>
        <v>2</v>
      </c>
      <c r="J297" s="9">
        <f>if('Point Intercept 1'!J297 = 'Point Intercept 2'!J297, 'Point Intercept 1'!J297, "ERROR")</f>
        <v>6</v>
      </c>
      <c r="K297" s="9" t="str">
        <f>if('Point Intercept 1'!K297 = 'Point Intercept 2'!K297, 'Point Intercept 1'!K297, "ERROR")</f>
        <v>L</v>
      </c>
      <c r="L297" s="9" t="str">
        <f>if('Point Intercept 1'!L297 = 'Point Intercept 2'!L297, 'Point Intercept 1'!L297, "ERROR")</f>
        <v>Litter</v>
      </c>
      <c r="M297" s="9" t="str">
        <f>if('Point Intercept 1'!N297 = 'Point Intercept 2'!M297, 'Point Intercept 1'!N297, "ERROR")</f>
        <v/>
      </c>
      <c r="N297" s="9" t="str">
        <f>if('Point Intercept 1'!O297 = 'Point Intercept 2'!N297, 'Point Intercept 1'!O297, "ERROR")</f>
        <v/>
      </c>
      <c r="O297" s="9" t="str">
        <f>if('Point Intercept 1'!P297 = 'Point Intercept 2'!O297, 'Point Intercept 1'!P297, "ERROR")</f>
        <v/>
      </c>
    </row>
    <row r="298">
      <c r="A298" s="9">
        <f>if('Point Intercept 1'!A298 = 'Point Intercept 2'!A298, 'Point Intercept 1'!A298, "ERROR")</f>
        <v>3</v>
      </c>
      <c r="B298" s="9">
        <f>if('Point Intercept 1'!B298 = 'Point Intercept 2'!B298, 'Point Intercept 1'!B298, "ERROR")</f>
        <v>2025</v>
      </c>
      <c r="C298" s="14">
        <f>if('Point Intercept 1'!C298 = 'Point Intercept 2'!C298, 'Point Intercept 1'!C298, "ERROR")</f>
        <v>45755</v>
      </c>
      <c r="D298" s="9" t="str">
        <f>if('Point Intercept 1'!D298 = 'Point Intercept 2'!D298, 'Point Intercept 1'!D298, "ERROR")</f>
        <v>JC, TL</v>
      </c>
      <c r="E298" s="9" t="str">
        <f>if('Point Intercept 1'!E298 = 'Point Intercept 2'!E298, 'Point Intercept 1'!E298, "ERROR")</f>
        <v>VB</v>
      </c>
      <c r="F298" s="9">
        <f>if('Point Intercept 1'!F298 = 'Point Intercept 2'!F298, 'Point Intercept 1'!F298, "ERROR")</f>
        <v>3</v>
      </c>
      <c r="G298" s="9" t="str">
        <f>if('Point Intercept 1'!G298 = 'Point Intercept 2'!G298, 'Point Intercept 1'!G298, "ERROR")</f>
        <v>LU</v>
      </c>
      <c r="H298" s="9">
        <f>if('Point Intercept 1'!I298 = 'Point Intercept 2'!I298, 'Point Intercept 1'!I298, "ERROR")</f>
        <v>12</v>
      </c>
      <c r="I298" s="9">
        <f>if('Point Intercept 1'!H298 = 'Point Intercept 2'!H298, 'Point Intercept 1'!H298, "ERROR")</f>
        <v>2</v>
      </c>
      <c r="J298" s="9">
        <f>if('Point Intercept 1'!J298 = 'Point Intercept 2'!J298, 'Point Intercept 1'!J298, "ERROR")</f>
        <v>6</v>
      </c>
      <c r="K298" s="9" t="str">
        <f>if('Point Intercept 1'!K298 = 'Point Intercept 2'!K298, 'Point Intercept 1'!K298, "ERROR")</f>
        <v>CRACON</v>
      </c>
      <c r="L298" s="9" t="str">
        <f>if('Point Intercept 1'!L298 = 'Point Intercept 2'!L298, 'Point Intercept 1'!L298, "ERROR")</f>
        <v>Crassula connata</v>
      </c>
      <c r="M298" s="9" t="str">
        <f>if('Point Intercept 1'!N298 = 'Point Intercept 2'!M298, 'Point Intercept 1'!N298, "ERROR")</f>
        <v/>
      </c>
      <c r="N298" s="9" t="str">
        <f>if('Point Intercept 1'!O298 = 'Point Intercept 2'!N298, 'Point Intercept 1'!O298, "ERROR")</f>
        <v/>
      </c>
      <c r="O298" s="9" t="str">
        <f>if('Point Intercept 1'!P298 = 'Point Intercept 2'!O298, 'Point Intercept 1'!P298, "ERROR")</f>
        <v/>
      </c>
    </row>
    <row r="299">
      <c r="A299" s="9">
        <f>if('Point Intercept 1'!A299 = 'Point Intercept 2'!A299, 'Point Intercept 1'!A299, "ERROR")</f>
        <v>3</v>
      </c>
      <c r="B299" s="9">
        <f>if('Point Intercept 1'!B299 = 'Point Intercept 2'!B299, 'Point Intercept 1'!B299, "ERROR")</f>
        <v>2025</v>
      </c>
      <c r="C299" s="14">
        <f>if('Point Intercept 1'!C299 = 'Point Intercept 2'!C299, 'Point Intercept 1'!C299, "ERROR")</f>
        <v>45755</v>
      </c>
      <c r="D299" s="9" t="str">
        <f>if('Point Intercept 1'!D299 = 'Point Intercept 2'!D299, 'Point Intercept 1'!D299, "ERROR")</f>
        <v>JC, TL</v>
      </c>
      <c r="E299" s="9" t="str">
        <f>if('Point Intercept 1'!E299 = 'Point Intercept 2'!E299, 'Point Intercept 1'!E299, "ERROR")</f>
        <v>VB</v>
      </c>
      <c r="F299" s="9">
        <f>if('Point Intercept 1'!F299 = 'Point Intercept 2'!F299, 'Point Intercept 1'!F299, "ERROR")</f>
        <v>3</v>
      </c>
      <c r="G299" s="9" t="str">
        <f>if('Point Intercept 1'!G299 = 'Point Intercept 2'!G299, 'Point Intercept 1'!G299, "ERROR")</f>
        <v>LU</v>
      </c>
      <c r="H299" s="9">
        <f>if('Point Intercept 1'!I299 = 'Point Intercept 2'!I299, 'Point Intercept 1'!I299, "ERROR")</f>
        <v>12</v>
      </c>
      <c r="I299" s="9">
        <f>if('Point Intercept 1'!H299 = 'Point Intercept 2'!H299, 'Point Intercept 1'!H299, "ERROR")</f>
        <v>2</v>
      </c>
      <c r="J299" s="9">
        <f>if('Point Intercept 1'!J299 = 'Point Intercept 2'!J299, 'Point Intercept 1'!J299, "ERROR")</f>
        <v>6</v>
      </c>
      <c r="K299" s="9" t="str">
        <f>if('Point Intercept 1'!K299 = 'Point Intercept 2'!K299, 'Point Intercept 1'!K299, "ERROR")</f>
        <v>DEIFAS</v>
      </c>
      <c r="L299" s="9" t="str">
        <f>if('Point Intercept 1'!L299 = 'Point Intercept 2'!L299, 'Point Intercept 1'!L299, "ERROR")</f>
        <v>Deinandra fasciculata</v>
      </c>
      <c r="M299" s="9" t="str">
        <f>if('Point Intercept 1'!N299 = 'Point Intercept 2'!M299, 'Point Intercept 1'!N299, "ERROR")</f>
        <v/>
      </c>
      <c r="N299" s="9" t="str">
        <f>if('Point Intercept 1'!O299 = 'Point Intercept 2'!N299, 'Point Intercept 1'!O299, "ERROR")</f>
        <v/>
      </c>
      <c r="O299" s="9" t="str">
        <f>if('Point Intercept 1'!P299 = 'Point Intercept 2'!O299, 'Point Intercept 1'!P299, "ERROR")</f>
        <v/>
      </c>
    </row>
    <row r="300">
      <c r="A300" s="9">
        <f>if('Point Intercept 1'!A300 = 'Point Intercept 2'!A300, 'Point Intercept 1'!A300, "ERROR")</f>
        <v>3</v>
      </c>
      <c r="B300" s="9">
        <f>if('Point Intercept 1'!B300 = 'Point Intercept 2'!B300, 'Point Intercept 1'!B300, "ERROR")</f>
        <v>2025</v>
      </c>
      <c r="C300" s="14">
        <f>if('Point Intercept 1'!C300 = 'Point Intercept 2'!C300, 'Point Intercept 1'!C300, "ERROR")</f>
        <v>45755</v>
      </c>
      <c r="D300" s="9" t="str">
        <f>if('Point Intercept 1'!D300 = 'Point Intercept 2'!D300, 'Point Intercept 1'!D300, "ERROR")</f>
        <v>JC, TL</v>
      </c>
      <c r="E300" s="9" t="str">
        <f>if('Point Intercept 1'!E300 = 'Point Intercept 2'!E300, 'Point Intercept 1'!E300, "ERROR")</f>
        <v>VB</v>
      </c>
      <c r="F300" s="9">
        <f>if('Point Intercept 1'!F300 = 'Point Intercept 2'!F300, 'Point Intercept 1'!F300, "ERROR")</f>
        <v>3</v>
      </c>
      <c r="G300" s="9" t="str">
        <f>if('Point Intercept 1'!G300 = 'Point Intercept 2'!G300, 'Point Intercept 1'!G300, "ERROR")</f>
        <v>LU</v>
      </c>
      <c r="H300" s="9">
        <f>if('Point Intercept 1'!I300 = 'Point Intercept 2'!I300, 'Point Intercept 1'!I300, "ERROR")</f>
        <v>12</v>
      </c>
      <c r="I300" s="9">
        <f>if('Point Intercept 1'!H300 = 'Point Intercept 2'!H300, 'Point Intercept 1'!H300, "ERROR")</f>
        <v>2</v>
      </c>
      <c r="J300" s="9">
        <f>if('Point Intercept 1'!J300 = 'Point Intercept 2'!J300, 'Point Intercept 1'!J300, "ERROR")</f>
        <v>6</v>
      </c>
      <c r="K300" s="9" t="str">
        <f>if('Point Intercept 1'!K300 = 'Point Intercept 2'!K300, 'Point Intercept 1'!K300, "ERROR")</f>
        <v>FESMYU</v>
      </c>
      <c r="L300" s="9" t="str">
        <f>if('Point Intercept 1'!L300 = 'Point Intercept 2'!L300, 'Point Intercept 1'!L300, "ERROR")</f>
        <v>Festuca myuros</v>
      </c>
      <c r="M300" s="9" t="str">
        <f>if('Point Intercept 1'!N300 = 'Point Intercept 2'!M300, 'Point Intercept 1'!N300, "ERROR")</f>
        <v/>
      </c>
      <c r="N300" s="9" t="str">
        <f>if('Point Intercept 1'!O300 = 'Point Intercept 2'!N300, 'Point Intercept 1'!O300, "ERROR")</f>
        <v/>
      </c>
      <c r="O300" s="9" t="str">
        <f>if('Point Intercept 1'!P300 = 'Point Intercept 2'!O300, 'Point Intercept 1'!P300, "ERROR")</f>
        <v/>
      </c>
    </row>
    <row r="301">
      <c r="A301" s="9">
        <f>if('Point Intercept 1'!A301 = 'Point Intercept 2'!A301, 'Point Intercept 1'!A301, "ERROR")</f>
        <v>3</v>
      </c>
      <c r="B301" s="9">
        <f>if('Point Intercept 1'!B301 = 'Point Intercept 2'!B301, 'Point Intercept 1'!B301, "ERROR")</f>
        <v>2025</v>
      </c>
      <c r="C301" s="14">
        <f>if('Point Intercept 1'!C301 = 'Point Intercept 2'!C301, 'Point Intercept 1'!C301, "ERROR")</f>
        <v>45755</v>
      </c>
      <c r="D301" s="9" t="str">
        <f>if('Point Intercept 1'!D301 = 'Point Intercept 2'!D301, 'Point Intercept 1'!D301, "ERROR")</f>
        <v>JC, TL</v>
      </c>
      <c r="E301" s="9" t="str">
        <f>if('Point Intercept 1'!E301 = 'Point Intercept 2'!E301, 'Point Intercept 1'!E301, "ERROR")</f>
        <v>VB</v>
      </c>
      <c r="F301" s="9">
        <f>if('Point Intercept 1'!F301 = 'Point Intercept 2'!F301, 'Point Intercept 1'!F301, "ERROR")</f>
        <v>3</v>
      </c>
      <c r="G301" s="9" t="str">
        <f>if('Point Intercept 1'!G301 = 'Point Intercept 2'!G301, 'Point Intercept 1'!G301, "ERROR")</f>
        <v>LU</v>
      </c>
      <c r="H301" s="9">
        <f>if('Point Intercept 1'!I301 = 'Point Intercept 2'!I301, 'Point Intercept 1'!I301, "ERROR")</f>
        <v>13</v>
      </c>
      <c r="I301" s="9">
        <f>if('Point Intercept 1'!H301 = 'Point Intercept 2'!H301, 'Point Intercept 1'!H301, "ERROR")</f>
        <v>2</v>
      </c>
      <c r="J301" s="9">
        <f>if('Point Intercept 1'!J301 = 'Point Intercept 2'!J301, 'Point Intercept 1'!J301, "ERROR")</f>
        <v>6.5</v>
      </c>
      <c r="K301" s="9" t="str">
        <f>if('Point Intercept 1'!K301 = 'Point Intercept 2'!K301, 'Point Intercept 1'!K301, "ERROR")</f>
        <v>B</v>
      </c>
      <c r="L301" s="9" t="str">
        <f>if('Point Intercept 1'!L301 = 'Point Intercept 2'!L301, 'Point Intercept 1'!L301, "ERROR")</f>
        <v>Bareground</v>
      </c>
      <c r="M301" s="9" t="str">
        <f>if('Point Intercept 1'!N301 = 'Point Intercept 2'!M301, 'Point Intercept 1'!N301, "ERROR")</f>
        <v/>
      </c>
      <c r="N301" s="9" t="str">
        <f>if('Point Intercept 1'!O301 = 'Point Intercept 2'!N301, 'Point Intercept 1'!O301, "ERROR")</f>
        <v/>
      </c>
      <c r="O301" s="9" t="str">
        <f>if('Point Intercept 1'!P301 = 'Point Intercept 2'!O301, 'Point Intercept 1'!P301, "ERROR")</f>
        <v/>
      </c>
    </row>
    <row r="302">
      <c r="A302" s="9">
        <f>if('Point Intercept 1'!A302 = 'Point Intercept 2'!A302, 'Point Intercept 1'!A302, "ERROR")</f>
        <v>3</v>
      </c>
      <c r="B302" s="9">
        <f>if('Point Intercept 1'!B302 = 'Point Intercept 2'!B302, 'Point Intercept 1'!B302, "ERROR")</f>
        <v>2025</v>
      </c>
      <c r="C302" s="14">
        <f>if('Point Intercept 1'!C302 = 'Point Intercept 2'!C302, 'Point Intercept 1'!C302, "ERROR")</f>
        <v>45755</v>
      </c>
      <c r="D302" s="9" t="str">
        <f>if('Point Intercept 1'!D302 = 'Point Intercept 2'!D302, 'Point Intercept 1'!D302, "ERROR")</f>
        <v>JC, TL</v>
      </c>
      <c r="E302" s="9" t="str">
        <f>if('Point Intercept 1'!E302 = 'Point Intercept 2'!E302, 'Point Intercept 1'!E302, "ERROR")</f>
        <v>VB</v>
      </c>
      <c r="F302" s="9">
        <f>if('Point Intercept 1'!F302 = 'Point Intercept 2'!F302, 'Point Intercept 1'!F302, "ERROR")</f>
        <v>3</v>
      </c>
      <c r="G302" s="9" t="str">
        <f>if('Point Intercept 1'!G302 = 'Point Intercept 2'!G302, 'Point Intercept 1'!G302, "ERROR")</f>
        <v>LU</v>
      </c>
      <c r="H302" s="9">
        <f>if('Point Intercept 1'!I302 = 'Point Intercept 2'!I302, 'Point Intercept 1'!I302, "ERROR")</f>
        <v>13</v>
      </c>
      <c r="I302" s="9">
        <f>if('Point Intercept 1'!H302 = 'Point Intercept 2'!H302, 'Point Intercept 1'!H302, "ERROR")</f>
        <v>2</v>
      </c>
      <c r="J302" s="9">
        <f>if('Point Intercept 1'!J302 = 'Point Intercept 2'!J302, 'Point Intercept 1'!J302, "ERROR")</f>
        <v>6.5</v>
      </c>
      <c r="K302" s="9" t="str">
        <f>if('Point Intercept 1'!K302 = 'Point Intercept 2'!K302, 'Point Intercept 1'!K302, "ERROR")</f>
        <v>FESMYU</v>
      </c>
      <c r="L302" s="9" t="str">
        <f>if('Point Intercept 1'!L302 = 'Point Intercept 2'!L302, 'Point Intercept 1'!L302, "ERROR")</f>
        <v>Festuca myuros</v>
      </c>
      <c r="M302" s="9" t="str">
        <f>if('Point Intercept 1'!N302 = 'Point Intercept 2'!M302, 'Point Intercept 1'!N302, "ERROR")</f>
        <v/>
      </c>
      <c r="N302" s="9" t="str">
        <f>if('Point Intercept 1'!O302 = 'Point Intercept 2'!N302, 'Point Intercept 1'!O302, "ERROR")</f>
        <v/>
      </c>
      <c r="O302" s="9" t="str">
        <f>if('Point Intercept 1'!P302 = 'Point Intercept 2'!O302, 'Point Intercept 1'!P302, "ERROR")</f>
        <v/>
      </c>
    </row>
    <row r="303">
      <c r="A303" s="9">
        <f>if('Point Intercept 1'!A303 = 'Point Intercept 2'!A303, 'Point Intercept 1'!A303, "ERROR")</f>
        <v>3</v>
      </c>
      <c r="B303" s="9">
        <f>if('Point Intercept 1'!B303 = 'Point Intercept 2'!B303, 'Point Intercept 1'!B303, "ERROR")</f>
        <v>2025</v>
      </c>
      <c r="C303" s="14">
        <f>if('Point Intercept 1'!C303 = 'Point Intercept 2'!C303, 'Point Intercept 1'!C303, "ERROR")</f>
        <v>45755</v>
      </c>
      <c r="D303" s="9" t="str">
        <f>if('Point Intercept 1'!D303 = 'Point Intercept 2'!D303, 'Point Intercept 1'!D303, "ERROR")</f>
        <v>JC, TL</v>
      </c>
      <c r="E303" s="9" t="str">
        <f>if('Point Intercept 1'!E303 = 'Point Intercept 2'!E303, 'Point Intercept 1'!E303, "ERROR")</f>
        <v>VB</v>
      </c>
      <c r="F303" s="9">
        <f>if('Point Intercept 1'!F303 = 'Point Intercept 2'!F303, 'Point Intercept 1'!F303, "ERROR")</f>
        <v>3</v>
      </c>
      <c r="G303" s="9" t="str">
        <f>if('Point Intercept 1'!G303 = 'Point Intercept 2'!G303, 'Point Intercept 1'!G303, "ERROR")</f>
        <v>LU</v>
      </c>
      <c r="H303" s="9">
        <f>if('Point Intercept 1'!I303 = 'Point Intercept 2'!I303, 'Point Intercept 1'!I303, "ERROR")</f>
        <v>14</v>
      </c>
      <c r="I303" s="9">
        <f>if('Point Intercept 1'!H303 = 'Point Intercept 2'!H303, 'Point Intercept 1'!H303, "ERROR")</f>
        <v>2</v>
      </c>
      <c r="J303" s="9">
        <f>if('Point Intercept 1'!J303 = 'Point Intercept 2'!J303, 'Point Intercept 1'!J303, "ERROR")</f>
        <v>7</v>
      </c>
      <c r="K303" s="9" t="str">
        <f>if('Point Intercept 1'!K303 = 'Point Intercept 2'!K303, 'Point Intercept 1'!K303, "ERROR")</f>
        <v>S</v>
      </c>
      <c r="L303" s="9" t="str">
        <f>if('Point Intercept 1'!L303 = 'Point Intercept 2'!L303, 'Point Intercept 1'!L303, "ERROR")</f>
        <v>Stem</v>
      </c>
      <c r="M303" s="9" t="str">
        <f>if('Point Intercept 1'!N303 = 'Point Intercept 2'!M303, 'Point Intercept 1'!N303, "ERROR")</f>
        <v/>
      </c>
      <c r="N303" s="9" t="str">
        <f>if('Point Intercept 1'!O303 = 'Point Intercept 2'!N303, 'Point Intercept 1'!O303, "ERROR")</f>
        <v/>
      </c>
      <c r="O303" s="9" t="str">
        <f>if('Point Intercept 1'!P303 = 'Point Intercept 2'!O303, 'Point Intercept 1'!P303, "ERROR")</f>
        <v/>
      </c>
    </row>
    <row r="304">
      <c r="A304" s="9">
        <f>if('Point Intercept 1'!A304 = 'Point Intercept 2'!A304, 'Point Intercept 1'!A304, "ERROR")</f>
        <v>3</v>
      </c>
      <c r="B304" s="9">
        <f>if('Point Intercept 1'!B304 = 'Point Intercept 2'!B304, 'Point Intercept 1'!B304, "ERROR")</f>
        <v>2025</v>
      </c>
      <c r="C304" s="14">
        <f>if('Point Intercept 1'!C304 = 'Point Intercept 2'!C304, 'Point Intercept 1'!C304, "ERROR")</f>
        <v>45755</v>
      </c>
      <c r="D304" s="9" t="str">
        <f>if('Point Intercept 1'!D304 = 'Point Intercept 2'!D304, 'Point Intercept 1'!D304, "ERROR")</f>
        <v>JC, TL</v>
      </c>
      <c r="E304" s="9" t="str">
        <f>if('Point Intercept 1'!E304 = 'Point Intercept 2'!E304, 'Point Intercept 1'!E304, "ERROR")</f>
        <v>VB</v>
      </c>
      <c r="F304" s="9">
        <f>if('Point Intercept 1'!F304 = 'Point Intercept 2'!F304, 'Point Intercept 1'!F304, "ERROR")</f>
        <v>3</v>
      </c>
      <c r="G304" s="9" t="str">
        <f>if('Point Intercept 1'!G304 = 'Point Intercept 2'!G304, 'Point Intercept 1'!G304, "ERROR")</f>
        <v>LU</v>
      </c>
      <c r="H304" s="9">
        <f>if('Point Intercept 1'!I304 = 'Point Intercept 2'!I304, 'Point Intercept 1'!I304, "ERROR")</f>
        <v>14</v>
      </c>
      <c r="I304" s="9">
        <f>if('Point Intercept 1'!H304 = 'Point Intercept 2'!H304, 'Point Intercept 1'!H304, "ERROR")</f>
        <v>2</v>
      </c>
      <c r="J304" s="9">
        <f>if('Point Intercept 1'!J304 = 'Point Intercept 2'!J304, 'Point Intercept 1'!J304, "ERROR")</f>
        <v>7</v>
      </c>
      <c r="K304" s="9" t="str">
        <f>if('Point Intercept 1'!K304 = 'Point Intercept 2'!K304, 'Point Intercept 1'!K304, "ERROR")</f>
        <v>OPULIT</v>
      </c>
      <c r="L304" s="9" t="str">
        <f>if('Point Intercept 1'!L304 = 'Point Intercept 2'!L304, 'Point Intercept 1'!L304, "ERROR")</f>
        <v>Opuntia littoralis</v>
      </c>
      <c r="M304" s="9" t="str">
        <f>if('Point Intercept 1'!N304 = 'Point Intercept 2'!M304, 'Point Intercept 1'!N304, "ERROR")</f>
        <v/>
      </c>
      <c r="N304" s="9" t="str">
        <f>if('Point Intercept 1'!O304 = 'Point Intercept 2'!N304, 'Point Intercept 1'!O304, "ERROR")</f>
        <v/>
      </c>
      <c r="O304" s="9" t="str">
        <f>if('Point Intercept 1'!P304 = 'Point Intercept 2'!O304, 'Point Intercept 1'!P304, "ERROR")</f>
        <v/>
      </c>
    </row>
    <row r="305">
      <c r="A305" s="9">
        <f>if('Point Intercept 1'!A305 = 'Point Intercept 2'!A305, 'Point Intercept 1'!A305, "ERROR")</f>
        <v>3</v>
      </c>
      <c r="B305" s="9">
        <f>if('Point Intercept 1'!B305 = 'Point Intercept 2'!B305, 'Point Intercept 1'!B305, "ERROR")</f>
        <v>2025</v>
      </c>
      <c r="C305" s="14">
        <f>if('Point Intercept 1'!C305 = 'Point Intercept 2'!C305, 'Point Intercept 1'!C305, "ERROR")</f>
        <v>45755</v>
      </c>
      <c r="D305" s="9" t="str">
        <f>if('Point Intercept 1'!D305 = 'Point Intercept 2'!D305, 'Point Intercept 1'!D305, "ERROR")</f>
        <v>JC, TL</v>
      </c>
      <c r="E305" s="9" t="str">
        <f>if('Point Intercept 1'!E305 = 'Point Intercept 2'!E305, 'Point Intercept 1'!E305, "ERROR")</f>
        <v>VB</v>
      </c>
      <c r="F305" s="9">
        <f>if('Point Intercept 1'!F305 = 'Point Intercept 2'!F305, 'Point Intercept 1'!F305, "ERROR")</f>
        <v>3</v>
      </c>
      <c r="G305" s="9" t="str">
        <f>if('Point Intercept 1'!G305 = 'Point Intercept 2'!G305, 'Point Intercept 1'!G305, "ERROR")</f>
        <v>LU</v>
      </c>
      <c r="H305" s="9">
        <f>if('Point Intercept 1'!I305 = 'Point Intercept 2'!I305, 'Point Intercept 1'!I305, "ERROR")</f>
        <v>15</v>
      </c>
      <c r="I305" s="9">
        <f>if('Point Intercept 1'!H305 = 'Point Intercept 2'!H305, 'Point Intercept 1'!H305, "ERROR")</f>
        <v>2</v>
      </c>
      <c r="J305" s="9">
        <f>if('Point Intercept 1'!J305 = 'Point Intercept 2'!J305, 'Point Intercept 1'!J305, "ERROR")</f>
        <v>7.5</v>
      </c>
      <c r="K305" s="9" t="str">
        <f>if('Point Intercept 1'!K305 = 'Point Intercept 2'!K305, 'Point Intercept 1'!K305, "ERROR")</f>
        <v>M</v>
      </c>
      <c r="L305" s="9" t="str">
        <f>if('Point Intercept 1'!L305 = 'Point Intercept 2'!L305, 'Point Intercept 1'!L305, "ERROR")</f>
        <v>Moss</v>
      </c>
      <c r="M305" s="9" t="str">
        <f>if('Point Intercept 1'!N305 = 'Point Intercept 2'!M305, 'Point Intercept 1'!N305, "ERROR")</f>
        <v/>
      </c>
      <c r="N305" s="9" t="str">
        <f>if('Point Intercept 1'!O305 = 'Point Intercept 2'!N305, 'Point Intercept 1'!O305, "ERROR")</f>
        <v/>
      </c>
      <c r="O305" s="9" t="str">
        <f>if('Point Intercept 1'!P305 = 'Point Intercept 2'!O305, 'Point Intercept 1'!P305, "ERROR")</f>
        <v/>
      </c>
    </row>
    <row r="306">
      <c r="A306" s="9">
        <f>if('Point Intercept 1'!A306 = 'Point Intercept 2'!A306, 'Point Intercept 1'!A306, "ERROR")</f>
        <v>3</v>
      </c>
      <c r="B306" s="9">
        <f>if('Point Intercept 1'!B306 = 'Point Intercept 2'!B306, 'Point Intercept 1'!B306, "ERROR")</f>
        <v>2025</v>
      </c>
      <c r="C306" s="14">
        <f>if('Point Intercept 1'!C306 = 'Point Intercept 2'!C306, 'Point Intercept 1'!C306, "ERROR")</f>
        <v>45755</v>
      </c>
      <c r="D306" s="9" t="str">
        <f>if('Point Intercept 1'!D306 = 'Point Intercept 2'!D306, 'Point Intercept 1'!D306, "ERROR")</f>
        <v>JC, TL</v>
      </c>
      <c r="E306" s="9" t="str">
        <f>if('Point Intercept 1'!E306 = 'Point Intercept 2'!E306, 'Point Intercept 1'!E306, "ERROR")</f>
        <v>VB</v>
      </c>
      <c r="F306" s="9">
        <f>if('Point Intercept 1'!F306 = 'Point Intercept 2'!F306, 'Point Intercept 1'!F306, "ERROR")</f>
        <v>3</v>
      </c>
      <c r="G306" s="9" t="str">
        <f>if('Point Intercept 1'!G306 = 'Point Intercept 2'!G306, 'Point Intercept 1'!G306, "ERROR")</f>
        <v>LU</v>
      </c>
      <c r="H306" s="9">
        <f>if('Point Intercept 1'!I306 = 'Point Intercept 2'!I306, 'Point Intercept 1'!I306, "ERROR")</f>
        <v>15</v>
      </c>
      <c r="I306" s="9">
        <f>if('Point Intercept 1'!H306 = 'Point Intercept 2'!H306, 'Point Intercept 1'!H306, "ERROR")</f>
        <v>2</v>
      </c>
      <c r="J306" s="9">
        <f>if('Point Intercept 1'!J306 = 'Point Intercept 2'!J306, 'Point Intercept 1'!J306, "ERROR")</f>
        <v>7.5</v>
      </c>
      <c r="K306" s="9" t="str">
        <f>if('Point Intercept 1'!K306 = 'Point Intercept 2'!K306, 'Point Intercept 1'!K306, "ERROR")</f>
        <v>CRYMAR</v>
      </c>
      <c r="L306" s="9" t="str">
        <f>if('Point Intercept 1'!L306 = 'Point Intercept 2'!L306, 'Point Intercept 1'!L306, "ERROR")</f>
        <v>Crypantha maritima</v>
      </c>
      <c r="M306" s="9" t="str">
        <f>if('Point Intercept 1'!N306 = 'Point Intercept 2'!M306, 'Point Intercept 1'!N306, "ERROR")</f>
        <v/>
      </c>
      <c r="N306" s="9" t="str">
        <f>if('Point Intercept 1'!O306 = 'Point Intercept 2'!N306, 'Point Intercept 1'!O306, "ERROR")</f>
        <v/>
      </c>
      <c r="O306" s="9" t="str">
        <f>if('Point Intercept 1'!P306 = 'Point Intercept 2'!O306, 'Point Intercept 1'!P306, "ERROR")</f>
        <v/>
      </c>
    </row>
    <row r="307">
      <c r="A307" s="9">
        <f>if('Point Intercept 1'!A307 = 'Point Intercept 2'!A307, 'Point Intercept 1'!A307, "ERROR")</f>
        <v>3</v>
      </c>
      <c r="B307" s="9">
        <f>if('Point Intercept 1'!B307 = 'Point Intercept 2'!B307, 'Point Intercept 1'!B307, "ERROR")</f>
        <v>2025</v>
      </c>
      <c r="C307" s="14">
        <f>if('Point Intercept 1'!C307 = 'Point Intercept 2'!C307, 'Point Intercept 1'!C307, "ERROR")</f>
        <v>45755</v>
      </c>
      <c r="D307" s="9" t="str">
        <f>if('Point Intercept 1'!D307 = 'Point Intercept 2'!D307, 'Point Intercept 1'!D307, "ERROR")</f>
        <v>JC, TL</v>
      </c>
      <c r="E307" s="9" t="str">
        <f>if('Point Intercept 1'!E307 = 'Point Intercept 2'!E307, 'Point Intercept 1'!E307, "ERROR")</f>
        <v>VB</v>
      </c>
      <c r="F307" s="9">
        <f>if('Point Intercept 1'!F307 = 'Point Intercept 2'!F307, 'Point Intercept 1'!F307, "ERROR")</f>
        <v>3</v>
      </c>
      <c r="G307" s="9" t="str">
        <f>if('Point Intercept 1'!G307 = 'Point Intercept 2'!G307, 'Point Intercept 1'!G307, "ERROR")</f>
        <v>LU</v>
      </c>
      <c r="H307" s="9">
        <f>if('Point Intercept 1'!I307 = 'Point Intercept 2'!I307, 'Point Intercept 1'!I307, "ERROR")</f>
        <v>15</v>
      </c>
      <c r="I307" s="9">
        <f>if('Point Intercept 1'!H307 = 'Point Intercept 2'!H307, 'Point Intercept 1'!H307, "ERROR")</f>
        <v>2</v>
      </c>
      <c r="J307" s="9">
        <f>if('Point Intercept 1'!J307 = 'Point Intercept 2'!J307, 'Point Intercept 1'!J307, "ERROR")</f>
        <v>7.5</v>
      </c>
      <c r="K307" s="9" t="str">
        <f>if('Point Intercept 1'!K307 = 'Point Intercept 2'!K307, 'Point Intercept 1'!K307, "ERROR")</f>
        <v>DAUPUS</v>
      </c>
      <c r="L307" s="9" t="str">
        <f>if('Point Intercept 1'!L307 = 'Point Intercept 2'!L307, 'Point Intercept 1'!L307, "ERROR")</f>
        <v>Daucus pusillus</v>
      </c>
      <c r="M307" s="9" t="str">
        <f>if('Point Intercept 1'!N307 = 'Point Intercept 2'!M307, 'Point Intercept 1'!N307, "ERROR")</f>
        <v/>
      </c>
      <c r="N307" s="9" t="str">
        <f>if('Point Intercept 1'!O307 = 'Point Intercept 2'!N307, 'Point Intercept 1'!O307, "ERROR")</f>
        <v/>
      </c>
      <c r="O307" s="9" t="str">
        <f>if('Point Intercept 1'!P307 = 'Point Intercept 2'!O307, 'Point Intercept 1'!P307, "ERROR")</f>
        <v/>
      </c>
    </row>
    <row r="308">
      <c r="A308" s="9">
        <f>if('Point Intercept 1'!A308 = 'Point Intercept 2'!A308, 'Point Intercept 1'!A308, "ERROR")</f>
        <v>4</v>
      </c>
      <c r="B308" s="9">
        <f>if('Point Intercept 1'!B308 = 'Point Intercept 2'!B308, 'Point Intercept 1'!B308, "ERROR")</f>
        <v>2025</v>
      </c>
      <c r="C308" s="14">
        <f>if('Point Intercept 1'!C308 = 'Point Intercept 2'!C308, 'Point Intercept 1'!C308, "ERROR")</f>
        <v>45755</v>
      </c>
      <c r="D308" s="9" t="str">
        <f>if('Point Intercept 1'!D308 = 'Point Intercept 2'!D308, 'Point Intercept 1'!D308, "ERROR")</f>
        <v>JC, TL</v>
      </c>
      <c r="E308" s="9" t="str">
        <f>if('Point Intercept 1'!E308 = 'Point Intercept 2'!E308, 'Point Intercept 1'!E308, "ERROR")</f>
        <v>VB</v>
      </c>
      <c r="F308" s="9">
        <f>if('Point Intercept 1'!F308 = 'Point Intercept 2'!F308, 'Point Intercept 1'!F308, "ERROR")</f>
        <v>3</v>
      </c>
      <c r="G308" s="9" t="str">
        <f>if('Point Intercept 1'!G308 = 'Point Intercept 2'!G308, 'Point Intercept 1'!G308, "ERROR")</f>
        <v>LS</v>
      </c>
      <c r="H308" s="9">
        <f>if('Point Intercept 1'!I308 = 'Point Intercept 2'!I308, 'Point Intercept 1'!I308, "ERROR")</f>
        <v>1</v>
      </c>
      <c r="I308" s="9">
        <f>if('Point Intercept 1'!H308 = 'Point Intercept 2'!H308, 'Point Intercept 1'!H308, "ERROR")</f>
        <v>1</v>
      </c>
      <c r="J308" s="9">
        <f>if('Point Intercept 1'!J308 = 'Point Intercept 2'!J308, 'Point Intercept 1'!J308, "ERROR")</f>
        <v>0</v>
      </c>
      <c r="K308" s="9" t="str">
        <f>if('Point Intercept 1'!K308 = 'Point Intercept 2'!K308, 'Point Intercept 1'!K308, "ERROR")</f>
        <v>B</v>
      </c>
      <c r="L308" s="9" t="str">
        <f>if('Point Intercept 1'!L308 = 'Point Intercept 2'!L308, 'Point Intercept 1'!L308, "ERROR")</f>
        <v>Bareground</v>
      </c>
      <c r="M308" s="9" t="str">
        <f>if('Point Intercept 1'!N308 = 'Point Intercept 2'!M308, 'Point Intercept 1'!N308, "ERROR")</f>
        <v/>
      </c>
      <c r="N308" s="9" t="str">
        <f>if('Point Intercept 1'!O308 = 'Point Intercept 2'!N308, 'Point Intercept 1'!O308, "ERROR")</f>
        <v/>
      </c>
      <c r="O308" s="9" t="str">
        <f>if('Point Intercept 1'!P308 = 'Point Intercept 2'!O308, 'Point Intercept 1'!P308, "ERROR")</f>
        <v/>
      </c>
    </row>
    <row r="309">
      <c r="A309" s="9">
        <f>if('Point Intercept 1'!A309 = 'Point Intercept 2'!A309, 'Point Intercept 1'!A309, "ERROR")</f>
        <v>4</v>
      </c>
      <c r="B309" s="9">
        <f>if('Point Intercept 1'!B309 = 'Point Intercept 2'!B309, 'Point Intercept 1'!B309, "ERROR")</f>
        <v>2025</v>
      </c>
      <c r="C309" s="14">
        <f>if('Point Intercept 1'!C309 = 'Point Intercept 2'!C309, 'Point Intercept 1'!C309, "ERROR")</f>
        <v>45755</v>
      </c>
      <c r="D309" s="9" t="str">
        <f>if('Point Intercept 1'!D309 = 'Point Intercept 2'!D309, 'Point Intercept 1'!D309, "ERROR")</f>
        <v>JC, TL</v>
      </c>
      <c r="E309" s="9" t="str">
        <f>if('Point Intercept 1'!E309 = 'Point Intercept 2'!E309, 'Point Intercept 1'!E309, "ERROR")</f>
        <v>VB</v>
      </c>
      <c r="F309" s="9">
        <f>if('Point Intercept 1'!F309 = 'Point Intercept 2'!F309, 'Point Intercept 1'!F309, "ERROR")</f>
        <v>3</v>
      </c>
      <c r="G309" s="9" t="str">
        <f>if('Point Intercept 1'!G309 = 'Point Intercept 2'!G309, 'Point Intercept 1'!G309, "ERROR")</f>
        <v>LS</v>
      </c>
      <c r="H309" s="9">
        <f>if('Point Intercept 1'!I309 = 'Point Intercept 2'!I309, 'Point Intercept 1'!I309, "ERROR")</f>
        <v>1</v>
      </c>
      <c r="I309" s="9">
        <f>if('Point Intercept 1'!H309 = 'Point Intercept 2'!H309, 'Point Intercept 1'!H309, "ERROR")</f>
        <v>1</v>
      </c>
      <c r="J309" s="9">
        <f>if('Point Intercept 1'!J309 = 'Point Intercept 2'!J309, 'Point Intercept 1'!J309, "ERROR")</f>
        <v>0</v>
      </c>
      <c r="K309" s="9" t="str">
        <f>if('Point Intercept 1'!K309 = 'Point Intercept 2'!K309, 'Point Intercept 1'!K309, "ERROR")</f>
        <v>ANAARV</v>
      </c>
      <c r="L309" s="9" t="str">
        <f>if('Point Intercept 1'!L309 = 'Point Intercept 2'!L309, 'Point Intercept 1'!L309, "ERROR")</f>
        <v>Anagallis arvensis</v>
      </c>
      <c r="M309" s="9" t="str">
        <f>if('Point Intercept 1'!N309 = 'Point Intercept 2'!M309, 'Point Intercept 1'!N309, "ERROR")</f>
        <v/>
      </c>
      <c r="N309" s="9" t="str">
        <f>if('Point Intercept 1'!O309 = 'Point Intercept 2'!N309, 'Point Intercept 1'!O309, "ERROR")</f>
        <v/>
      </c>
      <c r="O309" s="9" t="str">
        <f>if('Point Intercept 1'!P309 = 'Point Intercept 2'!O309, 'Point Intercept 1'!P309, "ERROR")</f>
        <v/>
      </c>
    </row>
    <row r="310">
      <c r="A310" s="9">
        <f>if('Point Intercept 1'!A310 = 'Point Intercept 2'!A310, 'Point Intercept 1'!A310, "ERROR")</f>
        <v>4</v>
      </c>
      <c r="B310" s="9">
        <f>if('Point Intercept 1'!B310 = 'Point Intercept 2'!B310, 'Point Intercept 1'!B310, "ERROR")</f>
        <v>2025</v>
      </c>
      <c r="C310" s="14">
        <f>if('Point Intercept 1'!C310 = 'Point Intercept 2'!C310, 'Point Intercept 1'!C310, "ERROR")</f>
        <v>45755</v>
      </c>
      <c r="D310" s="9" t="str">
        <f>if('Point Intercept 1'!D310 = 'Point Intercept 2'!D310, 'Point Intercept 1'!D310, "ERROR")</f>
        <v>JC, TL</v>
      </c>
      <c r="E310" s="9" t="str">
        <f>if('Point Intercept 1'!E310 = 'Point Intercept 2'!E310, 'Point Intercept 1'!E310, "ERROR")</f>
        <v>VB</v>
      </c>
      <c r="F310" s="9">
        <f>if('Point Intercept 1'!F310 = 'Point Intercept 2'!F310, 'Point Intercept 1'!F310, "ERROR")</f>
        <v>3</v>
      </c>
      <c r="G310" s="9" t="str">
        <f>if('Point Intercept 1'!G310 = 'Point Intercept 2'!G310, 'Point Intercept 1'!G310, "ERROR")</f>
        <v>LS</v>
      </c>
      <c r="H310" s="9">
        <f>if('Point Intercept 1'!I310 = 'Point Intercept 2'!I310, 'Point Intercept 1'!I310, "ERROR")</f>
        <v>1</v>
      </c>
      <c r="I310" s="9">
        <f>if('Point Intercept 1'!H310 = 'Point Intercept 2'!H310, 'Point Intercept 1'!H310, "ERROR")</f>
        <v>1</v>
      </c>
      <c r="J310" s="9">
        <f>if('Point Intercept 1'!J310 = 'Point Intercept 2'!J310, 'Point Intercept 1'!J310, "ERROR")</f>
        <v>0</v>
      </c>
      <c r="K310" s="9" t="str">
        <f>if('Point Intercept 1'!K310 = 'Point Intercept 2'!K310, 'Point Intercept 1'!K310, "ERROR")</f>
        <v>OPULIT</v>
      </c>
      <c r="L310" s="9" t="str">
        <f>if('Point Intercept 1'!L310 = 'Point Intercept 2'!L310, 'Point Intercept 1'!L310, "ERROR")</f>
        <v>Opuntia littoralis</v>
      </c>
      <c r="M310" s="9" t="str">
        <f>if('Point Intercept 1'!N310 = 'Point Intercept 2'!M310, 'Point Intercept 1'!N310, "ERROR")</f>
        <v/>
      </c>
      <c r="N310" s="9" t="str">
        <f>if('Point Intercept 1'!O310 = 'Point Intercept 2'!N310, 'Point Intercept 1'!O310, "ERROR")</f>
        <v/>
      </c>
      <c r="O310" s="9" t="str">
        <f>if('Point Intercept 1'!P310 = 'Point Intercept 2'!O310, 'Point Intercept 1'!P310, "ERROR")</f>
        <v/>
      </c>
    </row>
    <row r="311">
      <c r="A311" s="9">
        <f>if('Point Intercept 1'!A311 = 'Point Intercept 2'!A311, 'Point Intercept 1'!A311, "ERROR")</f>
        <v>4</v>
      </c>
      <c r="B311" s="9">
        <f>if('Point Intercept 1'!B311 = 'Point Intercept 2'!B311, 'Point Intercept 1'!B311, "ERROR")</f>
        <v>2025</v>
      </c>
      <c r="C311" s="14">
        <f>if('Point Intercept 1'!C311 = 'Point Intercept 2'!C311, 'Point Intercept 1'!C311, "ERROR")</f>
        <v>45755</v>
      </c>
      <c r="D311" s="9" t="str">
        <f>if('Point Intercept 1'!D311 = 'Point Intercept 2'!D311, 'Point Intercept 1'!D311, "ERROR")</f>
        <v>JC, TL</v>
      </c>
      <c r="E311" s="9" t="str">
        <f>if('Point Intercept 1'!E311 = 'Point Intercept 2'!E311, 'Point Intercept 1'!E311, "ERROR")</f>
        <v>VB</v>
      </c>
      <c r="F311" s="9">
        <f>if('Point Intercept 1'!F311 = 'Point Intercept 2'!F311, 'Point Intercept 1'!F311, "ERROR")</f>
        <v>3</v>
      </c>
      <c r="G311" s="9" t="str">
        <f>if('Point Intercept 1'!G311 = 'Point Intercept 2'!G311, 'Point Intercept 1'!G311, "ERROR")</f>
        <v>LS</v>
      </c>
      <c r="H311" s="9">
        <f>if('Point Intercept 1'!I311 = 'Point Intercept 2'!I311, 'Point Intercept 1'!I311, "ERROR")</f>
        <v>1</v>
      </c>
      <c r="I311" s="9">
        <f>if('Point Intercept 1'!H311 = 'Point Intercept 2'!H311, 'Point Intercept 1'!H311, "ERROR")</f>
        <v>1</v>
      </c>
      <c r="J311" s="9">
        <f>if('Point Intercept 1'!J311 = 'Point Intercept 2'!J311, 'Point Intercept 1'!J311, "ERROR")</f>
        <v>0</v>
      </c>
      <c r="K311" s="9" t="str">
        <f>if('Point Intercept 1'!K311 = 'Point Intercept 2'!K311, 'Point Intercept 1'!K311, "ERROR")</f>
        <v>SONOLE</v>
      </c>
      <c r="L311" s="9" t="str">
        <f>if('Point Intercept 1'!L311 = 'Point Intercept 2'!L311, 'Point Intercept 1'!L311, "ERROR")</f>
        <v>Sonchus oleraceus</v>
      </c>
      <c r="M311" s="9" t="str">
        <f>if('Point Intercept 1'!N311 = 'Point Intercept 2'!M311, 'Point Intercept 1'!N311, "ERROR")</f>
        <v/>
      </c>
      <c r="N311" s="9" t="str">
        <f>if('Point Intercept 1'!O311 = 'Point Intercept 2'!N311, 'Point Intercept 1'!O311, "ERROR")</f>
        <v/>
      </c>
      <c r="O311" s="9" t="str">
        <f>if('Point Intercept 1'!P311 = 'Point Intercept 2'!O311, 'Point Intercept 1'!P311, "ERROR")</f>
        <v/>
      </c>
    </row>
    <row r="312">
      <c r="A312" s="9">
        <f>if('Point Intercept 1'!A312 = 'Point Intercept 2'!A312, 'Point Intercept 1'!A312, "ERROR")</f>
        <v>4</v>
      </c>
      <c r="B312" s="9">
        <f>if('Point Intercept 1'!B312 = 'Point Intercept 2'!B312, 'Point Intercept 1'!B312, "ERROR")</f>
        <v>2025</v>
      </c>
      <c r="C312" s="14">
        <f>if('Point Intercept 1'!C312 = 'Point Intercept 2'!C312, 'Point Intercept 1'!C312, "ERROR")</f>
        <v>45755</v>
      </c>
      <c r="D312" s="9" t="str">
        <f>if('Point Intercept 1'!D312 = 'Point Intercept 2'!D312, 'Point Intercept 1'!D312, "ERROR")</f>
        <v>JC, TL</v>
      </c>
      <c r="E312" s="9" t="str">
        <f>if('Point Intercept 1'!E312 = 'Point Intercept 2'!E312, 'Point Intercept 1'!E312, "ERROR")</f>
        <v>VB</v>
      </c>
      <c r="F312" s="9">
        <f>if('Point Intercept 1'!F312 = 'Point Intercept 2'!F312, 'Point Intercept 1'!F312, "ERROR")</f>
        <v>3</v>
      </c>
      <c r="G312" s="9" t="str">
        <f>if('Point Intercept 1'!G312 = 'Point Intercept 2'!G312, 'Point Intercept 1'!G312, "ERROR")</f>
        <v>LS</v>
      </c>
      <c r="H312" s="9">
        <f>if('Point Intercept 1'!I312 = 'Point Intercept 2'!I312, 'Point Intercept 1'!I312, "ERROR")</f>
        <v>1</v>
      </c>
      <c r="I312" s="9">
        <f>if('Point Intercept 1'!H312 = 'Point Intercept 2'!H312, 'Point Intercept 1'!H312, "ERROR")</f>
        <v>1</v>
      </c>
      <c r="J312" s="9">
        <f>if('Point Intercept 1'!J312 = 'Point Intercept 2'!J312, 'Point Intercept 1'!J312, "ERROR")</f>
        <v>0</v>
      </c>
      <c r="K312" s="9" t="str">
        <f>if('Point Intercept 1'!K312 = 'Point Intercept 2'!K312, 'Point Intercept 1'!K312, "ERROR")</f>
        <v>DEIFAS</v>
      </c>
      <c r="L312" s="9" t="str">
        <f>if('Point Intercept 1'!L312 = 'Point Intercept 2'!L312, 'Point Intercept 1'!L312, "ERROR")</f>
        <v>Deinandra fasciculata</v>
      </c>
      <c r="M312" s="9" t="str">
        <f>if('Point Intercept 1'!N312 = 'Point Intercept 2'!M312, 'Point Intercept 1'!N312, "ERROR")</f>
        <v/>
      </c>
      <c r="N312" s="9" t="str">
        <f>if('Point Intercept 1'!O312 = 'Point Intercept 2'!N312, 'Point Intercept 1'!O312, "ERROR")</f>
        <v/>
      </c>
      <c r="O312" s="9" t="str">
        <f>if('Point Intercept 1'!P312 = 'Point Intercept 2'!O312, 'Point Intercept 1'!P312, "ERROR")</f>
        <v/>
      </c>
    </row>
    <row r="313">
      <c r="A313" s="9">
        <f>if('Point Intercept 1'!A313 = 'Point Intercept 2'!A313, 'Point Intercept 1'!A313, "ERROR")</f>
        <v>4</v>
      </c>
      <c r="B313" s="9">
        <f>if('Point Intercept 1'!B313 = 'Point Intercept 2'!B313, 'Point Intercept 1'!B313, "ERROR")</f>
        <v>2025</v>
      </c>
      <c r="C313" s="14">
        <f>if('Point Intercept 1'!C313 = 'Point Intercept 2'!C313, 'Point Intercept 1'!C313, "ERROR")</f>
        <v>45755</v>
      </c>
      <c r="D313" s="9" t="str">
        <f>if('Point Intercept 1'!D313 = 'Point Intercept 2'!D313, 'Point Intercept 1'!D313, "ERROR")</f>
        <v>JC, TL</v>
      </c>
      <c r="E313" s="9" t="str">
        <f>if('Point Intercept 1'!E313 = 'Point Intercept 2'!E313, 'Point Intercept 1'!E313, "ERROR")</f>
        <v>VB</v>
      </c>
      <c r="F313" s="9">
        <f>if('Point Intercept 1'!F313 = 'Point Intercept 2'!F313, 'Point Intercept 1'!F313, "ERROR")</f>
        <v>3</v>
      </c>
      <c r="G313" s="9" t="str">
        <f>if('Point Intercept 1'!G313 = 'Point Intercept 2'!G313, 'Point Intercept 1'!G313, "ERROR")</f>
        <v>LS</v>
      </c>
      <c r="H313" s="9">
        <f>if('Point Intercept 1'!I313 = 'Point Intercept 2'!I313, 'Point Intercept 1'!I313, "ERROR")</f>
        <v>2</v>
      </c>
      <c r="I313" s="9">
        <f>if('Point Intercept 1'!H313 = 'Point Intercept 2'!H313, 'Point Intercept 1'!H313, "ERROR")</f>
        <v>1</v>
      </c>
      <c r="J313" s="9">
        <f>if('Point Intercept 1'!J313 = 'Point Intercept 2'!J313, 'Point Intercept 1'!J313, "ERROR")</f>
        <v>0.5</v>
      </c>
      <c r="K313" s="9" t="str">
        <f>if('Point Intercept 1'!K313 = 'Point Intercept 2'!K313, 'Point Intercept 1'!K313, "ERROR")</f>
        <v>L</v>
      </c>
      <c r="L313" s="9" t="str">
        <f>if('Point Intercept 1'!L313 = 'Point Intercept 2'!L313, 'Point Intercept 1'!L313, "ERROR")</f>
        <v>Litter</v>
      </c>
      <c r="M313" s="9" t="str">
        <f>if('Point Intercept 1'!N313 = 'Point Intercept 2'!M313, 'Point Intercept 1'!N313, "ERROR")</f>
        <v/>
      </c>
      <c r="N313" s="9" t="str">
        <f>if('Point Intercept 1'!O313 = 'Point Intercept 2'!N313, 'Point Intercept 1'!O313, "ERROR")</f>
        <v/>
      </c>
      <c r="O313" s="9" t="str">
        <f>if('Point Intercept 1'!P313 = 'Point Intercept 2'!O313, 'Point Intercept 1'!P313, "ERROR")</f>
        <v/>
      </c>
    </row>
    <row r="314">
      <c r="A314" s="9">
        <f>if('Point Intercept 1'!A314 = 'Point Intercept 2'!A314, 'Point Intercept 1'!A314, "ERROR")</f>
        <v>4</v>
      </c>
      <c r="B314" s="9">
        <f>if('Point Intercept 1'!B314 = 'Point Intercept 2'!B314, 'Point Intercept 1'!B314, "ERROR")</f>
        <v>2025</v>
      </c>
      <c r="C314" s="14">
        <f>if('Point Intercept 1'!C314 = 'Point Intercept 2'!C314, 'Point Intercept 1'!C314, "ERROR")</f>
        <v>45755</v>
      </c>
      <c r="D314" s="9" t="str">
        <f>if('Point Intercept 1'!D314 = 'Point Intercept 2'!D314, 'Point Intercept 1'!D314, "ERROR")</f>
        <v>JC, TL</v>
      </c>
      <c r="E314" s="9" t="str">
        <f>if('Point Intercept 1'!E314 = 'Point Intercept 2'!E314, 'Point Intercept 1'!E314, "ERROR")</f>
        <v>VB</v>
      </c>
      <c r="F314" s="9">
        <f>if('Point Intercept 1'!F314 = 'Point Intercept 2'!F314, 'Point Intercept 1'!F314, "ERROR")</f>
        <v>3</v>
      </c>
      <c r="G314" s="9" t="str">
        <f>if('Point Intercept 1'!G314 = 'Point Intercept 2'!G314, 'Point Intercept 1'!G314, "ERROR")</f>
        <v>LS</v>
      </c>
      <c r="H314" s="9">
        <f>if('Point Intercept 1'!I314 = 'Point Intercept 2'!I314, 'Point Intercept 1'!I314, "ERROR")</f>
        <v>2</v>
      </c>
      <c r="I314" s="9">
        <f>if('Point Intercept 1'!H314 = 'Point Intercept 2'!H314, 'Point Intercept 1'!H314, "ERROR")</f>
        <v>1</v>
      </c>
      <c r="J314" s="9">
        <f>if('Point Intercept 1'!J314 = 'Point Intercept 2'!J314, 'Point Intercept 1'!J314, "ERROR")</f>
        <v>0.5</v>
      </c>
      <c r="K314" s="9" t="str">
        <f>if('Point Intercept 1'!K314 = 'Point Intercept 2'!K314, 'Point Intercept 1'!K314, "ERROR")</f>
        <v>FESMYU</v>
      </c>
      <c r="L314" s="9" t="str">
        <f>if('Point Intercept 1'!L314 = 'Point Intercept 2'!L314, 'Point Intercept 1'!L314, "ERROR")</f>
        <v>Festuca myuros</v>
      </c>
      <c r="M314" s="9" t="str">
        <f>if('Point Intercept 1'!N314 = 'Point Intercept 2'!M314, 'Point Intercept 1'!N314, "ERROR")</f>
        <v/>
      </c>
      <c r="N314" s="9" t="str">
        <f>if('Point Intercept 1'!O314 = 'Point Intercept 2'!N314, 'Point Intercept 1'!O314, "ERROR")</f>
        <v/>
      </c>
      <c r="O314" s="9" t="str">
        <f>if('Point Intercept 1'!P314 = 'Point Intercept 2'!O314, 'Point Intercept 1'!P314, "ERROR")</f>
        <v/>
      </c>
    </row>
    <row r="315">
      <c r="A315" s="9">
        <f>if('Point Intercept 1'!A315 = 'Point Intercept 2'!A315, 'Point Intercept 1'!A315, "ERROR")</f>
        <v>4</v>
      </c>
      <c r="B315" s="9">
        <f>if('Point Intercept 1'!B315 = 'Point Intercept 2'!B315, 'Point Intercept 1'!B315, "ERROR")</f>
        <v>2025</v>
      </c>
      <c r="C315" s="14">
        <f>if('Point Intercept 1'!C315 = 'Point Intercept 2'!C315, 'Point Intercept 1'!C315, "ERROR")</f>
        <v>45755</v>
      </c>
      <c r="D315" s="9" t="str">
        <f>if('Point Intercept 1'!D315 = 'Point Intercept 2'!D315, 'Point Intercept 1'!D315, "ERROR")</f>
        <v>JC, TL</v>
      </c>
      <c r="E315" s="9" t="str">
        <f>if('Point Intercept 1'!E315 = 'Point Intercept 2'!E315, 'Point Intercept 1'!E315, "ERROR")</f>
        <v>VB</v>
      </c>
      <c r="F315" s="9">
        <f>if('Point Intercept 1'!F315 = 'Point Intercept 2'!F315, 'Point Intercept 1'!F315, "ERROR")</f>
        <v>3</v>
      </c>
      <c r="G315" s="9" t="str">
        <f>if('Point Intercept 1'!G315 = 'Point Intercept 2'!G315, 'Point Intercept 1'!G315, "ERROR")</f>
        <v>LS</v>
      </c>
      <c r="H315" s="9">
        <f>if('Point Intercept 1'!I315 = 'Point Intercept 2'!I315, 'Point Intercept 1'!I315, "ERROR")</f>
        <v>3</v>
      </c>
      <c r="I315" s="9">
        <f>if('Point Intercept 1'!H315 = 'Point Intercept 2'!H315, 'Point Intercept 1'!H315, "ERROR")</f>
        <v>1</v>
      </c>
      <c r="J315" s="9">
        <f>if('Point Intercept 1'!J315 = 'Point Intercept 2'!J315, 'Point Intercept 1'!J315, "ERROR")</f>
        <v>1</v>
      </c>
      <c r="K315" s="9" t="str">
        <f>if('Point Intercept 1'!K315 = 'Point Intercept 2'!K315, 'Point Intercept 1'!K315, "ERROR")</f>
        <v>L</v>
      </c>
      <c r="L315" s="9" t="str">
        <f>if('Point Intercept 1'!L315 = 'Point Intercept 2'!L315, 'Point Intercept 1'!L315, "ERROR")</f>
        <v>Litter</v>
      </c>
      <c r="M315" s="9" t="str">
        <f>if('Point Intercept 1'!N315 = 'Point Intercept 2'!M315, 'Point Intercept 1'!N315, "ERROR")</f>
        <v/>
      </c>
      <c r="N315" s="9" t="str">
        <f>if('Point Intercept 1'!O315 = 'Point Intercept 2'!N315, 'Point Intercept 1'!O315, "ERROR")</f>
        <v/>
      </c>
      <c r="O315" s="9" t="str">
        <f>if('Point Intercept 1'!P315 = 'Point Intercept 2'!O315, 'Point Intercept 1'!P315, "ERROR")</f>
        <v/>
      </c>
    </row>
    <row r="316">
      <c r="A316" s="9">
        <f>if('Point Intercept 1'!A316 = 'Point Intercept 2'!A316, 'Point Intercept 1'!A316, "ERROR")</f>
        <v>4</v>
      </c>
      <c r="B316" s="9">
        <f>if('Point Intercept 1'!B316 = 'Point Intercept 2'!B316, 'Point Intercept 1'!B316, "ERROR")</f>
        <v>2025</v>
      </c>
      <c r="C316" s="14">
        <f>if('Point Intercept 1'!C316 = 'Point Intercept 2'!C316, 'Point Intercept 1'!C316, "ERROR")</f>
        <v>45755</v>
      </c>
      <c r="D316" s="9" t="str">
        <f>if('Point Intercept 1'!D316 = 'Point Intercept 2'!D316, 'Point Intercept 1'!D316, "ERROR")</f>
        <v>JC, TL</v>
      </c>
      <c r="E316" s="9" t="str">
        <f>if('Point Intercept 1'!E316 = 'Point Intercept 2'!E316, 'Point Intercept 1'!E316, "ERROR")</f>
        <v>VB</v>
      </c>
      <c r="F316" s="9">
        <f>if('Point Intercept 1'!F316 = 'Point Intercept 2'!F316, 'Point Intercept 1'!F316, "ERROR")</f>
        <v>3</v>
      </c>
      <c r="G316" s="9" t="str">
        <f>if('Point Intercept 1'!G316 = 'Point Intercept 2'!G316, 'Point Intercept 1'!G316, "ERROR")</f>
        <v>LS</v>
      </c>
      <c r="H316" s="9">
        <f>if('Point Intercept 1'!I316 = 'Point Intercept 2'!I316, 'Point Intercept 1'!I316, "ERROR")</f>
        <v>3</v>
      </c>
      <c r="I316" s="9">
        <f>if('Point Intercept 1'!H316 = 'Point Intercept 2'!H316, 'Point Intercept 1'!H316, "ERROR")</f>
        <v>1</v>
      </c>
      <c r="J316" s="9">
        <f>if('Point Intercept 1'!J316 = 'Point Intercept 2'!J316, 'Point Intercept 1'!J316, "ERROR")</f>
        <v>1</v>
      </c>
      <c r="K316" s="9" t="str">
        <f>if('Point Intercept 1'!K316 = 'Point Intercept 2'!K316, 'Point Intercept 1'!K316, "ERROR")</f>
        <v>FESMYU</v>
      </c>
      <c r="L316" s="9" t="str">
        <f>if('Point Intercept 1'!L316 = 'Point Intercept 2'!L316, 'Point Intercept 1'!L316, "ERROR")</f>
        <v>Festuca myuros</v>
      </c>
      <c r="M316" s="9" t="str">
        <f>if('Point Intercept 1'!N316 = 'Point Intercept 2'!M316, 'Point Intercept 1'!N316, "ERROR")</f>
        <v/>
      </c>
      <c r="N316" s="9" t="str">
        <f>if('Point Intercept 1'!O316 = 'Point Intercept 2'!N316, 'Point Intercept 1'!O316, "ERROR")</f>
        <v/>
      </c>
      <c r="O316" s="9" t="str">
        <f>if('Point Intercept 1'!P316 = 'Point Intercept 2'!O316, 'Point Intercept 1'!P316, "ERROR")</f>
        <v/>
      </c>
    </row>
    <row r="317">
      <c r="A317" s="9">
        <f>if('Point Intercept 1'!A317 = 'Point Intercept 2'!A317, 'Point Intercept 1'!A317, "ERROR")</f>
        <v>4</v>
      </c>
      <c r="B317" s="9">
        <f>if('Point Intercept 1'!B317 = 'Point Intercept 2'!B317, 'Point Intercept 1'!B317, "ERROR")</f>
        <v>2025</v>
      </c>
      <c r="C317" s="14">
        <f>if('Point Intercept 1'!C317 = 'Point Intercept 2'!C317, 'Point Intercept 1'!C317, "ERROR")</f>
        <v>45755</v>
      </c>
      <c r="D317" s="9" t="str">
        <f>if('Point Intercept 1'!D317 = 'Point Intercept 2'!D317, 'Point Intercept 1'!D317, "ERROR")</f>
        <v>JC, TL</v>
      </c>
      <c r="E317" s="9" t="str">
        <f>if('Point Intercept 1'!E317 = 'Point Intercept 2'!E317, 'Point Intercept 1'!E317, "ERROR")</f>
        <v>VB</v>
      </c>
      <c r="F317" s="9">
        <f>if('Point Intercept 1'!F317 = 'Point Intercept 2'!F317, 'Point Intercept 1'!F317, "ERROR")</f>
        <v>3</v>
      </c>
      <c r="G317" s="9" t="str">
        <f>if('Point Intercept 1'!G317 = 'Point Intercept 2'!G317, 'Point Intercept 1'!G317, "ERROR")</f>
        <v>LS</v>
      </c>
      <c r="H317" s="9">
        <f>if('Point Intercept 1'!I317 = 'Point Intercept 2'!I317, 'Point Intercept 1'!I317, "ERROR")</f>
        <v>3</v>
      </c>
      <c r="I317" s="9">
        <f>if('Point Intercept 1'!H317 = 'Point Intercept 2'!H317, 'Point Intercept 1'!H317, "ERROR")</f>
        <v>1</v>
      </c>
      <c r="J317" s="9">
        <f>if('Point Intercept 1'!J317 = 'Point Intercept 2'!J317, 'Point Intercept 1'!J317, "ERROR")</f>
        <v>1</v>
      </c>
      <c r="K317" s="9" t="str">
        <f>if('Point Intercept 1'!K317 = 'Point Intercept 2'!K317, 'Point Intercept 1'!K317, "ERROR")</f>
        <v>BROMAD</v>
      </c>
      <c r="L317" s="9" t="str">
        <f>if('Point Intercept 1'!L317 = 'Point Intercept 2'!L317, 'Point Intercept 1'!L317, "ERROR")</f>
        <v>Bromus madritensis</v>
      </c>
      <c r="M317" s="9" t="str">
        <f>if('Point Intercept 1'!N317 = 'Point Intercept 2'!M317, 'Point Intercept 1'!N317, "ERROR")</f>
        <v/>
      </c>
      <c r="N317" s="9" t="str">
        <f>if('Point Intercept 1'!O317 = 'Point Intercept 2'!N317, 'Point Intercept 1'!O317, "ERROR")</f>
        <v/>
      </c>
      <c r="O317" s="9" t="str">
        <f>if('Point Intercept 1'!P317 = 'Point Intercept 2'!O317, 'Point Intercept 1'!P317, "ERROR")</f>
        <v/>
      </c>
    </row>
    <row r="318">
      <c r="A318" s="9">
        <f>if('Point Intercept 1'!A318 = 'Point Intercept 2'!A318, 'Point Intercept 1'!A318, "ERROR")</f>
        <v>4</v>
      </c>
      <c r="B318" s="9">
        <f>if('Point Intercept 1'!B318 = 'Point Intercept 2'!B318, 'Point Intercept 1'!B318, "ERROR")</f>
        <v>2025</v>
      </c>
      <c r="C318" s="14">
        <f>if('Point Intercept 1'!C318 = 'Point Intercept 2'!C318, 'Point Intercept 1'!C318, "ERROR")</f>
        <v>45755</v>
      </c>
      <c r="D318" s="9" t="str">
        <f>if('Point Intercept 1'!D318 = 'Point Intercept 2'!D318, 'Point Intercept 1'!D318, "ERROR")</f>
        <v>JC, TL</v>
      </c>
      <c r="E318" s="9" t="str">
        <f>if('Point Intercept 1'!E318 = 'Point Intercept 2'!E318, 'Point Intercept 1'!E318, "ERROR")</f>
        <v>VB</v>
      </c>
      <c r="F318" s="9">
        <f>if('Point Intercept 1'!F318 = 'Point Intercept 2'!F318, 'Point Intercept 1'!F318, "ERROR")</f>
        <v>3</v>
      </c>
      <c r="G318" s="9" t="str">
        <f>if('Point Intercept 1'!G318 = 'Point Intercept 2'!G318, 'Point Intercept 1'!G318, "ERROR")</f>
        <v>LS</v>
      </c>
      <c r="H318" s="9">
        <f>if('Point Intercept 1'!I318 = 'Point Intercept 2'!I318, 'Point Intercept 1'!I318, "ERROR")</f>
        <v>3</v>
      </c>
      <c r="I318" s="9">
        <f>if('Point Intercept 1'!H318 = 'Point Intercept 2'!H318, 'Point Intercept 1'!H318, "ERROR")</f>
        <v>1</v>
      </c>
      <c r="J318" s="9">
        <f>if('Point Intercept 1'!J318 = 'Point Intercept 2'!J318, 'Point Intercept 1'!J318, "ERROR")</f>
        <v>1</v>
      </c>
      <c r="K318" s="9" t="str">
        <f>if('Point Intercept 1'!K318 = 'Point Intercept 2'!K318, 'Point Intercept 1'!K318, "ERROR")</f>
        <v>EROCIC</v>
      </c>
      <c r="L318" s="9" t="str">
        <f>if('Point Intercept 1'!L318 = 'Point Intercept 2'!L318, 'Point Intercept 1'!L318, "ERROR")</f>
        <v>Erodium cicutarium</v>
      </c>
      <c r="M318" s="9" t="str">
        <f>if('Point Intercept 1'!N318 = 'Point Intercept 2'!M318, 'Point Intercept 1'!N318, "ERROR")</f>
        <v/>
      </c>
      <c r="N318" s="9" t="str">
        <f>if('Point Intercept 1'!O318 = 'Point Intercept 2'!N318, 'Point Intercept 1'!O318, "ERROR")</f>
        <v/>
      </c>
      <c r="O318" s="9" t="str">
        <f>if('Point Intercept 1'!P318 = 'Point Intercept 2'!O318, 'Point Intercept 1'!P318, "ERROR")</f>
        <v/>
      </c>
    </row>
    <row r="319">
      <c r="A319" s="9">
        <f>if('Point Intercept 1'!A319 = 'Point Intercept 2'!A319, 'Point Intercept 1'!A319, "ERROR")</f>
        <v>4</v>
      </c>
      <c r="B319" s="9">
        <f>if('Point Intercept 1'!B319 = 'Point Intercept 2'!B319, 'Point Intercept 1'!B319, "ERROR")</f>
        <v>2025</v>
      </c>
      <c r="C319" s="14">
        <f>if('Point Intercept 1'!C319 = 'Point Intercept 2'!C319, 'Point Intercept 1'!C319, "ERROR")</f>
        <v>45755</v>
      </c>
      <c r="D319" s="9" t="str">
        <f>if('Point Intercept 1'!D319 = 'Point Intercept 2'!D319, 'Point Intercept 1'!D319, "ERROR")</f>
        <v>JC, TL</v>
      </c>
      <c r="E319" s="9" t="str">
        <f>if('Point Intercept 1'!E319 = 'Point Intercept 2'!E319, 'Point Intercept 1'!E319, "ERROR")</f>
        <v>VB</v>
      </c>
      <c r="F319" s="9">
        <f>if('Point Intercept 1'!F319 = 'Point Intercept 2'!F319, 'Point Intercept 1'!F319, "ERROR")</f>
        <v>3</v>
      </c>
      <c r="G319" s="9" t="str">
        <f>if('Point Intercept 1'!G319 = 'Point Intercept 2'!G319, 'Point Intercept 1'!G319, "ERROR")</f>
        <v>LS</v>
      </c>
      <c r="H319" s="9">
        <f>if('Point Intercept 1'!I319 = 'Point Intercept 2'!I319, 'Point Intercept 1'!I319, "ERROR")</f>
        <v>4</v>
      </c>
      <c r="I319" s="9">
        <f>if('Point Intercept 1'!H319 = 'Point Intercept 2'!H319, 'Point Intercept 1'!H319, "ERROR")</f>
        <v>1</v>
      </c>
      <c r="J319" s="9">
        <f>if('Point Intercept 1'!J319 = 'Point Intercept 2'!J319, 'Point Intercept 1'!J319, "ERROR")</f>
        <v>1.5</v>
      </c>
      <c r="K319" s="9" t="str">
        <f>if('Point Intercept 1'!K319 = 'Point Intercept 2'!K319, 'Point Intercept 1'!K319, "ERROR")</f>
        <v>B</v>
      </c>
      <c r="L319" s="9" t="str">
        <f>if('Point Intercept 1'!L319 = 'Point Intercept 2'!L319, 'Point Intercept 1'!L319, "ERROR")</f>
        <v>Bareground</v>
      </c>
      <c r="M319" s="9" t="str">
        <f>if('Point Intercept 1'!N319 = 'Point Intercept 2'!M319, 'Point Intercept 1'!N319, "ERROR")</f>
        <v/>
      </c>
      <c r="N319" s="9" t="str">
        <f>if('Point Intercept 1'!O319 = 'Point Intercept 2'!N319, 'Point Intercept 1'!O319, "ERROR")</f>
        <v/>
      </c>
      <c r="O319" s="9" t="str">
        <f>if('Point Intercept 1'!P319 = 'Point Intercept 2'!O319, 'Point Intercept 1'!P319, "ERROR")</f>
        <v/>
      </c>
    </row>
    <row r="320">
      <c r="A320" s="9">
        <f>if('Point Intercept 1'!A320 = 'Point Intercept 2'!A320, 'Point Intercept 1'!A320, "ERROR")</f>
        <v>4</v>
      </c>
      <c r="B320" s="9">
        <f>if('Point Intercept 1'!B320 = 'Point Intercept 2'!B320, 'Point Intercept 1'!B320, "ERROR")</f>
        <v>2025</v>
      </c>
      <c r="C320" s="14">
        <f>if('Point Intercept 1'!C320 = 'Point Intercept 2'!C320, 'Point Intercept 1'!C320, "ERROR")</f>
        <v>45755</v>
      </c>
      <c r="D320" s="9" t="str">
        <f>if('Point Intercept 1'!D320 = 'Point Intercept 2'!D320, 'Point Intercept 1'!D320, "ERROR")</f>
        <v>JC, TL</v>
      </c>
      <c r="E320" s="9" t="str">
        <f>if('Point Intercept 1'!E320 = 'Point Intercept 2'!E320, 'Point Intercept 1'!E320, "ERROR")</f>
        <v>VB</v>
      </c>
      <c r="F320" s="9">
        <f>if('Point Intercept 1'!F320 = 'Point Intercept 2'!F320, 'Point Intercept 1'!F320, "ERROR")</f>
        <v>3</v>
      </c>
      <c r="G320" s="9" t="str">
        <f>if('Point Intercept 1'!G320 = 'Point Intercept 2'!G320, 'Point Intercept 1'!G320, "ERROR")</f>
        <v>LS</v>
      </c>
      <c r="H320" s="9">
        <f>if('Point Intercept 1'!I320 = 'Point Intercept 2'!I320, 'Point Intercept 1'!I320, "ERROR")</f>
        <v>4</v>
      </c>
      <c r="I320" s="9">
        <f>if('Point Intercept 1'!H320 = 'Point Intercept 2'!H320, 'Point Intercept 1'!H320, "ERROR")</f>
        <v>1</v>
      </c>
      <c r="J320" s="9">
        <f>if('Point Intercept 1'!J320 = 'Point Intercept 2'!J320, 'Point Intercept 1'!J320, "ERROR")</f>
        <v>1.5</v>
      </c>
      <c r="K320" s="9" t="str">
        <f>if('Point Intercept 1'!K320 = 'Point Intercept 2'!K320, 'Point Intercept 1'!K320, "ERROR")</f>
        <v>SONOLE</v>
      </c>
      <c r="L320" s="9" t="str">
        <f>if('Point Intercept 1'!L320 = 'Point Intercept 2'!L320, 'Point Intercept 1'!L320, "ERROR")</f>
        <v>Sonchus oleraceus</v>
      </c>
      <c r="M320" s="9" t="str">
        <f>if('Point Intercept 1'!N320 = 'Point Intercept 2'!M320, 'Point Intercept 1'!N320, "ERROR")</f>
        <v/>
      </c>
      <c r="N320" s="9" t="str">
        <f>if('Point Intercept 1'!O320 = 'Point Intercept 2'!N320, 'Point Intercept 1'!O320, "ERROR")</f>
        <v/>
      </c>
      <c r="O320" s="9" t="str">
        <f>if('Point Intercept 1'!P320 = 'Point Intercept 2'!O320, 'Point Intercept 1'!P320, "ERROR")</f>
        <v/>
      </c>
    </row>
    <row r="321">
      <c r="A321" s="9">
        <f>if('Point Intercept 1'!A321 = 'Point Intercept 2'!A321, 'Point Intercept 1'!A321, "ERROR")</f>
        <v>4</v>
      </c>
      <c r="B321" s="9">
        <f>if('Point Intercept 1'!B321 = 'Point Intercept 2'!B321, 'Point Intercept 1'!B321, "ERROR")</f>
        <v>2025</v>
      </c>
      <c r="C321" s="14">
        <f>if('Point Intercept 1'!C321 = 'Point Intercept 2'!C321, 'Point Intercept 1'!C321, "ERROR")</f>
        <v>45755</v>
      </c>
      <c r="D321" s="9" t="str">
        <f>if('Point Intercept 1'!D321 = 'Point Intercept 2'!D321, 'Point Intercept 1'!D321, "ERROR")</f>
        <v>JC, TL</v>
      </c>
      <c r="E321" s="9" t="str">
        <f>if('Point Intercept 1'!E321 = 'Point Intercept 2'!E321, 'Point Intercept 1'!E321, "ERROR")</f>
        <v>VB</v>
      </c>
      <c r="F321" s="9">
        <f>if('Point Intercept 1'!F321 = 'Point Intercept 2'!F321, 'Point Intercept 1'!F321, "ERROR")</f>
        <v>3</v>
      </c>
      <c r="G321" s="9" t="str">
        <f>if('Point Intercept 1'!G321 = 'Point Intercept 2'!G321, 'Point Intercept 1'!G321, "ERROR")</f>
        <v>LS</v>
      </c>
      <c r="H321" s="9">
        <f>if('Point Intercept 1'!I321 = 'Point Intercept 2'!I321, 'Point Intercept 1'!I321, "ERROR")</f>
        <v>4</v>
      </c>
      <c r="I321" s="9">
        <f>if('Point Intercept 1'!H321 = 'Point Intercept 2'!H321, 'Point Intercept 1'!H321, "ERROR")</f>
        <v>1</v>
      </c>
      <c r="J321" s="9">
        <f>if('Point Intercept 1'!J321 = 'Point Intercept 2'!J321, 'Point Intercept 1'!J321, "ERROR")</f>
        <v>1.5</v>
      </c>
      <c r="K321" s="9" t="str">
        <f>if('Point Intercept 1'!K321 = 'Point Intercept 2'!K321, 'Point Intercept 1'!K321, "ERROR")</f>
        <v>MEDPOL</v>
      </c>
      <c r="L321" s="9" t="str">
        <f>if('Point Intercept 1'!L321 = 'Point Intercept 2'!L321, 'Point Intercept 1'!L321, "ERROR")</f>
        <v>Medicago polymorpha</v>
      </c>
      <c r="M321" s="9" t="str">
        <f>if('Point Intercept 1'!N321 = 'Point Intercept 2'!M321, 'Point Intercept 1'!N321, "ERROR")</f>
        <v/>
      </c>
      <c r="N321" s="9" t="str">
        <f>if('Point Intercept 1'!O321 = 'Point Intercept 2'!N321, 'Point Intercept 1'!O321, "ERROR")</f>
        <v/>
      </c>
      <c r="O321" s="9" t="str">
        <f>if('Point Intercept 1'!P321 = 'Point Intercept 2'!O321, 'Point Intercept 1'!P321, "ERROR")</f>
        <v/>
      </c>
    </row>
    <row r="322">
      <c r="A322" s="9">
        <f>if('Point Intercept 1'!A322 = 'Point Intercept 2'!A322, 'Point Intercept 1'!A322, "ERROR")</f>
        <v>4</v>
      </c>
      <c r="B322" s="9">
        <f>if('Point Intercept 1'!B322 = 'Point Intercept 2'!B322, 'Point Intercept 1'!B322, "ERROR")</f>
        <v>2025</v>
      </c>
      <c r="C322" s="14">
        <f>if('Point Intercept 1'!C322 = 'Point Intercept 2'!C322, 'Point Intercept 1'!C322, "ERROR")</f>
        <v>45755</v>
      </c>
      <c r="D322" s="9" t="str">
        <f>if('Point Intercept 1'!D322 = 'Point Intercept 2'!D322, 'Point Intercept 1'!D322, "ERROR")</f>
        <v>JC, TL</v>
      </c>
      <c r="E322" s="9" t="str">
        <f>if('Point Intercept 1'!E322 = 'Point Intercept 2'!E322, 'Point Intercept 1'!E322, "ERROR")</f>
        <v>VB</v>
      </c>
      <c r="F322" s="9">
        <f>if('Point Intercept 1'!F322 = 'Point Intercept 2'!F322, 'Point Intercept 1'!F322, "ERROR")</f>
        <v>3</v>
      </c>
      <c r="G322" s="9" t="str">
        <f>if('Point Intercept 1'!G322 = 'Point Intercept 2'!G322, 'Point Intercept 1'!G322, "ERROR")</f>
        <v>LS</v>
      </c>
      <c r="H322" s="9">
        <f>if('Point Intercept 1'!I322 = 'Point Intercept 2'!I322, 'Point Intercept 1'!I322, "ERROR")</f>
        <v>4</v>
      </c>
      <c r="I322" s="9">
        <f>if('Point Intercept 1'!H322 = 'Point Intercept 2'!H322, 'Point Intercept 1'!H322, "ERROR")</f>
        <v>1</v>
      </c>
      <c r="J322" s="9">
        <f>if('Point Intercept 1'!J322 = 'Point Intercept 2'!J322, 'Point Intercept 1'!J322, "ERROR")</f>
        <v>1.5</v>
      </c>
      <c r="K322" s="9" t="str">
        <f>if('Point Intercept 1'!K322 = 'Point Intercept 2'!K322, 'Point Intercept 1'!K322, "ERROR")</f>
        <v>FESMYU</v>
      </c>
      <c r="L322" s="9" t="str">
        <f>if('Point Intercept 1'!L322 = 'Point Intercept 2'!L322, 'Point Intercept 1'!L322, "ERROR")</f>
        <v>Festuca myuros</v>
      </c>
      <c r="M322" s="9" t="str">
        <f>if('Point Intercept 1'!N322 = 'Point Intercept 2'!M322, 'Point Intercept 1'!N322, "ERROR")</f>
        <v/>
      </c>
      <c r="N322" s="9" t="str">
        <f>if('Point Intercept 1'!O322 = 'Point Intercept 2'!N322, 'Point Intercept 1'!O322, "ERROR")</f>
        <v/>
      </c>
      <c r="O322" s="9" t="str">
        <f>if('Point Intercept 1'!P322 = 'Point Intercept 2'!O322, 'Point Intercept 1'!P322, "ERROR")</f>
        <v/>
      </c>
    </row>
    <row r="323">
      <c r="A323" s="9">
        <f>if('Point Intercept 1'!A323 = 'Point Intercept 2'!A323, 'Point Intercept 1'!A323, "ERROR")</f>
        <v>4</v>
      </c>
      <c r="B323" s="9">
        <f>if('Point Intercept 1'!B323 = 'Point Intercept 2'!B323, 'Point Intercept 1'!B323, "ERROR")</f>
        <v>2025</v>
      </c>
      <c r="C323" s="14">
        <f>if('Point Intercept 1'!C323 = 'Point Intercept 2'!C323, 'Point Intercept 1'!C323, "ERROR")</f>
        <v>45755</v>
      </c>
      <c r="D323" s="9" t="str">
        <f>if('Point Intercept 1'!D323 = 'Point Intercept 2'!D323, 'Point Intercept 1'!D323, "ERROR")</f>
        <v>JC, TL</v>
      </c>
      <c r="E323" s="9" t="str">
        <f>if('Point Intercept 1'!E323 = 'Point Intercept 2'!E323, 'Point Intercept 1'!E323, "ERROR")</f>
        <v>VB</v>
      </c>
      <c r="F323" s="9">
        <f>if('Point Intercept 1'!F323 = 'Point Intercept 2'!F323, 'Point Intercept 1'!F323, "ERROR")</f>
        <v>3</v>
      </c>
      <c r="G323" s="9" t="str">
        <f>if('Point Intercept 1'!G323 = 'Point Intercept 2'!G323, 'Point Intercept 1'!G323, "ERROR")</f>
        <v>LS</v>
      </c>
      <c r="H323" s="9">
        <f>if('Point Intercept 1'!I323 = 'Point Intercept 2'!I323, 'Point Intercept 1'!I323, "ERROR")</f>
        <v>5</v>
      </c>
      <c r="I323" s="9">
        <f>if('Point Intercept 1'!H323 = 'Point Intercept 2'!H323, 'Point Intercept 1'!H323, "ERROR")</f>
        <v>1</v>
      </c>
      <c r="J323" s="9">
        <f>if('Point Intercept 1'!J323 = 'Point Intercept 2'!J323, 'Point Intercept 1'!J323, "ERROR")</f>
        <v>2</v>
      </c>
      <c r="K323" s="9" t="str">
        <f>if('Point Intercept 1'!K323 = 'Point Intercept 2'!K323, 'Point Intercept 1'!K323, "ERROR")</f>
        <v>B</v>
      </c>
      <c r="L323" s="9" t="str">
        <f>if('Point Intercept 1'!L323 = 'Point Intercept 2'!L323, 'Point Intercept 1'!L323, "ERROR")</f>
        <v>Bareground</v>
      </c>
      <c r="M323" s="9" t="str">
        <f>if('Point Intercept 1'!N323 = 'Point Intercept 2'!M323, 'Point Intercept 1'!N323, "ERROR")</f>
        <v/>
      </c>
      <c r="N323" s="9" t="str">
        <f>if('Point Intercept 1'!O323 = 'Point Intercept 2'!N323, 'Point Intercept 1'!O323, "ERROR")</f>
        <v/>
      </c>
      <c r="O323" s="9" t="str">
        <f>if('Point Intercept 1'!P323 = 'Point Intercept 2'!O323, 'Point Intercept 1'!P323, "ERROR")</f>
        <v/>
      </c>
    </row>
    <row r="324">
      <c r="A324" s="9">
        <f>if('Point Intercept 1'!A324 = 'Point Intercept 2'!A324, 'Point Intercept 1'!A324, "ERROR")</f>
        <v>4</v>
      </c>
      <c r="B324" s="9">
        <f>if('Point Intercept 1'!B324 = 'Point Intercept 2'!B324, 'Point Intercept 1'!B324, "ERROR")</f>
        <v>2025</v>
      </c>
      <c r="C324" s="14">
        <f>if('Point Intercept 1'!C324 = 'Point Intercept 2'!C324, 'Point Intercept 1'!C324, "ERROR")</f>
        <v>45755</v>
      </c>
      <c r="D324" s="9" t="str">
        <f>if('Point Intercept 1'!D324 = 'Point Intercept 2'!D324, 'Point Intercept 1'!D324, "ERROR")</f>
        <v>JC, TL</v>
      </c>
      <c r="E324" s="9" t="str">
        <f>if('Point Intercept 1'!E324 = 'Point Intercept 2'!E324, 'Point Intercept 1'!E324, "ERROR")</f>
        <v>VB</v>
      </c>
      <c r="F324" s="9">
        <f>if('Point Intercept 1'!F324 = 'Point Intercept 2'!F324, 'Point Intercept 1'!F324, "ERROR")</f>
        <v>3</v>
      </c>
      <c r="G324" s="9" t="str">
        <f>if('Point Intercept 1'!G324 = 'Point Intercept 2'!G324, 'Point Intercept 1'!G324, "ERROR")</f>
        <v>LS</v>
      </c>
      <c r="H324" s="9">
        <f>if('Point Intercept 1'!I324 = 'Point Intercept 2'!I324, 'Point Intercept 1'!I324, "ERROR")</f>
        <v>5</v>
      </c>
      <c r="I324" s="9">
        <f>if('Point Intercept 1'!H324 = 'Point Intercept 2'!H324, 'Point Intercept 1'!H324, "ERROR")</f>
        <v>1</v>
      </c>
      <c r="J324" s="9">
        <f>if('Point Intercept 1'!J324 = 'Point Intercept 2'!J324, 'Point Intercept 1'!J324, "ERROR")</f>
        <v>2</v>
      </c>
      <c r="K324" s="9" t="str">
        <f>if('Point Intercept 1'!K324 = 'Point Intercept 2'!K324, 'Point Intercept 1'!K324, "ERROR")</f>
        <v>FESMYU</v>
      </c>
      <c r="L324" s="9" t="str">
        <f>if('Point Intercept 1'!L324 = 'Point Intercept 2'!L324, 'Point Intercept 1'!L324, "ERROR")</f>
        <v>Festuca myuros</v>
      </c>
      <c r="M324" s="9" t="str">
        <f>if('Point Intercept 1'!N324 = 'Point Intercept 2'!M324, 'Point Intercept 1'!N324, "ERROR")</f>
        <v/>
      </c>
      <c r="N324" s="9" t="str">
        <f>if('Point Intercept 1'!O324 = 'Point Intercept 2'!N324, 'Point Intercept 1'!O324, "ERROR")</f>
        <v/>
      </c>
      <c r="O324" s="9" t="str">
        <f>if('Point Intercept 1'!P324 = 'Point Intercept 2'!O324, 'Point Intercept 1'!P324, "ERROR")</f>
        <v/>
      </c>
    </row>
    <row r="325">
      <c r="A325" s="9">
        <f>if('Point Intercept 1'!A325 = 'Point Intercept 2'!A325, 'Point Intercept 1'!A325, "ERROR")</f>
        <v>4</v>
      </c>
      <c r="B325" s="9">
        <f>if('Point Intercept 1'!B325 = 'Point Intercept 2'!B325, 'Point Intercept 1'!B325, "ERROR")</f>
        <v>2025</v>
      </c>
      <c r="C325" s="14">
        <f>if('Point Intercept 1'!C325 = 'Point Intercept 2'!C325, 'Point Intercept 1'!C325, "ERROR")</f>
        <v>45755</v>
      </c>
      <c r="D325" s="9" t="str">
        <f>if('Point Intercept 1'!D325 = 'Point Intercept 2'!D325, 'Point Intercept 1'!D325, "ERROR")</f>
        <v>JC, TL</v>
      </c>
      <c r="E325" s="9" t="str">
        <f>if('Point Intercept 1'!E325 = 'Point Intercept 2'!E325, 'Point Intercept 1'!E325, "ERROR")</f>
        <v>VB</v>
      </c>
      <c r="F325" s="9">
        <f>if('Point Intercept 1'!F325 = 'Point Intercept 2'!F325, 'Point Intercept 1'!F325, "ERROR")</f>
        <v>3</v>
      </c>
      <c r="G325" s="9" t="str">
        <f>if('Point Intercept 1'!G325 = 'Point Intercept 2'!G325, 'Point Intercept 1'!G325, "ERROR")</f>
        <v>LS</v>
      </c>
      <c r="H325" s="9">
        <f>if('Point Intercept 1'!I325 = 'Point Intercept 2'!I325, 'Point Intercept 1'!I325, "ERROR")</f>
        <v>5</v>
      </c>
      <c r="I325" s="9">
        <f>if('Point Intercept 1'!H325 = 'Point Intercept 2'!H325, 'Point Intercept 1'!H325, "ERROR")</f>
        <v>1</v>
      </c>
      <c r="J325" s="9">
        <f>if('Point Intercept 1'!J325 = 'Point Intercept 2'!J325, 'Point Intercept 1'!J325, "ERROR")</f>
        <v>2</v>
      </c>
      <c r="K325" s="9" t="str">
        <f>if('Point Intercept 1'!K325 = 'Point Intercept 2'!K325, 'Point Intercept 1'!K325, "ERROR")</f>
        <v>SONOLE</v>
      </c>
      <c r="L325" s="9" t="str">
        <f>if('Point Intercept 1'!L325 = 'Point Intercept 2'!L325, 'Point Intercept 1'!L325, "ERROR")</f>
        <v>Sonchus oleraceus</v>
      </c>
      <c r="M325" s="9" t="str">
        <f>if('Point Intercept 1'!N325 = 'Point Intercept 2'!M325, 'Point Intercept 1'!N325, "ERROR")</f>
        <v/>
      </c>
      <c r="N325" s="9" t="str">
        <f>if('Point Intercept 1'!O325 = 'Point Intercept 2'!N325, 'Point Intercept 1'!O325, "ERROR")</f>
        <v/>
      </c>
      <c r="O325" s="9" t="str">
        <f>if('Point Intercept 1'!P325 = 'Point Intercept 2'!O325, 'Point Intercept 1'!P325, "ERROR")</f>
        <v/>
      </c>
    </row>
    <row r="326">
      <c r="A326" s="9">
        <f>if('Point Intercept 1'!A326 = 'Point Intercept 2'!A326, 'Point Intercept 1'!A326, "ERROR")</f>
        <v>4</v>
      </c>
      <c r="B326" s="9">
        <f>if('Point Intercept 1'!B326 = 'Point Intercept 2'!B326, 'Point Intercept 1'!B326, "ERROR")</f>
        <v>2025</v>
      </c>
      <c r="C326" s="14">
        <f>if('Point Intercept 1'!C326 = 'Point Intercept 2'!C326, 'Point Intercept 1'!C326, "ERROR")</f>
        <v>45755</v>
      </c>
      <c r="D326" s="9" t="str">
        <f>if('Point Intercept 1'!D326 = 'Point Intercept 2'!D326, 'Point Intercept 1'!D326, "ERROR")</f>
        <v>JC, TL</v>
      </c>
      <c r="E326" s="9" t="str">
        <f>if('Point Intercept 1'!E326 = 'Point Intercept 2'!E326, 'Point Intercept 1'!E326, "ERROR")</f>
        <v>VB</v>
      </c>
      <c r="F326" s="9">
        <f>if('Point Intercept 1'!F326 = 'Point Intercept 2'!F326, 'Point Intercept 1'!F326, "ERROR")</f>
        <v>3</v>
      </c>
      <c r="G326" s="9" t="str">
        <f>if('Point Intercept 1'!G326 = 'Point Intercept 2'!G326, 'Point Intercept 1'!G326, "ERROR")</f>
        <v>LS</v>
      </c>
      <c r="H326" s="9">
        <f>if('Point Intercept 1'!I326 = 'Point Intercept 2'!I326, 'Point Intercept 1'!I326, "ERROR")</f>
        <v>6</v>
      </c>
      <c r="I326" s="9">
        <f>if('Point Intercept 1'!H326 = 'Point Intercept 2'!H326, 'Point Intercept 1'!H326, "ERROR")</f>
        <v>1</v>
      </c>
      <c r="J326" s="9">
        <f>if('Point Intercept 1'!J326 = 'Point Intercept 2'!J326, 'Point Intercept 1'!J326, "ERROR")</f>
        <v>2.5</v>
      </c>
      <c r="K326" s="9" t="str">
        <f>if('Point Intercept 1'!K326 = 'Point Intercept 2'!K326, 'Point Intercept 1'!K326, "ERROR")</f>
        <v>S</v>
      </c>
      <c r="L326" s="9" t="str">
        <f>if('Point Intercept 1'!L326 = 'Point Intercept 2'!L326, 'Point Intercept 1'!L326, "ERROR")</f>
        <v>Stem</v>
      </c>
      <c r="M326" s="9" t="str">
        <f>if('Point Intercept 1'!N326 = 'Point Intercept 2'!M326, 'Point Intercept 1'!N326, "ERROR")</f>
        <v/>
      </c>
      <c r="N326" s="9" t="str">
        <f>if('Point Intercept 1'!O326 = 'Point Intercept 2'!N326, 'Point Intercept 1'!O326, "ERROR")</f>
        <v/>
      </c>
      <c r="O326" s="9" t="str">
        <f>if('Point Intercept 1'!P326 = 'Point Intercept 2'!O326, 'Point Intercept 1'!P326, "ERROR")</f>
        <v/>
      </c>
    </row>
    <row r="327">
      <c r="A327" s="9">
        <f>if('Point Intercept 1'!A327 = 'Point Intercept 2'!A327, 'Point Intercept 1'!A327, "ERROR")</f>
        <v>4</v>
      </c>
      <c r="B327" s="9">
        <f>if('Point Intercept 1'!B327 = 'Point Intercept 2'!B327, 'Point Intercept 1'!B327, "ERROR")</f>
        <v>2025</v>
      </c>
      <c r="C327" s="14">
        <f>if('Point Intercept 1'!C327 = 'Point Intercept 2'!C327, 'Point Intercept 1'!C327, "ERROR")</f>
        <v>45755</v>
      </c>
      <c r="D327" s="9" t="str">
        <f>if('Point Intercept 1'!D327 = 'Point Intercept 2'!D327, 'Point Intercept 1'!D327, "ERROR")</f>
        <v>JC, TL</v>
      </c>
      <c r="E327" s="9" t="str">
        <f>if('Point Intercept 1'!E327 = 'Point Intercept 2'!E327, 'Point Intercept 1'!E327, "ERROR")</f>
        <v>VB</v>
      </c>
      <c r="F327" s="9">
        <f>if('Point Intercept 1'!F327 = 'Point Intercept 2'!F327, 'Point Intercept 1'!F327, "ERROR")</f>
        <v>3</v>
      </c>
      <c r="G327" s="9" t="str">
        <f>if('Point Intercept 1'!G327 = 'Point Intercept 2'!G327, 'Point Intercept 1'!G327, "ERROR")</f>
        <v>LS</v>
      </c>
      <c r="H327" s="9">
        <f>if('Point Intercept 1'!I327 = 'Point Intercept 2'!I327, 'Point Intercept 1'!I327, "ERROR")</f>
        <v>6</v>
      </c>
      <c r="I327" s="9">
        <f>if('Point Intercept 1'!H327 = 'Point Intercept 2'!H327, 'Point Intercept 1'!H327, "ERROR")</f>
        <v>1</v>
      </c>
      <c r="J327" s="9">
        <f>if('Point Intercept 1'!J327 = 'Point Intercept 2'!J327, 'Point Intercept 1'!J327, "ERROR")</f>
        <v>2.5</v>
      </c>
      <c r="K327" s="9" t="str">
        <f>if('Point Intercept 1'!K327 = 'Point Intercept 2'!K327, 'Point Intercept 1'!K327, "ERROR")</f>
        <v>OPULIT</v>
      </c>
      <c r="L327" s="9" t="str">
        <f>if('Point Intercept 1'!L327 = 'Point Intercept 2'!L327, 'Point Intercept 1'!L327, "ERROR")</f>
        <v>Opuntia littoralis</v>
      </c>
      <c r="M327" s="9" t="str">
        <f>if('Point Intercept 1'!N327 = 'Point Intercept 2'!M327, 'Point Intercept 1'!N327, "ERROR")</f>
        <v/>
      </c>
      <c r="N327" s="9" t="str">
        <f>if('Point Intercept 1'!O327 = 'Point Intercept 2'!N327, 'Point Intercept 1'!O327, "ERROR")</f>
        <v/>
      </c>
      <c r="O327" s="9" t="str">
        <f>if('Point Intercept 1'!P327 = 'Point Intercept 2'!O327, 'Point Intercept 1'!P327, "ERROR")</f>
        <v/>
      </c>
    </row>
    <row r="328">
      <c r="A328" s="9">
        <f>if('Point Intercept 1'!A328 = 'Point Intercept 2'!A328, 'Point Intercept 1'!A328, "ERROR")</f>
        <v>4</v>
      </c>
      <c r="B328" s="9">
        <f>if('Point Intercept 1'!B328 = 'Point Intercept 2'!B328, 'Point Intercept 1'!B328, "ERROR")</f>
        <v>2025</v>
      </c>
      <c r="C328" s="14">
        <f>if('Point Intercept 1'!C328 = 'Point Intercept 2'!C328, 'Point Intercept 1'!C328, "ERROR")</f>
        <v>45755</v>
      </c>
      <c r="D328" s="9" t="str">
        <f>if('Point Intercept 1'!D328 = 'Point Intercept 2'!D328, 'Point Intercept 1'!D328, "ERROR")</f>
        <v>JC, TL</v>
      </c>
      <c r="E328" s="9" t="str">
        <f>if('Point Intercept 1'!E328 = 'Point Intercept 2'!E328, 'Point Intercept 1'!E328, "ERROR")</f>
        <v>VB</v>
      </c>
      <c r="F328" s="9">
        <f>if('Point Intercept 1'!F328 = 'Point Intercept 2'!F328, 'Point Intercept 1'!F328, "ERROR")</f>
        <v>3</v>
      </c>
      <c r="G328" s="9" t="str">
        <f>if('Point Intercept 1'!G328 = 'Point Intercept 2'!G328, 'Point Intercept 1'!G328, "ERROR")</f>
        <v>LS</v>
      </c>
      <c r="H328" s="9">
        <f>if('Point Intercept 1'!I328 = 'Point Intercept 2'!I328, 'Point Intercept 1'!I328, "ERROR")</f>
        <v>7</v>
      </c>
      <c r="I328" s="9">
        <f>if('Point Intercept 1'!H328 = 'Point Intercept 2'!H328, 'Point Intercept 1'!H328, "ERROR")</f>
        <v>1</v>
      </c>
      <c r="J328" s="9">
        <f>if('Point Intercept 1'!J328 = 'Point Intercept 2'!J328, 'Point Intercept 1'!J328, "ERROR")</f>
        <v>3</v>
      </c>
      <c r="K328" s="9" t="str">
        <f>if('Point Intercept 1'!K328 = 'Point Intercept 2'!K328, 'Point Intercept 1'!K328, "ERROR")</f>
        <v>B</v>
      </c>
      <c r="L328" s="9" t="str">
        <f>if('Point Intercept 1'!L328 = 'Point Intercept 2'!L328, 'Point Intercept 1'!L328, "ERROR")</f>
        <v>Bareground</v>
      </c>
      <c r="M328" s="9" t="str">
        <f>if('Point Intercept 1'!N328 = 'Point Intercept 2'!M328, 'Point Intercept 1'!N328, "ERROR")</f>
        <v/>
      </c>
      <c r="N328" s="9" t="str">
        <f>if('Point Intercept 1'!O328 = 'Point Intercept 2'!N328, 'Point Intercept 1'!O328, "ERROR")</f>
        <v/>
      </c>
      <c r="O328" s="9" t="str">
        <f>if('Point Intercept 1'!P328 = 'Point Intercept 2'!O328, 'Point Intercept 1'!P328, "ERROR")</f>
        <v/>
      </c>
    </row>
    <row r="329">
      <c r="A329" s="9">
        <f>if('Point Intercept 1'!A329 = 'Point Intercept 2'!A329, 'Point Intercept 1'!A329, "ERROR")</f>
        <v>4</v>
      </c>
      <c r="B329" s="9">
        <f>if('Point Intercept 1'!B329 = 'Point Intercept 2'!B329, 'Point Intercept 1'!B329, "ERROR")</f>
        <v>2025</v>
      </c>
      <c r="C329" s="14">
        <f>if('Point Intercept 1'!C329 = 'Point Intercept 2'!C329, 'Point Intercept 1'!C329, "ERROR")</f>
        <v>45755</v>
      </c>
      <c r="D329" s="9" t="str">
        <f>if('Point Intercept 1'!D329 = 'Point Intercept 2'!D329, 'Point Intercept 1'!D329, "ERROR")</f>
        <v>JC, TL</v>
      </c>
      <c r="E329" s="9" t="str">
        <f>if('Point Intercept 1'!E329 = 'Point Intercept 2'!E329, 'Point Intercept 1'!E329, "ERROR")</f>
        <v>VB</v>
      </c>
      <c r="F329" s="9">
        <f>if('Point Intercept 1'!F329 = 'Point Intercept 2'!F329, 'Point Intercept 1'!F329, "ERROR")</f>
        <v>3</v>
      </c>
      <c r="G329" s="9" t="str">
        <f>if('Point Intercept 1'!G329 = 'Point Intercept 2'!G329, 'Point Intercept 1'!G329, "ERROR")</f>
        <v>LS</v>
      </c>
      <c r="H329" s="9">
        <f>if('Point Intercept 1'!I329 = 'Point Intercept 2'!I329, 'Point Intercept 1'!I329, "ERROR")</f>
        <v>7</v>
      </c>
      <c r="I329" s="9">
        <f>if('Point Intercept 1'!H329 = 'Point Intercept 2'!H329, 'Point Intercept 1'!H329, "ERROR")</f>
        <v>1</v>
      </c>
      <c r="J329" s="9">
        <f>if('Point Intercept 1'!J329 = 'Point Intercept 2'!J329, 'Point Intercept 1'!J329, "ERROR")</f>
        <v>3</v>
      </c>
      <c r="K329" s="9" t="str">
        <f>if('Point Intercept 1'!K329 = 'Point Intercept 2'!K329, 'Point Intercept 1'!K329, "ERROR")</f>
        <v>FESMYU</v>
      </c>
      <c r="L329" s="9" t="str">
        <f>if('Point Intercept 1'!L329 = 'Point Intercept 2'!L329, 'Point Intercept 1'!L329, "ERROR")</f>
        <v>Festuca myuros</v>
      </c>
      <c r="M329" s="9" t="str">
        <f>if('Point Intercept 1'!N329 = 'Point Intercept 2'!M329, 'Point Intercept 1'!N329, "ERROR")</f>
        <v/>
      </c>
      <c r="N329" s="9" t="str">
        <f>if('Point Intercept 1'!O329 = 'Point Intercept 2'!N329, 'Point Intercept 1'!O329, "ERROR")</f>
        <v/>
      </c>
      <c r="O329" s="9" t="str">
        <f>if('Point Intercept 1'!P329 = 'Point Intercept 2'!O329, 'Point Intercept 1'!P329, "ERROR")</f>
        <v/>
      </c>
    </row>
    <row r="330">
      <c r="A330" s="9">
        <f>if('Point Intercept 1'!A330 = 'Point Intercept 2'!A330, 'Point Intercept 1'!A330, "ERROR")</f>
        <v>4</v>
      </c>
      <c r="B330" s="9">
        <f>if('Point Intercept 1'!B330 = 'Point Intercept 2'!B330, 'Point Intercept 1'!B330, "ERROR")</f>
        <v>2025</v>
      </c>
      <c r="C330" s="14">
        <f>if('Point Intercept 1'!C330 = 'Point Intercept 2'!C330, 'Point Intercept 1'!C330, "ERROR")</f>
        <v>45755</v>
      </c>
      <c r="D330" s="9" t="str">
        <f>if('Point Intercept 1'!D330 = 'Point Intercept 2'!D330, 'Point Intercept 1'!D330, "ERROR")</f>
        <v>JC, TL</v>
      </c>
      <c r="E330" s="9" t="str">
        <f>if('Point Intercept 1'!E330 = 'Point Intercept 2'!E330, 'Point Intercept 1'!E330, "ERROR")</f>
        <v>VB</v>
      </c>
      <c r="F330" s="9">
        <f>if('Point Intercept 1'!F330 = 'Point Intercept 2'!F330, 'Point Intercept 1'!F330, "ERROR")</f>
        <v>3</v>
      </c>
      <c r="G330" s="9" t="str">
        <f>if('Point Intercept 1'!G330 = 'Point Intercept 2'!G330, 'Point Intercept 1'!G330, "ERROR")</f>
        <v>LS</v>
      </c>
      <c r="H330" s="9">
        <f>if('Point Intercept 1'!I330 = 'Point Intercept 2'!I330, 'Point Intercept 1'!I330, "ERROR")</f>
        <v>7</v>
      </c>
      <c r="I330" s="9">
        <f>if('Point Intercept 1'!H330 = 'Point Intercept 2'!H330, 'Point Intercept 1'!H330, "ERROR")</f>
        <v>1</v>
      </c>
      <c r="J330" s="9">
        <f>if('Point Intercept 1'!J330 = 'Point Intercept 2'!J330, 'Point Intercept 1'!J330, "ERROR")</f>
        <v>3</v>
      </c>
      <c r="K330" s="9" t="str">
        <f>if('Point Intercept 1'!K330 = 'Point Intercept 2'!K330, 'Point Intercept 1'!K330, "ERROR")</f>
        <v>SONOLE</v>
      </c>
      <c r="L330" s="9" t="str">
        <f>if('Point Intercept 1'!L330 = 'Point Intercept 2'!L330, 'Point Intercept 1'!L330, "ERROR")</f>
        <v>Sonchus oleraceus</v>
      </c>
      <c r="M330" s="9" t="str">
        <f>if('Point Intercept 1'!N330 = 'Point Intercept 2'!M330, 'Point Intercept 1'!N330, "ERROR")</f>
        <v/>
      </c>
      <c r="N330" s="9" t="str">
        <f>if('Point Intercept 1'!O330 = 'Point Intercept 2'!N330, 'Point Intercept 1'!O330, "ERROR")</f>
        <v/>
      </c>
      <c r="O330" s="9" t="str">
        <f>if('Point Intercept 1'!P330 = 'Point Intercept 2'!O330, 'Point Intercept 1'!P330, "ERROR")</f>
        <v/>
      </c>
    </row>
    <row r="331">
      <c r="A331" s="9">
        <f>if('Point Intercept 1'!A331 = 'Point Intercept 2'!A331, 'Point Intercept 1'!A331, "ERROR")</f>
        <v>4</v>
      </c>
      <c r="B331" s="9">
        <f>if('Point Intercept 1'!B331 = 'Point Intercept 2'!B331, 'Point Intercept 1'!B331, "ERROR")</f>
        <v>2025</v>
      </c>
      <c r="C331" s="14">
        <f>if('Point Intercept 1'!C331 = 'Point Intercept 2'!C331, 'Point Intercept 1'!C331, "ERROR")</f>
        <v>45755</v>
      </c>
      <c r="D331" s="9" t="str">
        <f>if('Point Intercept 1'!D331 = 'Point Intercept 2'!D331, 'Point Intercept 1'!D331, "ERROR")</f>
        <v>JC, TL</v>
      </c>
      <c r="E331" s="9" t="str">
        <f>if('Point Intercept 1'!E331 = 'Point Intercept 2'!E331, 'Point Intercept 1'!E331, "ERROR")</f>
        <v>VB</v>
      </c>
      <c r="F331" s="9">
        <f>if('Point Intercept 1'!F331 = 'Point Intercept 2'!F331, 'Point Intercept 1'!F331, "ERROR")</f>
        <v>3</v>
      </c>
      <c r="G331" s="9" t="str">
        <f>if('Point Intercept 1'!G331 = 'Point Intercept 2'!G331, 'Point Intercept 1'!G331, "ERROR")</f>
        <v>LS</v>
      </c>
      <c r="H331" s="9">
        <f>if('Point Intercept 1'!I331 = 'Point Intercept 2'!I331, 'Point Intercept 1'!I331, "ERROR")</f>
        <v>8</v>
      </c>
      <c r="I331" s="9">
        <f>if('Point Intercept 1'!H331 = 'Point Intercept 2'!H331, 'Point Intercept 1'!H331, "ERROR")</f>
        <v>1</v>
      </c>
      <c r="J331" s="9">
        <f>if('Point Intercept 1'!J331 = 'Point Intercept 2'!J331, 'Point Intercept 1'!J331, "ERROR")</f>
        <v>3.5</v>
      </c>
      <c r="K331" s="9" t="str">
        <f>if('Point Intercept 1'!K331 = 'Point Intercept 2'!K331, 'Point Intercept 1'!K331, "ERROR")</f>
        <v>L</v>
      </c>
      <c r="L331" s="9" t="str">
        <f>if('Point Intercept 1'!L331 = 'Point Intercept 2'!L331, 'Point Intercept 1'!L331, "ERROR")</f>
        <v>Litter</v>
      </c>
      <c r="M331" s="9" t="str">
        <f>if('Point Intercept 1'!N331 = 'Point Intercept 2'!M332, 'Point Intercept 1'!N331, "ERROR")</f>
        <v/>
      </c>
      <c r="N331" s="9" t="str">
        <f>if('Point Intercept 1'!O331 = 'Point Intercept 2'!N332, 'Point Intercept 1'!O331, "ERROR")</f>
        <v/>
      </c>
      <c r="O331" s="9" t="str">
        <f>if('Point Intercept 1'!P331 = 'Point Intercept 2'!O332, 'Point Intercept 1'!P331, "ERROR")</f>
        <v/>
      </c>
    </row>
    <row r="332">
      <c r="A332" s="9">
        <f>if('Point Intercept 1'!A332 = 'Point Intercept 2'!A332, 'Point Intercept 1'!A332, "ERROR")</f>
        <v>4</v>
      </c>
      <c r="B332" s="9">
        <f>if('Point Intercept 1'!B332 = 'Point Intercept 2'!B332, 'Point Intercept 1'!B332, "ERROR")</f>
        <v>2025</v>
      </c>
      <c r="C332" s="14">
        <f>if('Point Intercept 1'!C332 = 'Point Intercept 2'!C332, 'Point Intercept 1'!C332, "ERROR")</f>
        <v>45755</v>
      </c>
      <c r="D332" s="9" t="str">
        <f>if('Point Intercept 1'!D332 = 'Point Intercept 2'!D332, 'Point Intercept 1'!D332, "ERROR")</f>
        <v>JC, TL</v>
      </c>
      <c r="E332" s="9" t="str">
        <f>if('Point Intercept 1'!E332 = 'Point Intercept 2'!E332, 'Point Intercept 1'!E332, "ERROR")</f>
        <v>VB</v>
      </c>
      <c r="F332" s="9">
        <f>if('Point Intercept 1'!F332 = 'Point Intercept 2'!F332, 'Point Intercept 1'!F332, "ERROR")</f>
        <v>3</v>
      </c>
      <c r="G332" s="9" t="str">
        <f>if('Point Intercept 1'!G332 = 'Point Intercept 2'!G332, 'Point Intercept 1'!G332, "ERROR")</f>
        <v>LS</v>
      </c>
      <c r="H332" s="9">
        <f>if('Point Intercept 1'!I332 = 'Point Intercept 2'!I332, 'Point Intercept 1'!I332, "ERROR")</f>
        <v>8</v>
      </c>
      <c r="I332" s="9">
        <f>if('Point Intercept 1'!H332 = 'Point Intercept 2'!H332, 'Point Intercept 1'!H332, "ERROR")</f>
        <v>1</v>
      </c>
      <c r="J332" s="9">
        <f>if('Point Intercept 1'!J332 = 'Point Intercept 2'!J332, 'Point Intercept 1'!J332, "ERROR")</f>
        <v>3.5</v>
      </c>
      <c r="K332" s="9" t="str">
        <f>if('Point Intercept 1'!K332 = 'Point Intercept 2'!K332, 'Point Intercept 1'!K332, "ERROR")</f>
        <v>FESMYU</v>
      </c>
      <c r="L332" s="9" t="str">
        <f>if('Point Intercept 1'!L332 = 'Point Intercept 2'!L332, 'Point Intercept 1'!L332, "ERROR")</f>
        <v>Festuca myuros</v>
      </c>
      <c r="M332" s="9" t="str">
        <f>if('Point Intercept 1'!N332 = 'Point Intercept 2'!M333, 'Point Intercept 1'!N332, "ERROR")</f>
        <v/>
      </c>
      <c r="N332" s="9" t="str">
        <f>if('Point Intercept 1'!O332 = 'Point Intercept 2'!N333, 'Point Intercept 1'!O332, "ERROR")</f>
        <v/>
      </c>
      <c r="O332" s="9" t="str">
        <f>if('Point Intercept 1'!P332 = 'Point Intercept 2'!O333, 'Point Intercept 1'!P332, "ERROR")</f>
        <v/>
      </c>
    </row>
    <row r="333">
      <c r="A333" s="9">
        <f>if('Point Intercept 1'!A333 = 'Point Intercept 2'!A333, 'Point Intercept 1'!A333, "ERROR")</f>
        <v>4</v>
      </c>
      <c r="B333" s="9">
        <f>if('Point Intercept 1'!B333 = 'Point Intercept 2'!B333, 'Point Intercept 1'!B333, "ERROR")</f>
        <v>2025</v>
      </c>
      <c r="C333" s="14">
        <f>if('Point Intercept 1'!C333 = 'Point Intercept 2'!C333, 'Point Intercept 1'!C333, "ERROR")</f>
        <v>45755</v>
      </c>
      <c r="D333" s="9" t="str">
        <f>if('Point Intercept 1'!D333 = 'Point Intercept 2'!D333, 'Point Intercept 1'!D333, "ERROR")</f>
        <v>JC, TL</v>
      </c>
      <c r="E333" s="9" t="str">
        <f>if('Point Intercept 1'!E333 = 'Point Intercept 2'!E333, 'Point Intercept 1'!E333, "ERROR")</f>
        <v>VB</v>
      </c>
      <c r="F333" s="9">
        <f>if('Point Intercept 1'!F333 = 'Point Intercept 2'!F333, 'Point Intercept 1'!F333, "ERROR")</f>
        <v>3</v>
      </c>
      <c r="G333" s="9" t="str">
        <f>if('Point Intercept 1'!G333 = 'Point Intercept 2'!G333, 'Point Intercept 1'!G333, "ERROR")</f>
        <v>LS</v>
      </c>
      <c r="H333" s="9">
        <f>if('Point Intercept 1'!I333 = 'Point Intercept 2'!I333, 'Point Intercept 1'!I333, "ERROR")</f>
        <v>8</v>
      </c>
      <c r="I333" s="9">
        <f>if('Point Intercept 1'!H333 = 'Point Intercept 2'!H333, 'Point Intercept 1'!H333, "ERROR")</f>
        <v>1</v>
      </c>
      <c r="J333" s="9">
        <f>if('Point Intercept 1'!J333 = 'Point Intercept 2'!J333, 'Point Intercept 1'!J333, "ERROR")</f>
        <v>3.5</v>
      </c>
      <c r="K333" s="9" t="str">
        <f>if('Point Intercept 1'!K333 = 'Point Intercept 2'!K333, 'Point Intercept 1'!K333, "ERROR")</f>
        <v>DEIFAS</v>
      </c>
      <c r="L333" s="9" t="str">
        <f>if('Point Intercept 1'!L333 = 'Point Intercept 2'!L333, 'Point Intercept 1'!L333, "ERROR")</f>
        <v>Deinandra fasciculata</v>
      </c>
      <c r="M333" s="9" t="str">
        <f>if('Point Intercept 1'!N333 = 'Point Intercept 2'!M334, 'Point Intercept 1'!N333, "ERROR")</f>
        <v/>
      </c>
      <c r="N333" s="9" t="str">
        <f>if('Point Intercept 1'!O333 = 'Point Intercept 2'!N334, 'Point Intercept 1'!O333, "ERROR")</f>
        <v/>
      </c>
      <c r="O333" s="9" t="str">
        <f>if('Point Intercept 1'!P333 = 'Point Intercept 2'!O334, 'Point Intercept 1'!P333, "ERROR")</f>
        <v/>
      </c>
    </row>
    <row r="334">
      <c r="A334" s="9">
        <f>if('Point Intercept 1'!A334 = 'Point Intercept 2'!A334, 'Point Intercept 1'!A334, "ERROR")</f>
        <v>4</v>
      </c>
      <c r="B334" s="9">
        <f>if('Point Intercept 1'!B334 = 'Point Intercept 2'!B334, 'Point Intercept 1'!B334, "ERROR")</f>
        <v>2025</v>
      </c>
      <c r="C334" s="14">
        <f>if('Point Intercept 1'!C334 = 'Point Intercept 2'!C334, 'Point Intercept 1'!C334, "ERROR")</f>
        <v>45755</v>
      </c>
      <c r="D334" s="9" t="str">
        <f>if('Point Intercept 1'!D334 = 'Point Intercept 2'!D334, 'Point Intercept 1'!D334, "ERROR")</f>
        <v>JC, TL</v>
      </c>
      <c r="E334" s="9" t="str">
        <f>if('Point Intercept 1'!E334 = 'Point Intercept 2'!E334, 'Point Intercept 1'!E334, "ERROR")</f>
        <v>VB</v>
      </c>
      <c r="F334" s="9">
        <f>if('Point Intercept 1'!F334 = 'Point Intercept 2'!F334, 'Point Intercept 1'!F334, "ERROR")</f>
        <v>3</v>
      </c>
      <c r="G334" s="9" t="str">
        <f>if('Point Intercept 1'!G334 = 'Point Intercept 2'!G334, 'Point Intercept 1'!G334, "ERROR")</f>
        <v>LS</v>
      </c>
      <c r="H334" s="9">
        <f>if('Point Intercept 1'!I334 = 'Point Intercept 2'!I334, 'Point Intercept 1'!I334, "ERROR")</f>
        <v>8</v>
      </c>
      <c r="I334" s="9">
        <f>if('Point Intercept 1'!H334 = 'Point Intercept 2'!H334, 'Point Intercept 1'!H334, "ERROR")</f>
        <v>1</v>
      </c>
      <c r="J334" s="9">
        <f>if('Point Intercept 1'!J334 = 'Point Intercept 2'!J334, 'Point Intercept 1'!J334, "ERROR")</f>
        <v>3.5</v>
      </c>
      <c r="K334" s="9" t="str">
        <f>if('Point Intercept 1'!K334 = 'Point Intercept 2'!K334, 'Point Intercept 1'!K334, "ERROR")</f>
        <v>MEDPOL</v>
      </c>
      <c r="L334" s="9" t="str">
        <f>if('Point Intercept 1'!L334 = 'Point Intercept 2'!L334, 'Point Intercept 1'!L334, "ERROR")</f>
        <v>Medicago polymorpha</v>
      </c>
      <c r="M334" s="9" t="str">
        <f>if('Point Intercept 1'!N334 = 'Point Intercept 2'!M335, 'Point Intercept 1'!N334, "ERROR")</f>
        <v/>
      </c>
      <c r="N334" s="9" t="str">
        <f>if('Point Intercept 1'!O334 = 'Point Intercept 2'!N335, 'Point Intercept 1'!O334, "ERROR")</f>
        <v/>
      </c>
      <c r="O334" s="9" t="str">
        <f>if('Point Intercept 1'!P334 = 'Point Intercept 2'!O335, 'Point Intercept 1'!P334, "ERROR")</f>
        <v/>
      </c>
    </row>
    <row r="335">
      <c r="A335" s="9">
        <f>if('Point Intercept 1'!A335 = 'Point Intercept 2'!A335, 'Point Intercept 1'!A335, "ERROR")</f>
        <v>4</v>
      </c>
      <c r="B335" s="9">
        <f>if('Point Intercept 1'!B335 = 'Point Intercept 2'!B335, 'Point Intercept 1'!B335, "ERROR")</f>
        <v>2025</v>
      </c>
      <c r="C335" s="14">
        <f>if('Point Intercept 1'!C335 = 'Point Intercept 2'!C335, 'Point Intercept 1'!C335, "ERROR")</f>
        <v>45755</v>
      </c>
      <c r="D335" s="9" t="str">
        <f>if('Point Intercept 1'!D335 = 'Point Intercept 2'!D335, 'Point Intercept 1'!D335, "ERROR")</f>
        <v>JC, TL</v>
      </c>
      <c r="E335" s="9" t="str">
        <f>if('Point Intercept 1'!E335 = 'Point Intercept 2'!E335, 'Point Intercept 1'!E335, "ERROR")</f>
        <v>VB</v>
      </c>
      <c r="F335" s="9">
        <f>if('Point Intercept 1'!F335 = 'Point Intercept 2'!F335, 'Point Intercept 1'!F335, "ERROR")</f>
        <v>3</v>
      </c>
      <c r="G335" s="9" t="str">
        <f>if('Point Intercept 1'!G335 = 'Point Intercept 2'!G335, 'Point Intercept 1'!G335, "ERROR")</f>
        <v>LS</v>
      </c>
      <c r="H335" s="9">
        <f>if('Point Intercept 1'!I335 = 'Point Intercept 2'!I335, 'Point Intercept 1'!I335, "ERROR")</f>
        <v>9</v>
      </c>
      <c r="I335" s="9">
        <f>if('Point Intercept 1'!H335 = 'Point Intercept 2'!H335, 'Point Intercept 1'!H335, "ERROR")</f>
        <v>1</v>
      </c>
      <c r="J335" s="9">
        <f>if('Point Intercept 1'!J335 = 'Point Intercept 2'!J335, 'Point Intercept 1'!J335, "ERROR")</f>
        <v>4</v>
      </c>
      <c r="K335" s="9" t="str">
        <f>if('Point Intercept 1'!K335 = 'Point Intercept 2'!K335, 'Point Intercept 1'!K335, "ERROR")</f>
        <v>L</v>
      </c>
      <c r="L335" s="9" t="str">
        <f>if('Point Intercept 1'!L335 = 'Point Intercept 2'!L335, 'Point Intercept 1'!L335, "ERROR")</f>
        <v>Litter</v>
      </c>
      <c r="M335" s="9" t="str">
        <f>if('Point Intercept 1'!N335 = 'Point Intercept 2'!M336, 'Point Intercept 1'!N335, "ERROR")</f>
        <v/>
      </c>
      <c r="N335" s="9" t="str">
        <f>if('Point Intercept 1'!O335 = 'Point Intercept 2'!N336, 'Point Intercept 1'!O335, "ERROR")</f>
        <v/>
      </c>
      <c r="O335" s="9" t="str">
        <f>if('Point Intercept 1'!P335 = 'Point Intercept 2'!O336, 'Point Intercept 1'!P335, "ERROR")</f>
        <v/>
      </c>
    </row>
    <row r="336">
      <c r="A336" s="9">
        <f>if('Point Intercept 1'!A336 = 'Point Intercept 2'!A336, 'Point Intercept 1'!A336, "ERROR")</f>
        <v>4</v>
      </c>
      <c r="B336" s="9">
        <f>if('Point Intercept 1'!B336 = 'Point Intercept 2'!B336, 'Point Intercept 1'!B336, "ERROR")</f>
        <v>2025</v>
      </c>
      <c r="C336" s="14">
        <f>if('Point Intercept 1'!C336 = 'Point Intercept 2'!C336, 'Point Intercept 1'!C336, "ERROR")</f>
        <v>45755</v>
      </c>
      <c r="D336" s="9" t="str">
        <f>if('Point Intercept 1'!D336 = 'Point Intercept 2'!D336, 'Point Intercept 1'!D336, "ERROR")</f>
        <v>JC, TL</v>
      </c>
      <c r="E336" s="9" t="str">
        <f>if('Point Intercept 1'!E336 = 'Point Intercept 2'!E336, 'Point Intercept 1'!E336, "ERROR")</f>
        <v>VB</v>
      </c>
      <c r="F336" s="9">
        <f>if('Point Intercept 1'!F336 = 'Point Intercept 2'!F336, 'Point Intercept 1'!F336, "ERROR")</f>
        <v>3</v>
      </c>
      <c r="G336" s="9" t="str">
        <f>if('Point Intercept 1'!G336 = 'Point Intercept 2'!G336, 'Point Intercept 1'!G336, "ERROR")</f>
        <v>LS</v>
      </c>
      <c r="H336" s="9">
        <f>if('Point Intercept 1'!I336 = 'Point Intercept 2'!I336, 'Point Intercept 1'!I336, "ERROR")</f>
        <v>9</v>
      </c>
      <c r="I336" s="9">
        <f>if('Point Intercept 1'!H336 = 'Point Intercept 2'!H336, 'Point Intercept 1'!H336, "ERROR")</f>
        <v>1</v>
      </c>
      <c r="J336" s="9">
        <f>if('Point Intercept 1'!J336 = 'Point Intercept 2'!J336, 'Point Intercept 1'!J336, "ERROR")</f>
        <v>4</v>
      </c>
      <c r="K336" s="9" t="str">
        <f>if('Point Intercept 1'!K336 = 'Point Intercept 2'!K336, 'Point Intercept 1'!K336, "ERROR")</f>
        <v>MEDPOL</v>
      </c>
      <c r="L336" s="9" t="str">
        <f>if('Point Intercept 1'!L336 = 'Point Intercept 2'!L336, 'Point Intercept 1'!L336, "ERROR")</f>
        <v>Medicago polymorpha</v>
      </c>
      <c r="M336" s="9" t="str">
        <f>if('Point Intercept 1'!N336 = 'Point Intercept 2'!M337, 'Point Intercept 1'!N336, "ERROR")</f>
        <v/>
      </c>
      <c r="N336" s="9" t="str">
        <f>if('Point Intercept 1'!O336 = 'Point Intercept 2'!N337, 'Point Intercept 1'!O336, "ERROR")</f>
        <v/>
      </c>
      <c r="O336" s="9" t="str">
        <f>if('Point Intercept 1'!P336 = 'Point Intercept 2'!O337, 'Point Intercept 1'!P336, "ERROR")</f>
        <v/>
      </c>
    </row>
    <row r="337">
      <c r="A337" s="9">
        <f>if('Point Intercept 1'!A337 = 'Point Intercept 2'!A337, 'Point Intercept 1'!A337, "ERROR")</f>
        <v>4</v>
      </c>
      <c r="B337" s="9">
        <f>if('Point Intercept 1'!B337 = 'Point Intercept 2'!B337, 'Point Intercept 1'!B337, "ERROR")</f>
        <v>2025</v>
      </c>
      <c r="C337" s="14">
        <f>if('Point Intercept 1'!C337 = 'Point Intercept 2'!C337, 'Point Intercept 1'!C337, "ERROR")</f>
        <v>45755</v>
      </c>
      <c r="D337" s="9" t="str">
        <f>if('Point Intercept 1'!D337 = 'Point Intercept 2'!D337, 'Point Intercept 1'!D337, "ERROR")</f>
        <v>JC, TL</v>
      </c>
      <c r="E337" s="9" t="str">
        <f>if('Point Intercept 1'!E337 = 'Point Intercept 2'!E337, 'Point Intercept 1'!E337, "ERROR")</f>
        <v>VB</v>
      </c>
      <c r="F337" s="9">
        <f>if('Point Intercept 1'!F337 = 'Point Intercept 2'!F337, 'Point Intercept 1'!F337, "ERROR")</f>
        <v>3</v>
      </c>
      <c r="G337" s="9" t="str">
        <f>if('Point Intercept 1'!G337 = 'Point Intercept 2'!G337, 'Point Intercept 1'!G337, "ERROR")</f>
        <v>LS</v>
      </c>
      <c r="H337" s="9">
        <f>if('Point Intercept 1'!I337 = 'Point Intercept 2'!I337, 'Point Intercept 1'!I337, "ERROR")</f>
        <v>10</v>
      </c>
      <c r="I337" s="9">
        <f>if('Point Intercept 1'!H337 = 'Point Intercept 2'!H337, 'Point Intercept 1'!H337, "ERROR")</f>
        <v>1</v>
      </c>
      <c r="J337" s="9">
        <f>if('Point Intercept 1'!J337 = 'Point Intercept 2'!J337, 'Point Intercept 1'!J337, "ERROR")</f>
        <v>4.5</v>
      </c>
      <c r="K337" s="9" t="str">
        <f>if('Point Intercept 1'!K337 = 'Point Intercept 2'!K337, 'Point Intercept 1'!K337, "ERROR")</f>
        <v>L</v>
      </c>
      <c r="L337" s="9" t="str">
        <f>if('Point Intercept 1'!L337 = 'Point Intercept 2'!L337, 'Point Intercept 1'!L337, "ERROR")</f>
        <v>Litter</v>
      </c>
      <c r="M337" s="9" t="str">
        <f>if('Point Intercept 1'!N337 = 'Point Intercept 2'!M338, 'Point Intercept 1'!N337, "ERROR")</f>
        <v/>
      </c>
      <c r="N337" s="9" t="str">
        <f>if('Point Intercept 1'!O337 = 'Point Intercept 2'!N338, 'Point Intercept 1'!O337, "ERROR")</f>
        <v/>
      </c>
      <c r="O337" s="9" t="str">
        <f>if('Point Intercept 1'!P337 = 'Point Intercept 2'!O338, 'Point Intercept 1'!P337, "ERROR")</f>
        <v/>
      </c>
    </row>
    <row r="338">
      <c r="A338" s="9">
        <f>if('Point Intercept 1'!A338 = 'Point Intercept 2'!A338, 'Point Intercept 1'!A338, "ERROR")</f>
        <v>4</v>
      </c>
      <c r="B338" s="9">
        <f>if('Point Intercept 1'!B338 = 'Point Intercept 2'!B338, 'Point Intercept 1'!B338, "ERROR")</f>
        <v>2025</v>
      </c>
      <c r="C338" s="14">
        <f>if('Point Intercept 1'!C338 = 'Point Intercept 2'!C338, 'Point Intercept 1'!C338, "ERROR")</f>
        <v>45755</v>
      </c>
      <c r="D338" s="9" t="str">
        <f>if('Point Intercept 1'!D338 = 'Point Intercept 2'!D338, 'Point Intercept 1'!D338, "ERROR")</f>
        <v>JC, TL</v>
      </c>
      <c r="E338" s="9" t="str">
        <f>if('Point Intercept 1'!E338 = 'Point Intercept 2'!E338, 'Point Intercept 1'!E338, "ERROR")</f>
        <v>VB</v>
      </c>
      <c r="F338" s="9">
        <f>if('Point Intercept 1'!F338 = 'Point Intercept 2'!F338, 'Point Intercept 1'!F338, "ERROR")</f>
        <v>3</v>
      </c>
      <c r="G338" s="9" t="str">
        <f>if('Point Intercept 1'!G338 = 'Point Intercept 2'!G338, 'Point Intercept 1'!G338, "ERROR")</f>
        <v>LS</v>
      </c>
      <c r="H338" s="9">
        <f>if('Point Intercept 1'!I338 = 'Point Intercept 2'!I338, 'Point Intercept 1'!I338, "ERROR")</f>
        <v>10</v>
      </c>
      <c r="I338" s="9">
        <f>if('Point Intercept 1'!H338 = 'Point Intercept 2'!H338, 'Point Intercept 1'!H338, "ERROR")</f>
        <v>1</v>
      </c>
      <c r="J338" s="9">
        <f>if('Point Intercept 1'!J338 = 'Point Intercept 2'!J338, 'Point Intercept 1'!J338, "ERROR")</f>
        <v>4.5</v>
      </c>
      <c r="K338" s="9" t="str">
        <f>if('Point Intercept 1'!K338 = 'Point Intercept 2'!K338, 'Point Intercept 1'!K338, "ERROR")</f>
        <v>DAUPUS</v>
      </c>
      <c r="L338" s="9" t="str">
        <f>if('Point Intercept 1'!L338 = 'Point Intercept 2'!L338, 'Point Intercept 1'!L338, "ERROR")</f>
        <v>Daucus pusillus</v>
      </c>
      <c r="M338" s="9" t="str">
        <f>if('Point Intercept 1'!N338 = 'Point Intercept 2'!M339, 'Point Intercept 1'!N338, "ERROR")</f>
        <v/>
      </c>
      <c r="N338" s="9" t="str">
        <f>if('Point Intercept 1'!O338 = 'Point Intercept 2'!N339, 'Point Intercept 1'!O338, "ERROR")</f>
        <v/>
      </c>
      <c r="O338" s="9" t="str">
        <f>if('Point Intercept 1'!P338 = 'Point Intercept 2'!O339, 'Point Intercept 1'!P338, "ERROR")</f>
        <v/>
      </c>
    </row>
    <row r="339">
      <c r="A339" s="9">
        <f>if('Point Intercept 1'!A339 = 'Point Intercept 2'!A339, 'Point Intercept 1'!A339, "ERROR")</f>
        <v>4</v>
      </c>
      <c r="B339" s="9">
        <f>if('Point Intercept 1'!B339 = 'Point Intercept 2'!B339, 'Point Intercept 1'!B339, "ERROR")</f>
        <v>2025</v>
      </c>
      <c r="C339" s="14">
        <f>if('Point Intercept 1'!C339 = 'Point Intercept 2'!C339, 'Point Intercept 1'!C339, "ERROR")</f>
        <v>45755</v>
      </c>
      <c r="D339" s="9" t="str">
        <f>if('Point Intercept 1'!D339 = 'Point Intercept 2'!D339, 'Point Intercept 1'!D339, "ERROR")</f>
        <v>JC, TL</v>
      </c>
      <c r="E339" s="9" t="str">
        <f>if('Point Intercept 1'!E339 = 'Point Intercept 2'!E339, 'Point Intercept 1'!E339, "ERROR")</f>
        <v>VB</v>
      </c>
      <c r="F339" s="9">
        <f>if('Point Intercept 1'!F339 = 'Point Intercept 2'!F339, 'Point Intercept 1'!F339, "ERROR")</f>
        <v>3</v>
      </c>
      <c r="G339" s="9" t="str">
        <f>if('Point Intercept 1'!G339 = 'Point Intercept 2'!G339, 'Point Intercept 1'!G339, "ERROR")</f>
        <v>LS</v>
      </c>
      <c r="H339" s="9">
        <f>if('Point Intercept 1'!I339 = 'Point Intercept 2'!I339, 'Point Intercept 1'!I339, "ERROR")</f>
        <v>10</v>
      </c>
      <c r="I339" s="9">
        <f>if('Point Intercept 1'!H339 = 'Point Intercept 2'!H339, 'Point Intercept 1'!H339, "ERROR")</f>
        <v>1</v>
      </c>
      <c r="J339" s="9">
        <f>if('Point Intercept 1'!J339 = 'Point Intercept 2'!J339, 'Point Intercept 1'!J339, "ERROR")</f>
        <v>4.5</v>
      </c>
      <c r="K339" s="9" t="str">
        <f>if('Point Intercept 1'!K339 = 'Point Intercept 2'!K339, 'Point Intercept 1'!K339, "ERROR")</f>
        <v>DEIFAS</v>
      </c>
      <c r="L339" s="9" t="str">
        <f>if('Point Intercept 1'!L339 = 'Point Intercept 2'!L339, 'Point Intercept 1'!L339, "ERROR")</f>
        <v>Deinandra fasciculata</v>
      </c>
      <c r="M339" s="9" t="str">
        <f>if('Point Intercept 1'!N339 = 'Point Intercept 2'!M340, 'Point Intercept 1'!N339, "ERROR")</f>
        <v/>
      </c>
      <c r="N339" s="9" t="str">
        <f>if('Point Intercept 1'!O339 = 'Point Intercept 2'!N340, 'Point Intercept 1'!O339, "ERROR")</f>
        <v/>
      </c>
      <c r="O339" s="9" t="str">
        <f>if('Point Intercept 1'!P339 = 'Point Intercept 2'!O340, 'Point Intercept 1'!P339, "ERROR")</f>
        <v/>
      </c>
    </row>
    <row r="340">
      <c r="A340" s="9">
        <f>if('Point Intercept 1'!A340 = 'Point Intercept 2'!A340, 'Point Intercept 1'!A340, "ERROR")</f>
        <v>4</v>
      </c>
      <c r="B340" s="9">
        <f>if('Point Intercept 1'!B340 = 'Point Intercept 2'!B340, 'Point Intercept 1'!B340, "ERROR")</f>
        <v>2025</v>
      </c>
      <c r="C340" s="14">
        <f>if('Point Intercept 1'!C340 = 'Point Intercept 2'!C340, 'Point Intercept 1'!C340, "ERROR")</f>
        <v>45755</v>
      </c>
      <c r="D340" s="9" t="str">
        <f>if('Point Intercept 1'!D340 = 'Point Intercept 2'!D340, 'Point Intercept 1'!D340, "ERROR")</f>
        <v>JC, TL</v>
      </c>
      <c r="E340" s="9" t="str">
        <f>if('Point Intercept 1'!E340 = 'Point Intercept 2'!E340, 'Point Intercept 1'!E340, "ERROR")</f>
        <v>VB</v>
      </c>
      <c r="F340" s="9">
        <f>if('Point Intercept 1'!F340 = 'Point Intercept 2'!F340, 'Point Intercept 1'!F340, "ERROR")</f>
        <v>3</v>
      </c>
      <c r="G340" s="9" t="str">
        <f>if('Point Intercept 1'!G340 = 'Point Intercept 2'!G340, 'Point Intercept 1'!G340, "ERROR")</f>
        <v>LS</v>
      </c>
      <c r="H340" s="9">
        <f>if('Point Intercept 1'!I340 = 'Point Intercept 2'!I340, 'Point Intercept 1'!I340, "ERROR")</f>
        <v>10</v>
      </c>
      <c r="I340" s="9">
        <f>if('Point Intercept 1'!H340 = 'Point Intercept 2'!H340, 'Point Intercept 1'!H340, "ERROR")</f>
        <v>1</v>
      </c>
      <c r="J340" s="9">
        <f>if('Point Intercept 1'!J340 = 'Point Intercept 2'!J340, 'Point Intercept 1'!J340, "ERROR")</f>
        <v>4.5</v>
      </c>
      <c r="K340" s="9" t="str">
        <f>if('Point Intercept 1'!K340 = 'Point Intercept 2'!K340, 'Point Intercept 1'!K340, "ERROR")</f>
        <v>FESMYU</v>
      </c>
      <c r="L340" s="9" t="str">
        <f>if('Point Intercept 1'!L340 = 'Point Intercept 2'!L340, 'Point Intercept 1'!L340, "ERROR")</f>
        <v>Festuca myuros</v>
      </c>
      <c r="M340" s="9" t="str">
        <f>if('Point Intercept 1'!N340 = 'Point Intercept 2'!M341, 'Point Intercept 1'!N340, "ERROR")</f>
        <v/>
      </c>
      <c r="N340" s="9" t="str">
        <f>if('Point Intercept 1'!O340 = 'Point Intercept 2'!N341, 'Point Intercept 1'!O340, "ERROR")</f>
        <v/>
      </c>
      <c r="O340" s="9" t="str">
        <f>if('Point Intercept 1'!P340 = 'Point Intercept 2'!O341, 'Point Intercept 1'!P340, "ERROR")</f>
        <v/>
      </c>
    </row>
    <row r="341">
      <c r="A341" s="9">
        <f>if('Point Intercept 1'!A341 = 'Point Intercept 2'!A341, 'Point Intercept 1'!A341, "ERROR")</f>
        <v>4</v>
      </c>
      <c r="B341" s="9">
        <f>if('Point Intercept 1'!B341 = 'Point Intercept 2'!B341, 'Point Intercept 1'!B341, "ERROR")</f>
        <v>2025</v>
      </c>
      <c r="C341" s="14">
        <f>if('Point Intercept 1'!C341 = 'Point Intercept 2'!C341, 'Point Intercept 1'!C341, "ERROR")</f>
        <v>45755</v>
      </c>
      <c r="D341" s="9" t="str">
        <f>if('Point Intercept 1'!D341 = 'Point Intercept 2'!D341, 'Point Intercept 1'!D341, "ERROR")</f>
        <v>JC, TL</v>
      </c>
      <c r="E341" s="9" t="str">
        <f>if('Point Intercept 1'!E341 = 'Point Intercept 2'!E341, 'Point Intercept 1'!E341, "ERROR")</f>
        <v>VB</v>
      </c>
      <c r="F341" s="9">
        <f>if('Point Intercept 1'!F341 = 'Point Intercept 2'!F341, 'Point Intercept 1'!F341, "ERROR")</f>
        <v>3</v>
      </c>
      <c r="G341" s="9" t="str">
        <f>if('Point Intercept 1'!G341 = 'Point Intercept 2'!G341, 'Point Intercept 1'!G341, "ERROR")</f>
        <v>LS</v>
      </c>
      <c r="H341" s="9">
        <f>if('Point Intercept 1'!I341 = 'Point Intercept 2'!I341, 'Point Intercept 1'!I341, "ERROR")</f>
        <v>11</v>
      </c>
      <c r="I341" s="9">
        <f>if('Point Intercept 1'!H341 = 'Point Intercept 2'!H341, 'Point Intercept 1'!H341, "ERROR")</f>
        <v>1</v>
      </c>
      <c r="J341" s="9">
        <f>if('Point Intercept 1'!J341 = 'Point Intercept 2'!J341, 'Point Intercept 1'!J341, "ERROR")</f>
        <v>5</v>
      </c>
      <c r="K341" s="9" t="str">
        <f>if('Point Intercept 1'!K341 = 'Point Intercept 2'!K341, 'Point Intercept 1'!K341, "ERROR")</f>
        <v>L</v>
      </c>
      <c r="L341" s="9" t="str">
        <f>if('Point Intercept 1'!L341 = 'Point Intercept 2'!L341, 'Point Intercept 1'!L341, "ERROR")</f>
        <v>Litter</v>
      </c>
      <c r="M341" s="9" t="str">
        <f>if('Point Intercept 1'!N341 = 'Point Intercept 2'!M342, 'Point Intercept 1'!N341, "ERROR")</f>
        <v/>
      </c>
      <c r="N341" s="9" t="str">
        <f>if('Point Intercept 1'!O341 = 'Point Intercept 2'!N342, 'Point Intercept 1'!O341, "ERROR")</f>
        <v/>
      </c>
      <c r="O341" s="9" t="str">
        <f>if('Point Intercept 1'!P341 = 'Point Intercept 2'!O342, 'Point Intercept 1'!P341, "ERROR")</f>
        <v/>
      </c>
    </row>
    <row r="342">
      <c r="A342" s="9">
        <f>if('Point Intercept 1'!A342 = 'Point Intercept 2'!A342, 'Point Intercept 1'!A342, "ERROR")</f>
        <v>4</v>
      </c>
      <c r="B342" s="9">
        <f>if('Point Intercept 1'!B342 = 'Point Intercept 2'!B342, 'Point Intercept 1'!B342, "ERROR")</f>
        <v>2025</v>
      </c>
      <c r="C342" s="14">
        <f>if('Point Intercept 1'!C342 = 'Point Intercept 2'!C342, 'Point Intercept 1'!C342, "ERROR")</f>
        <v>45755</v>
      </c>
      <c r="D342" s="9" t="str">
        <f>if('Point Intercept 1'!D342 = 'Point Intercept 2'!D342, 'Point Intercept 1'!D342, "ERROR")</f>
        <v>JC, TL</v>
      </c>
      <c r="E342" s="9" t="str">
        <f>if('Point Intercept 1'!E342 = 'Point Intercept 2'!E342, 'Point Intercept 1'!E342, "ERROR")</f>
        <v>VB</v>
      </c>
      <c r="F342" s="9">
        <f>if('Point Intercept 1'!F342 = 'Point Intercept 2'!F342, 'Point Intercept 1'!F342, "ERROR")</f>
        <v>3</v>
      </c>
      <c r="G342" s="9" t="str">
        <f>if('Point Intercept 1'!G342 = 'Point Intercept 2'!G342, 'Point Intercept 1'!G342, "ERROR")</f>
        <v>LS</v>
      </c>
      <c r="H342" s="9">
        <f>if('Point Intercept 1'!I342 = 'Point Intercept 2'!I342, 'Point Intercept 1'!I342, "ERROR")</f>
        <v>11</v>
      </c>
      <c r="I342" s="9">
        <f>if('Point Intercept 1'!H342 = 'Point Intercept 2'!H342, 'Point Intercept 1'!H342, "ERROR")</f>
        <v>1</v>
      </c>
      <c r="J342" s="9">
        <f>if('Point Intercept 1'!J342 = 'Point Intercept 2'!J342, 'Point Intercept 1'!J342, "ERROR")</f>
        <v>5</v>
      </c>
      <c r="K342" s="9" t="str">
        <f>if('Point Intercept 1'!K342 = 'Point Intercept 2'!K342, 'Point Intercept 1'!K342, "ERROR")</f>
        <v>FESMYU</v>
      </c>
      <c r="L342" s="9" t="str">
        <f>if('Point Intercept 1'!L342 = 'Point Intercept 2'!L342, 'Point Intercept 1'!L342, "ERROR")</f>
        <v>Festuca myuros</v>
      </c>
      <c r="M342" s="9" t="str">
        <f>if('Point Intercept 1'!N342 = 'Point Intercept 2'!M343, 'Point Intercept 1'!N342, "ERROR")</f>
        <v/>
      </c>
      <c r="N342" s="9" t="str">
        <f>if('Point Intercept 1'!O342 = 'Point Intercept 2'!N343, 'Point Intercept 1'!O342, "ERROR")</f>
        <v/>
      </c>
      <c r="O342" s="9" t="str">
        <f>if('Point Intercept 1'!P342 = 'Point Intercept 2'!O343, 'Point Intercept 1'!P342, "ERROR")</f>
        <v/>
      </c>
    </row>
    <row r="343">
      <c r="A343" s="9">
        <f>if('Point Intercept 1'!A343 = 'Point Intercept 2'!A343, 'Point Intercept 1'!A343, "ERROR")</f>
        <v>4</v>
      </c>
      <c r="B343" s="9">
        <f>if('Point Intercept 1'!B343 = 'Point Intercept 2'!B343, 'Point Intercept 1'!B343, "ERROR")</f>
        <v>2025</v>
      </c>
      <c r="C343" s="14">
        <f>if('Point Intercept 1'!C343 = 'Point Intercept 2'!C343, 'Point Intercept 1'!C343, "ERROR")</f>
        <v>45755</v>
      </c>
      <c r="D343" s="9" t="str">
        <f>if('Point Intercept 1'!D343 = 'Point Intercept 2'!D343, 'Point Intercept 1'!D343, "ERROR")</f>
        <v>JC, TL</v>
      </c>
      <c r="E343" s="9" t="str">
        <f>if('Point Intercept 1'!E343 = 'Point Intercept 2'!E343, 'Point Intercept 1'!E343, "ERROR")</f>
        <v>VB</v>
      </c>
      <c r="F343" s="9">
        <f>if('Point Intercept 1'!F343 = 'Point Intercept 2'!F343, 'Point Intercept 1'!F343, "ERROR")</f>
        <v>3</v>
      </c>
      <c r="G343" s="9" t="str">
        <f>if('Point Intercept 1'!G343 = 'Point Intercept 2'!G343, 'Point Intercept 1'!G343, "ERROR")</f>
        <v>LS</v>
      </c>
      <c r="H343" s="9">
        <f>if('Point Intercept 1'!I343 = 'Point Intercept 2'!I343, 'Point Intercept 1'!I343, "ERROR")</f>
        <v>11</v>
      </c>
      <c r="I343" s="9">
        <f>if('Point Intercept 1'!H343 = 'Point Intercept 2'!H343, 'Point Intercept 1'!H343, "ERROR")</f>
        <v>1</v>
      </c>
      <c r="J343" s="9">
        <f>if('Point Intercept 1'!J343 = 'Point Intercept 2'!J343, 'Point Intercept 1'!J343, "ERROR")</f>
        <v>5</v>
      </c>
      <c r="K343" s="9" t="str">
        <f>if('Point Intercept 1'!K343 = 'Point Intercept 2'!K343, 'Point Intercept 1'!K343, "ERROR")</f>
        <v>SONOLE</v>
      </c>
      <c r="L343" s="9" t="str">
        <f>if('Point Intercept 1'!L343 = 'Point Intercept 2'!L343, 'Point Intercept 1'!L343, "ERROR")</f>
        <v>Sonchus oleraceus</v>
      </c>
      <c r="M343" s="9" t="str">
        <f>if('Point Intercept 1'!N343 = 'Point Intercept 2'!M344, 'Point Intercept 1'!N343, "ERROR")</f>
        <v/>
      </c>
      <c r="N343" s="9" t="str">
        <f>if('Point Intercept 1'!O343 = 'Point Intercept 2'!N344, 'Point Intercept 1'!O343, "ERROR")</f>
        <v/>
      </c>
      <c r="O343" s="9" t="str">
        <f>if('Point Intercept 1'!P343 = 'Point Intercept 2'!O344, 'Point Intercept 1'!P343, "ERROR")</f>
        <v/>
      </c>
    </row>
    <row r="344">
      <c r="A344" s="9">
        <f>if('Point Intercept 1'!A344 = 'Point Intercept 2'!A344, 'Point Intercept 1'!A344, "ERROR")</f>
        <v>4</v>
      </c>
      <c r="B344" s="9">
        <f>if('Point Intercept 1'!B344 = 'Point Intercept 2'!B344, 'Point Intercept 1'!B344, "ERROR")</f>
        <v>2025</v>
      </c>
      <c r="C344" s="14">
        <f>if('Point Intercept 1'!C344 = 'Point Intercept 2'!C344, 'Point Intercept 1'!C344, "ERROR")</f>
        <v>45755</v>
      </c>
      <c r="D344" s="9" t="str">
        <f>if('Point Intercept 1'!D344 = 'Point Intercept 2'!D344, 'Point Intercept 1'!D344, "ERROR")</f>
        <v>JC, TL</v>
      </c>
      <c r="E344" s="9" t="str">
        <f>if('Point Intercept 1'!E344 = 'Point Intercept 2'!E344, 'Point Intercept 1'!E344, "ERROR")</f>
        <v>VB</v>
      </c>
      <c r="F344" s="9">
        <f>if('Point Intercept 1'!F344 = 'Point Intercept 2'!F344, 'Point Intercept 1'!F344, "ERROR")</f>
        <v>3</v>
      </c>
      <c r="G344" s="9" t="str">
        <f>if('Point Intercept 1'!G344 = 'Point Intercept 2'!G344, 'Point Intercept 1'!G344, "ERROR")</f>
        <v>LS</v>
      </c>
      <c r="H344" s="9">
        <f>if('Point Intercept 1'!I344 = 'Point Intercept 2'!I344, 'Point Intercept 1'!I344, "ERROR")</f>
        <v>11</v>
      </c>
      <c r="I344" s="9">
        <f>if('Point Intercept 1'!H344 = 'Point Intercept 2'!H344, 'Point Intercept 1'!H344, "ERROR")</f>
        <v>1</v>
      </c>
      <c r="J344" s="9">
        <f>if('Point Intercept 1'!J344 = 'Point Intercept 2'!J344, 'Point Intercept 1'!J344, "ERROR")</f>
        <v>5</v>
      </c>
      <c r="K344" s="9" t="str">
        <f>if('Point Intercept 1'!K344 = 'Point Intercept 2'!K344, 'Point Intercept 1'!K344, "ERROR")</f>
        <v>STEDIE</v>
      </c>
      <c r="L344" s="9" t="str">
        <f>if('Point Intercept 1'!L344 = 'Point Intercept 2'!L344, 'Point Intercept 1'!L344, "ERROR")</f>
        <v>Stephanomeria diegensis</v>
      </c>
      <c r="M344" s="9" t="str">
        <f>if('Point Intercept 1'!N344 = 'Point Intercept 2'!M345, 'Point Intercept 1'!N344, "ERROR")</f>
        <v/>
      </c>
      <c r="N344" s="9" t="str">
        <f>if('Point Intercept 1'!O344 = 'Point Intercept 2'!N345, 'Point Intercept 1'!O344, "ERROR")</f>
        <v/>
      </c>
      <c r="O344" s="9" t="str">
        <f>if('Point Intercept 1'!P344 = 'Point Intercept 2'!O345, 'Point Intercept 1'!P344, "ERROR")</f>
        <v/>
      </c>
    </row>
    <row r="345">
      <c r="A345" s="9">
        <f>if('Point Intercept 1'!A345 = 'Point Intercept 2'!A345, 'Point Intercept 1'!A345, "ERROR")</f>
        <v>4</v>
      </c>
      <c r="B345" s="9">
        <f>if('Point Intercept 1'!B345 = 'Point Intercept 2'!B345, 'Point Intercept 1'!B345, "ERROR")</f>
        <v>2025</v>
      </c>
      <c r="C345" s="14">
        <f>if('Point Intercept 1'!C345 = 'Point Intercept 2'!C345, 'Point Intercept 1'!C345, "ERROR")</f>
        <v>45755</v>
      </c>
      <c r="D345" s="9" t="str">
        <f>if('Point Intercept 1'!D345 = 'Point Intercept 2'!D345, 'Point Intercept 1'!D345, "ERROR")</f>
        <v>JC, TL</v>
      </c>
      <c r="E345" s="9" t="str">
        <f>if('Point Intercept 1'!E345 = 'Point Intercept 2'!E345, 'Point Intercept 1'!E345, "ERROR")</f>
        <v>VB</v>
      </c>
      <c r="F345" s="9">
        <f>if('Point Intercept 1'!F345 = 'Point Intercept 2'!F345, 'Point Intercept 1'!F345, "ERROR")</f>
        <v>3</v>
      </c>
      <c r="G345" s="9" t="str">
        <f>if('Point Intercept 1'!G345 = 'Point Intercept 2'!G345, 'Point Intercept 1'!G345, "ERROR")</f>
        <v>LS</v>
      </c>
      <c r="H345" s="9">
        <f>if('Point Intercept 1'!I345 = 'Point Intercept 2'!I345, 'Point Intercept 1'!I345, "ERROR")</f>
        <v>12</v>
      </c>
      <c r="I345" s="9">
        <f>if('Point Intercept 1'!H345 = 'Point Intercept 2'!H345, 'Point Intercept 1'!H345, "ERROR")</f>
        <v>1</v>
      </c>
      <c r="J345" s="9">
        <f>if('Point Intercept 1'!J345 = 'Point Intercept 2'!J345, 'Point Intercept 1'!J345, "ERROR")</f>
        <v>5.5</v>
      </c>
      <c r="K345" s="9" t="str">
        <f>if('Point Intercept 1'!K345 = 'Point Intercept 2'!K345, 'Point Intercept 1'!K345, "ERROR")</f>
        <v>TH</v>
      </c>
      <c r="L345" s="9" t="str">
        <f>if('Point Intercept 1'!L345 = 'Point Intercept 2'!L345, 'Point Intercept 1'!L345, "ERROR")</f>
        <v>Thatch</v>
      </c>
      <c r="M345" s="9" t="str">
        <f>if('Point Intercept 1'!N345 = 'Point Intercept 2'!M346, 'Point Intercept 1'!N345, "ERROR")</f>
        <v/>
      </c>
      <c r="N345" s="9" t="str">
        <f>if('Point Intercept 1'!O345 = 'Point Intercept 2'!N346, 'Point Intercept 1'!O345, "ERROR")</f>
        <v/>
      </c>
      <c r="O345" s="9" t="str">
        <f>if('Point Intercept 1'!P345 = 'Point Intercept 2'!O346, 'Point Intercept 1'!P345, "ERROR")</f>
        <v/>
      </c>
    </row>
    <row r="346">
      <c r="A346" s="9">
        <f>if('Point Intercept 1'!A346 = 'Point Intercept 2'!A346, 'Point Intercept 1'!A346, "ERROR")</f>
        <v>4</v>
      </c>
      <c r="B346" s="9">
        <f>if('Point Intercept 1'!B346 = 'Point Intercept 2'!B346, 'Point Intercept 1'!B346, "ERROR")</f>
        <v>2025</v>
      </c>
      <c r="C346" s="14">
        <f>if('Point Intercept 1'!C346 = 'Point Intercept 2'!C346, 'Point Intercept 1'!C346, "ERROR")</f>
        <v>45755</v>
      </c>
      <c r="D346" s="9" t="str">
        <f>if('Point Intercept 1'!D346 = 'Point Intercept 2'!D346, 'Point Intercept 1'!D346, "ERROR")</f>
        <v>JC, TL</v>
      </c>
      <c r="E346" s="9" t="str">
        <f>if('Point Intercept 1'!E346 = 'Point Intercept 2'!E346, 'Point Intercept 1'!E346, "ERROR")</f>
        <v>VB</v>
      </c>
      <c r="F346" s="9">
        <f>if('Point Intercept 1'!F346 = 'Point Intercept 2'!F346, 'Point Intercept 1'!F346, "ERROR")</f>
        <v>3</v>
      </c>
      <c r="G346" s="9" t="str">
        <f>if('Point Intercept 1'!G346 = 'Point Intercept 2'!G346, 'Point Intercept 1'!G346, "ERROR")</f>
        <v>LS</v>
      </c>
      <c r="H346" s="9">
        <f>if('Point Intercept 1'!I346 = 'Point Intercept 2'!I346, 'Point Intercept 1'!I346, "ERROR")</f>
        <v>13</v>
      </c>
      <c r="I346" s="9">
        <f>if('Point Intercept 1'!H346 = 'Point Intercept 2'!H346, 'Point Intercept 1'!H346, "ERROR")</f>
        <v>1</v>
      </c>
      <c r="J346" s="9">
        <f>if('Point Intercept 1'!J346 = 'Point Intercept 2'!J346, 'Point Intercept 1'!J346, "ERROR")</f>
        <v>6.5</v>
      </c>
      <c r="K346" s="9" t="str">
        <f>if('Point Intercept 1'!K346 = 'Point Intercept 2'!K346, 'Point Intercept 1'!K346, "ERROR")</f>
        <v>TH</v>
      </c>
      <c r="L346" s="9" t="str">
        <f>if('Point Intercept 1'!L346 = 'Point Intercept 2'!L346, 'Point Intercept 1'!L346, "ERROR")</f>
        <v>Thatch</v>
      </c>
      <c r="M346" s="9" t="str">
        <f>if('Point Intercept 1'!N346 = 'Point Intercept 2'!M347, 'Point Intercept 1'!N346, "ERROR")</f>
        <v/>
      </c>
      <c r="N346" s="9" t="str">
        <f>if('Point Intercept 1'!O346 = 'Point Intercept 2'!N347, 'Point Intercept 1'!O346, "ERROR")</f>
        <v/>
      </c>
      <c r="O346" s="9" t="str">
        <f>if('Point Intercept 1'!P346 = 'Point Intercept 2'!O347, 'Point Intercept 1'!P346, "ERROR")</f>
        <v/>
      </c>
    </row>
    <row r="347">
      <c r="A347" s="9">
        <f>if('Point Intercept 1'!A347 = 'Point Intercept 2'!A347, 'Point Intercept 1'!A347, "ERROR")</f>
        <v>4</v>
      </c>
      <c r="B347" s="9">
        <f>if('Point Intercept 1'!B347 = 'Point Intercept 2'!B347, 'Point Intercept 1'!B347, "ERROR")</f>
        <v>2025</v>
      </c>
      <c r="C347" s="14">
        <f>if('Point Intercept 1'!C347 = 'Point Intercept 2'!C347, 'Point Intercept 1'!C347, "ERROR")</f>
        <v>45755</v>
      </c>
      <c r="D347" s="9" t="str">
        <f>if('Point Intercept 1'!D347 = 'Point Intercept 2'!D347, 'Point Intercept 1'!D347, "ERROR")</f>
        <v>JC, TL</v>
      </c>
      <c r="E347" s="9" t="str">
        <f>if('Point Intercept 1'!E347 = 'Point Intercept 2'!E347, 'Point Intercept 1'!E347, "ERROR")</f>
        <v>VB</v>
      </c>
      <c r="F347" s="9">
        <f>if('Point Intercept 1'!F347 = 'Point Intercept 2'!F347, 'Point Intercept 1'!F347, "ERROR")</f>
        <v>3</v>
      </c>
      <c r="G347" s="9" t="str">
        <f>if('Point Intercept 1'!G347 = 'Point Intercept 2'!G347, 'Point Intercept 1'!G347, "ERROR")</f>
        <v>LS</v>
      </c>
      <c r="H347" s="9">
        <f>if('Point Intercept 1'!I347 = 'Point Intercept 2'!I347, 'Point Intercept 1'!I347, "ERROR")</f>
        <v>13</v>
      </c>
      <c r="I347" s="9">
        <f>if('Point Intercept 1'!H347 = 'Point Intercept 2'!H347, 'Point Intercept 1'!H347, "ERROR")</f>
        <v>1</v>
      </c>
      <c r="J347" s="9">
        <f>if('Point Intercept 1'!J347 = 'Point Intercept 2'!J347, 'Point Intercept 1'!J347, "ERROR")</f>
        <v>6.5</v>
      </c>
      <c r="K347" s="9" t="str">
        <f>if('Point Intercept 1'!K347 = 'Point Intercept 2'!K347, 'Point Intercept 1'!K347, "ERROR")</f>
        <v>UROLIN</v>
      </c>
      <c r="L347" s="9" t="str">
        <f>if('Point Intercept 1'!L347 = 'Point Intercept 2'!L347, 'Point Intercept 1'!L347, "ERROR")</f>
        <v>Uropappus lindleyi</v>
      </c>
      <c r="M347" s="9" t="str">
        <f>if('Point Intercept 1'!N347 = 'Point Intercept 2'!M348, 'Point Intercept 1'!N347, "ERROR")</f>
        <v/>
      </c>
      <c r="N347" s="9" t="str">
        <f>if('Point Intercept 1'!O347 = 'Point Intercept 2'!N348, 'Point Intercept 1'!O347, "ERROR")</f>
        <v/>
      </c>
      <c r="O347" s="9" t="str">
        <f>if('Point Intercept 1'!P347 = 'Point Intercept 2'!O348, 'Point Intercept 1'!P347, "ERROR")</f>
        <v/>
      </c>
    </row>
    <row r="348">
      <c r="A348" s="9">
        <f>if('Point Intercept 1'!A348 = 'Point Intercept 2'!A348, 'Point Intercept 1'!A348, "ERROR")</f>
        <v>4</v>
      </c>
      <c r="B348" s="9">
        <f>if('Point Intercept 1'!B348 = 'Point Intercept 2'!B348, 'Point Intercept 1'!B348, "ERROR")</f>
        <v>2025</v>
      </c>
      <c r="C348" s="14">
        <f>if('Point Intercept 1'!C348 = 'Point Intercept 2'!C348, 'Point Intercept 1'!C348, "ERROR")</f>
        <v>45755</v>
      </c>
      <c r="D348" s="9" t="str">
        <f>if('Point Intercept 1'!D348 = 'Point Intercept 2'!D348, 'Point Intercept 1'!D348, "ERROR")</f>
        <v>JC, TL</v>
      </c>
      <c r="E348" s="9" t="str">
        <f>if('Point Intercept 1'!E348 = 'Point Intercept 2'!E348, 'Point Intercept 1'!E348, "ERROR")</f>
        <v>VB</v>
      </c>
      <c r="F348" s="9">
        <f>if('Point Intercept 1'!F348 = 'Point Intercept 2'!F348, 'Point Intercept 1'!F348, "ERROR")</f>
        <v>3</v>
      </c>
      <c r="G348" s="9" t="str">
        <f>if('Point Intercept 1'!G348 = 'Point Intercept 2'!G348, 'Point Intercept 1'!G348, "ERROR")</f>
        <v>LS</v>
      </c>
      <c r="H348" s="9">
        <f>if('Point Intercept 1'!I348 = 'Point Intercept 2'!I348, 'Point Intercept 1'!I348, "ERROR")</f>
        <v>14</v>
      </c>
      <c r="I348" s="9">
        <f>if('Point Intercept 1'!H348 = 'Point Intercept 2'!H348, 'Point Intercept 1'!H348, "ERROR")</f>
        <v>1</v>
      </c>
      <c r="J348" s="9">
        <f>if('Point Intercept 1'!J348 = 'Point Intercept 2'!J348, 'Point Intercept 1'!J348, "ERROR")</f>
        <v>7</v>
      </c>
      <c r="K348" s="9" t="str">
        <f>if('Point Intercept 1'!K348 = 'Point Intercept 2'!K348, 'Point Intercept 1'!K348, "ERROR")</f>
        <v>L</v>
      </c>
      <c r="L348" s="9" t="str">
        <f>if('Point Intercept 1'!L348 = 'Point Intercept 2'!L348, 'Point Intercept 1'!L348, "ERROR")</f>
        <v>Litter</v>
      </c>
      <c r="M348" s="9" t="str">
        <f>if('Point Intercept 1'!N348 = 'Point Intercept 2'!M349, 'Point Intercept 1'!N348, "ERROR")</f>
        <v/>
      </c>
      <c r="N348" s="9" t="str">
        <f>if('Point Intercept 1'!O348 = 'Point Intercept 2'!N349, 'Point Intercept 1'!O348, "ERROR")</f>
        <v/>
      </c>
      <c r="O348" s="9" t="str">
        <f>if('Point Intercept 1'!P348 = 'Point Intercept 2'!O349, 'Point Intercept 1'!P348, "ERROR")</f>
        <v/>
      </c>
    </row>
    <row r="349">
      <c r="A349" s="9">
        <f>if('Point Intercept 1'!A349 = 'Point Intercept 2'!A349, 'Point Intercept 1'!A349, "ERROR")</f>
        <v>4</v>
      </c>
      <c r="B349" s="9">
        <f>if('Point Intercept 1'!B349 = 'Point Intercept 2'!B349, 'Point Intercept 1'!B349, "ERROR")</f>
        <v>2025</v>
      </c>
      <c r="C349" s="14">
        <f>if('Point Intercept 1'!C349 = 'Point Intercept 2'!C349, 'Point Intercept 1'!C349, "ERROR")</f>
        <v>45755</v>
      </c>
      <c r="D349" s="9" t="str">
        <f>if('Point Intercept 1'!D349 = 'Point Intercept 2'!D349, 'Point Intercept 1'!D349, "ERROR")</f>
        <v>JC, TL</v>
      </c>
      <c r="E349" s="9" t="str">
        <f>if('Point Intercept 1'!E349 = 'Point Intercept 2'!E349, 'Point Intercept 1'!E349, "ERROR")</f>
        <v>VB</v>
      </c>
      <c r="F349" s="9">
        <f>if('Point Intercept 1'!F349 = 'Point Intercept 2'!F349, 'Point Intercept 1'!F349, "ERROR")</f>
        <v>3</v>
      </c>
      <c r="G349" s="9" t="str">
        <f>if('Point Intercept 1'!G349 = 'Point Intercept 2'!G349, 'Point Intercept 1'!G349, "ERROR")</f>
        <v>LS</v>
      </c>
      <c r="H349" s="9">
        <f>if('Point Intercept 1'!I349 = 'Point Intercept 2'!I349, 'Point Intercept 1'!I349, "ERROR")</f>
        <v>14</v>
      </c>
      <c r="I349" s="9">
        <f>if('Point Intercept 1'!H349 = 'Point Intercept 2'!H349, 'Point Intercept 1'!H349, "ERROR")</f>
        <v>1</v>
      </c>
      <c r="J349" s="9">
        <f>if('Point Intercept 1'!J349 = 'Point Intercept 2'!J349, 'Point Intercept 1'!J349, "ERROR")</f>
        <v>7</v>
      </c>
      <c r="K349" s="9" t="str">
        <f>if('Point Intercept 1'!K349 = 'Point Intercept 2'!K349, 'Point Intercept 1'!K349, "ERROR")</f>
        <v>MEDPOL</v>
      </c>
      <c r="L349" s="9" t="str">
        <f>if('Point Intercept 1'!L349 = 'Point Intercept 2'!L349, 'Point Intercept 1'!L349, "ERROR")</f>
        <v>Medicago polymorpha</v>
      </c>
      <c r="M349" s="9" t="str">
        <f>if('Point Intercept 1'!N349 = 'Point Intercept 2'!M350, 'Point Intercept 1'!N349, "ERROR")</f>
        <v/>
      </c>
      <c r="N349" s="9" t="str">
        <f>if('Point Intercept 1'!O349 = 'Point Intercept 2'!N350, 'Point Intercept 1'!O349, "ERROR")</f>
        <v/>
      </c>
      <c r="O349" s="9" t="str">
        <f>if('Point Intercept 1'!P349 = 'Point Intercept 2'!O350, 'Point Intercept 1'!P349, "ERROR")</f>
        <v/>
      </c>
    </row>
    <row r="350">
      <c r="A350" s="9">
        <f>if('Point Intercept 1'!A350 = 'Point Intercept 2'!A350, 'Point Intercept 1'!A350, "ERROR")</f>
        <v>4</v>
      </c>
      <c r="B350" s="9">
        <f>if('Point Intercept 1'!B350 = 'Point Intercept 2'!B350, 'Point Intercept 1'!B350, "ERROR")</f>
        <v>2025</v>
      </c>
      <c r="C350" s="14">
        <f>if('Point Intercept 1'!C350 = 'Point Intercept 2'!C350, 'Point Intercept 1'!C350, "ERROR")</f>
        <v>45755</v>
      </c>
      <c r="D350" s="9" t="str">
        <f>if('Point Intercept 1'!D350 = 'Point Intercept 2'!D350, 'Point Intercept 1'!D350, "ERROR")</f>
        <v>JC, TL</v>
      </c>
      <c r="E350" s="9" t="str">
        <f>if('Point Intercept 1'!E350 = 'Point Intercept 2'!E350, 'Point Intercept 1'!E350, "ERROR")</f>
        <v>VB</v>
      </c>
      <c r="F350" s="9">
        <f>if('Point Intercept 1'!F350 = 'Point Intercept 2'!F350, 'Point Intercept 1'!F350, "ERROR")</f>
        <v>3</v>
      </c>
      <c r="G350" s="9" t="str">
        <f>if('Point Intercept 1'!G350 = 'Point Intercept 2'!G350, 'Point Intercept 1'!G350, "ERROR")</f>
        <v>LS</v>
      </c>
      <c r="H350" s="9">
        <f>if('Point Intercept 1'!I350 = 'Point Intercept 2'!I350, 'Point Intercept 1'!I350, "ERROR")</f>
        <v>14</v>
      </c>
      <c r="I350" s="9">
        <f>if('Point Intercept 1'!H350 = 'Point Intercept 2'!H350, 'Point Intercept 1'!H350, "ERROR")</f>
        <v>1</v>
      </c>
      <c r="J350" s="9">
        <f>if('Point Intercept 1'!J350 = 'Point Intercept 2'!J350, 'Point Intercept 1'!J350, "ERROR")</f>
        <v>7</v>
      </c>
      <c r="K350" s="9" t="str">
        <f>if('Point Intercept 1'!K350 = 'Point Intercept 2'!K350, 'Point Intercept 1'!K350, "ERROR")</f>
        <v>CENMEL</v>
      </c>
      <c r="L350" s="9" t="str">
        <f>if('Point Intercept 1'!L350 = 'Point Intercept 2'!L350, 'Point Intercept 1'!L350, "ERROR")</f>
        <v>Centaurea melitensis</v>
      </c>
      <c r="M350" s="9" t="str">
        <f>if('Point Intercept 1'!N350 = 'Point Intercept 2'!M351, 'Point Intercept 1'!N350, "ERROR")</f>
        <v/>
      </c>
      <c r="N350" s="9" t="str">
        <f>if('Point Intercept 1'!O350 = 'Point Intercept 2'!N351, 'Point Intercept 1'!O350, "ERROR")</f>
        <v/>
      </c>
      <c r="O350" s="9" t="str">
        <f>if('Point Intercept 1'!P350 = 'Point Intercept 2'!O351, 'Point Intercept 1'!P350, "ERROR")</f>
        <v/>
      </c>
    </row>
    <row r="351">
      <c r="A351" s="9">
        <f>if('Point Intercept 1'!A351 = 'Point Intercept 2'!A351, 'Point Intercept 1'!A351, "ERROR")</f>
        <v>4</v>
      </c>
      <c r="B351" s="9">
        <f>if('Point Intercept 1'!B351 = 'Point Intercept 2'!B351, 'Point Intercept 1'!B351, "ERROR")</f>
        <v>2025</v>
      </c>
      <c r="C351" s="14">
        <f>if('Point Intercept 1'!C351 = 'Point Intercept 2'!C351, 'Point Intercept 1'!C351, "ERROR")</f>
        <v>45755</v>
      </c>
      <c r="D351" s="9" t="str">
        <f>if('Point Intercept 1'!D351 = 'Point Intercept 2'!D351, 'Point Intercept 1'!D351, "ERROR")</f>
        <v>JC, TL</v>
      </c>
      <c r="E351" s="9" t="str">
        <f>if('Point Intercept 1'!E351 = 'Point Intercept 2'!E351, 'Point Intercept 1'!E351, "ERROR")</f>
        <v>VB</v>
      </c>
      <c r="F351" s="9">
        <f>if('Point Intercept 1'!F351 = 'Point Intercept 2'!F351, 'Point Intercept 1'!F351, "ERROR")</f>
        <v>3</v>
      </c>
      <c r="G351" s="9" t="str">
        <f>if('Point Intercept 1'!G351 = 'Point Intercept 2'!G351, 'Point Intercept 1'!G351, "ERROR")</f>
        <v>LS</v>
      </c>
      <c r="H351" s="9">
        <f>if('Point Intercept 1'!I351 = 'Point Intercept 2'!I351, 'Point Intercept 1'!I351, "ERROR")</f>
        <v>14</v>
      </c>
      <c r="I351" s="9">
        <f>if('Point Intercept 1'!H351 = 'Point Intercept 2'!H351, 'Point Intercept 1'!H351, "ERROR")</f>
        <v>1</v>
      </c>
      <c r="J351" s="9">
        <f>if('Point Intercept 1'!J351 = 'Point Intercept 2'!J351, 'Point Intercept 1'!J351, "ERROR")</f>
        <v>7</v>
      </c>
      <c r="K351" s="9" t="str">
        <f>if('Point Intercept 1'!K351 = 'Point Intercept 2'!K351, 'Point Intercept 1'!K351, "ERROR")</f>
        <v>FESMYU</v>
      </c>
      <c r="L351" s="9" t="str">
        <f>if('Point Intercept 1'!L351 = 'Point Intercept 2'!L351, 'Point Intercept 1'!L351, "ERROR")</f>
        <v>Festuca myuros</v>
      </c>
      <c r="M351" s="9" t="str">
        <f>if('Point Intercept 1'!N351 = 'Point Intercept 2'!M352, 'Point Intercept 1'!N351, "ERROR")</f>
        <v/>
      </c>
      <c r="N351" s="9" t="str">
        <f>if('Point Intercept 1'!O351 = 'Point Intercept 2'!N352, 'Point Intercept 1'!O351, "ERROR")</f>
        <v/>
      </c>
      <c r="O351" s="9" t="str">
        <f>if('Point Intercept 1'!P351 = 'Point Intercept 2'!O352, 'Point Intercept 1'!P351, "ERROR")</f>
        <v/>
      </c>
    </row>
    <row r="352">
      <c r="A352" s="9">
        <f>if('Point Intercept 1'!A352 = 'Point Intercept 2'!A352, 'Point Intercept 1'!A352, "ERROR")</f>
        <v>4</v>
      </c>
      <c r="B352" s="9">
        <f>if('Point Intercept 1'!B352 = 'Point Intercept 2'!B352, 'Point Intercept 1'!B352, "ERROR")</f>
        <v>2025</v>
      </c>
      <c r="C352" s="14">
        <f>if('Point Intercept 1'!C352 = 'Point Intercept 2'!C352, 'Point Intercept 1'!C352, "ERROR")</f>
        <v>45755</v>
      </c>
      <c r="D352" s="9" t="str">
        <f>if('Point Intercept 1'!D352 = 'Point Intercept 2'!D352, 'Point Intercept 1'!D352, "ERROR")</f>
        <v>JC, TL</v>
      </c>
      <c r="E352" s="9" t="str">
        <f>if('Point Intercept 1'!E352 = 'Point Intercept 2'!E352, 'Point Intercept 1'!E352, "ERROR")</f>
        <v>VB</v>
      </c>
      <c r="F352" s="9">
        <f>if('Point Intercept 1'!F352 = 'Point Intercept 2'!F352, 'Point Intercept 1'!F352, "ERROR")</f>
        <v>3</v>
      </c>
      <c r="G352" s="9" t="str">
        <f>if('Point Intercept 1'!G352 = 'Point Intercept 2'!G352, 'Point Intercept 1'!G352, "ERROR")</f>
        <v>LS</v>
      </c>
      <c r="H352" s="9">
        <f>if('Point Intercept 1'!I352 = 'Point Intercept 2'!I352, 'Point Intercept 1'!I352, "ERROR")</f>
        <v>15</v>
      </c>
      <c r="I352" s="9">
        <f>if('Point Intercept 1'!H352 = 'Point Intercept 2'!H352, 'Point Intercept 1'!H352, "ERROR")</f>
        <v>1</v>
      </c>
      <c r="J352" s="9">
        <f>if('Point Intercept 1'!J352 = 'Point Intercept 2'!J352, 'Point Intercept 1'!J352, "ERROR")</f>
        <v>7.5</v>
      </c>
      <c r="K352" s="9" t="str">
        <f>if('Point Intercept 1'!K352 = 'Point Intercept 2'!K352, 'Point Intercept 1'!K352, "ERROR")</f>
        <v>S</v>
      </c>
      <c r="L352" s="9" t="str">
        <f>if('Point Intercept 1'!L352 = 'Point Intercept 2'!L352, 'Point Intercept 1'!L352, "ERROR")</f>
        <v>Stem</v>
      </c>
      <c r="M352" s="9" t="str">
        <f>if('Point Intercept 1'!N352 = 'Point Intercept 2'!M353, 'Point Intercept 1'!N352, "ERROR")</f>
        <v/>
      </c>
      <c r="N352" s="9" t="str">
        <f>if('Point Intercept 1'!O352 = 'Point Intercept 2'!N353, 'Point Intercept 1'!O352, "ERROR")</f>
        <v/>
      </c>
      <c r="O352" s="9" t="str">
        <f>if('Point Intercept 1'!P352 = 'Point Intercept 2'!O353, 'Point Intercept 1'!P352, "ERROR")</f>
        <v/>
      </c>
    </row>
    <row r="353">
      <c r="A353" s="9">
        <f>if('Point Intercept 1'!A353 = 'Point Intercept 2'!A353, 'Point Intercept 1'!A353, "ERROR")</f>
        <v>4</v>
      </c>
      <c r="B353" s="9">
        <f>if('Point Intercept 1'!B353 = 'Point Intercept 2'!B353, 'Point Intercept 1'!B353, "ERROR")</f>
        <v>2025</v>
      </c>
      <c r="C353" s="14">
        <f>if('Point Intercept 1'!C353 = 'Point Intercept 2'!C353, 'Point Intercept 1'!C353, "ERROR")</f>
        <v>45755</v>
      </c>
      <c r="D353" s="9" t="str">
        <f>if('Point Intercept 1'!D353 = 'Point Intercept 2'!D353, 'Point Intercept 1'!D353, "ERROR")</f>
        <v>JC, TL</v>
      </c>
      <c r="E353" s="9" t="str">
        <f>if('Point Intercept 1'!E353 = 'Point Intercept 2'!E353, 'Point Intercept 1'!E353, "ERROR")</f>
        <v>VB</v>
      </c>
      <c r="F353" s="9">
        <f>if('Point Intercept 1'!F353 = 'Point Intercept 2'!F353, 'Point Intercept 1'!F353, "ERROR")</f>
        <v>3</v>
      </c>
      <c r="G353" s="9" t="str">
        <f>if('Point Intercept 1'!G353 = 'Point Intercept 2'!G353, 'Point Intercept 1'!G353, "ERROR")</f>
        <v>LS</v>
      </c>
      <c r="H353" s="9">
        <f>if('Point Intercept 1'!I353 = 'Point Intercept 2'!I353, 'Point Intercept 1'!I353, "ERROR")</f>
        <v>15</v>
      </c>
      <c r="I353" s="9">
        <f>if('Point Intercept 1'!H353 = 'Point Intercept 2'!H353, 'Point Intercept 1'!H353, "ERROR")</f>
        <v>1</v>
      </c>
      <c r="J353" s="9">
        <f>if('Point Intercept 1'!J353 = 'Point Intercept 2'!J353, 'Point Intercept 1'!J353, "ERROR")</f>
        <v>7.5</v>
      </c>
      <c r="K353" s="9" t="str">
        <f>if('Point Intercept 1'!K353 = 'Point Intercept 2'!K353, 'Point Intercept 1'!K353, "ERROR")</f>
        <v>OPULIT</v>
      </c>
      <c r="L353" s="9" t="str">
        <f>if('Point Intercept 1'!L353 = 'Point Intercept 2'!L353, 'Point Intercept 1'!L353, "ERROR")</f>
        <v>Opuntia littoralis</v>
      </c>
      <c r="M353" s="9" t="str">
        <f>if('Point Intercept 1'!N353 = 'Point Intercept 2'!M354, 'Point Intercept 1'!N353, "ERROR")</f>
        <v/>
      </c>
      <c r="N353" s="9" t="str">
        <f>if('Point Intercept 1'!O353 = 'Point Intercept 2'!N354, 'Point Intercept 1'!O353, "ERROR")</f>
        <v/>
      </c>
      <c r="O353" s="9" t="str">
        <f>if('Point Intercept 1'!P353 = 'Point Intercept 2'!O354, 'Point Intercept 1'!P353, "ERROR")</f>
        <v/>
      </c>
    </row>
    <row r="354">
      <c r="A354" s="9">
        <f>if('Point Intercept 1'!A354 = 'Point Intercept 2'!A354, 'Point Intercept 1'!A354, "ERROR")</f>
        <v>4</v>
      </c>
      <c r="B354" s="9">
        <f>if('Point Intercept 1'!B354 = 'Point Intercept 2'!B354, 'Point Intercept 1'!B354, "ERROR")</f>
        <v>2025</v>
      </c>
      <c r="C354" s="14">
        <f>if('Point Intercept 1'!C354 = 'Point Intercept 2'!C354, 'Point Intercept 1'!C354, "ERROR")</f>
        <v>45755</v>
      </c>
      <c r="D354" s="9" t="str">
        <f>if('Point Intercept 1'!D354 = 'Point Intercept 2'!D354, 'Point Intercept 1'!D354, "ERROR")</f>
        <v>JC, TL</v>
      </c>
      <c r="E354" s="9" t="str">
        <f>if('Point Intercept 1'!E354 = 'Point Intercept 2'!E354, 'Point Intercept 1'!E354, "ERROR")</f>
        <v>VB</v>
      </c>
      <c r="F354" s="9">
        <f>if('Point Intercept 1'!F354 = 'Point Intercept 2'!F354, 'Point Intercept 1'!F354, "ERROR")</f>
        <v>3</v>
      </c>
      <c r="G354" s="9" t="str">
        <f>if('Point Intercept 1'!G354 = 'Point Intercept 2'!G354, 'Point Intercept 1'!G354, "ERROR")</f>
        <v>LS</v>
      </c>
      <c r="H354" s="9">
        <f>if('Point Intercept 1'!I354 = 'Point Intercept 2'!I354, 'Point Intercept 1'!I354, "ERROR")</f>
        <v>1</v>
      </c>
      <c r="I354" s="9">
        <f>if('Point Intercept 1'!H354 = 'Point Intercept 2'!H354, 'Point Intercept 1'!H354, "ERROR")</f>
        <v>2</v>
      </c>
      <c r="J354" s="9">
        <f>if('Point Intercept 1'!J354 = 'Point Intercept 2'!J354, 'Point Intercept 1'!J354, "ERROR")</f>
        <v>0</v>
      </c>
      <c r="K354" s="9" t="str">
        <f>if('Point Intercept 1'!K354 = 'Point Intercept 2'!K354, 'Point Intercept 1'!K354, "ERROR")</f>
        <v>L</v>
      </c>
      <c r="L354" s="9" t="str">
        <f>if('Point Intercept 1'!L354 = 'Point Intercept 2'!L354, 'Point Intercept 1'!L354, "ERROR")</f>
        <v>Litter</v>
      </c>
      <c r="M354" s="9" t="str">
        <f>if('Point Intercept 1'!N354 = 'Point Intercept 2'!M355, 'Point Intercept 1'!N354, "ERROR")</f>
        <v/>
      </c>
      <c r="N354" s="9" t="str">
        <f>if('Point Intercept 1'!O354 = 'Point Intercept 2'!N355, 'Point Intercept 1'!O354, "ERROR")</f>
        <v/>
      </c>
      <c r="O354" s="9" t="str">
        <f>if('Point Intercept 1'!P354 = 'Point Intercept 2'!O355, 'Point Intercept 1'!P354, "ERROR")</f>
        <v/>
      </c>
    </row>
    <row r="355">
      <c r="A355" s="9">
        <f>if('Point Intercept 1'!A355 = 'Point Intercept 2'!A355, 'Point Intercept 1'!A355, "ERROR")</f>
        <v>4</v>
      </c>
      <c r="B355" s="9">
        <f>if('Point Intercept 1'!B355 = 'Point Intercept 2'!B355, 'Point Intercept 1'!B355, "ERROR")</f>
        <v>2025</v>
      </c>
      <c r="C355" s="14">
        <f>if('Point Intercept 1'!C355 = 'Point Intercept 2'!C355, 'Point Intercept 1'!C355, "ERROR")</f>
        <v>45755</v>
      </c>
      <c r="D355" s="9" t="str">
        <f>if('Point Intercept 1'!D355 = 'Point Intercept 2'!D355, 'Point Intercept 1'!D355, "ERROR")</f>
        <v>JC, TL</v>
      </c>
      <c r="E355" s="9" t="str">
        <f>if('Point Intercept 1'!E355 = 'Point Intercept 2'!E355, 'Point Intercept 1'!E355, "ERROR")</f>
        <v>VB</v>
      </c>
      <c r="F355" s="9">
        <f>if('Point Intercept 1'!F355 = 'Point Intercept 2'!F355, 'Point Intercept 1'!F355, "ERROR")</f>
        <v>3</v>
      </c>
      <c r="G355" s="9" t="str">
        <f>if('Point Intercept 1'!G355 = 'Point Intercept 2'!G355, 'Point Intercept 1'!G355, "ERROR")</f>
        <v>LS</v>
      </c>
      <c r="H355" s="9">
        <f>if('Point Intercept 1'!I355 = 'Point Intercept 2'!I355, 'Point Intercept 1'!I355, "ERROR")</f>
        <v>1</v>
      </c>
      <c r="I355" s="9">
        <f>if('Point Intercept 1'!H355 = 'Point Intercept 2'!H355, 'Point Intercept 1'!H355, "ERROR")</f>
        <v>2</v>
      </c>
      <c r="J355" s="9">
        <f>if('Point Intercept 1'!J355 = 'Point Intercept 2'!J355, 'Point Intercept 1'!J355, "ERROR")</f>
        <v>0</v>
      </c>
      <c r="K355" s="9" t="str">
        <f>if('Point Intercept 1'!K355 = 'Point Intercept 2'!K355, 'Point Intercept 1'!K355, "ERROR")</f>
        <v>SONASP</v>
      </c>
      <c r="L355" s="9" t="str">
        <f>if('Point Intercept 1'!L355 = 'Point Intercept 2'!L355, 'Point Intercept 1'!L355, "ERROR")</f>
        <v>Sonchus asper</v>
      </c>
      <c r="M355" s="9" t="str">
        <f>if('Point Intercept 1'!N355 = 'Point Intercept 2'!M356, 'Point Intercept 1'!N355, "ERROR")</f>
        <v/>
      </c>
      <c r="N355" s="9" t="str">
        <f>if('Point Intercept 1'!O355 = 'Point Intercept 2'!N356, 'Point Intercept 1'!O355, "ERROR")</f>
        <v/>
      </c>
      <c r="O355" s="9" t="str">
        <f>if('Point Intercept 1'!P355 = 'Point Intercept 2'!O356, 'Point Intercept 1'!P355, "ERROR")</f>
        <v/>
      </c>
    </row>
    <row r="356">
      <c r="A356" s="9">
        <f>if('Point Intercept 1'!A356 = 'Point Intercept 2'!A356, 'Point Intercept 1'!A356, "ERROR")</f>
        <v>4</v>
      </c>
      <c r="B356" s="9">
        <f>if('Point Intercept 1'!B356 = 'Point Intercept 2'!B356, 'Point Intercept 1'!B356, "ERROR")</f>
        <v>2025</v>
      </c>
      <c r="C356" s="14">
        <f>if('Point Intercept 1'!C356 = 'Point Intercept 2'!C356, 'Point Intercept 1'!C356, "ERROR")</f>
        <v>45755</v>
      </c>
      <c r="D356" s="9" t="str">
        <f>if('Point Intercept 1'!D356 = 'Point Intercept 2'!D356, 'Point Intercept 1'!D356, "ERROR")</f>
        <v>JC, TL</v>
      </c>
      <c r="E356" s="9" t="str">
        <f>if('Point Intercept 1'!E356 = 'Point Intercept 2'!E356, 'Point Intercept 1'!E356, "ERROR")</f>
        <v>VB</v>
      </c>
      <c r="F356" s="9">
        <f>if('Point Intercept 1'!F356 = 'Point Intercept 2'!F356, 'Point Intercept 1'!F356, "ERROR")</f>
        <v>3</v>
      </c>
      <c r="G356" s="9" t="str">
        <f>if('Point Intercept 1'!G356 = 'Point Intercept 2'!G356, 'Point Intercept 1'!G356, "ERROR")</f>
        <v>LS</v>
      </c>
      <c r="H356" s="9">
        <f>if('Point Intercept 1'!I356 = 'Point Intercept 2'!I356, 'Point Intercept 1'!I356, "ERROR")</f>
        <v>1</v>
      </c>
      <c r="I356" s="9">
        <f>if('Point Intercept 1'!H356 = 'Point Intercept 2'!H356, 'Point Intercept 1'!H356, "ERROR")</f>
        <v>2</v>
      </c>
      <c r="J356" s="9">
        <f>if('Point Intercept 1'!J356 = 'Point Intercept 2'!J356, 'Point Intercept 1'!J356, "ERROR")</f>
        <v>0</v>
      </c>
      <c r="K356" s="9" t="str">
        <f>if('Point Intercept 1'!K356 = 'Point Intercept 2'!K356, 'Point Intercept 1'!K356, "ERROR")</f>
        <v>FESMYU</v>
      </c>
      <c r="L356" s="9" t="str">
        <f>if('Point Intercept 1'!L356 = 'Point Intercept 2'!L356, 'Point Intercept 1'!L356, "ERROR")</f>
        <v>Festuca myuros</v>
      </c>
      <c r="M356" s="9" t="str">
        <f>if('Point Intercept 1'!N356 = 'Point Intercept 2'!M357, 'Point Intercept 1'!N356, "ERROR")</f>
        <v/>
      </c>
      <c r="N356" s="9" t="str">
        <f>if('Point Intercept 1'!O356 = 'Point Intercept 2'!N357, 'Point Intercept 1'!O356, "ERROR")</f>
        <v/>
      </c>
      <c r="O356" s="9" t="str">
        <f>if('Point Intercept 1'!P356 = 'Point Intercept 2'!O357, 'Point Intercept 1'!P356, "ERROR")</f>
        <v/>
      </c>
    </row>
    <row r="357">
      <c r="A357" s="9">
        <f>if('Point Intercept 1'!A357 = 'Point Intercept 2'!A357, 'Point Intercept 1'!A357, "ERROR")</f>
        <v>4</v>
      </c>
      <c r="B357" s="9">
        <f>if('Point Intercept 1'!B357 = 'Point Intercept 2'!B357, 'Point Intercept 1'!B357, "ERROR")</f>
        <v>2025</v>
      </c>
      <c r="C357" s="14">
        <f>if('Point Intercept 1'!C357 = 'Point Intercept 2'!C357, 'Point Intercept 1'!C357, "ERROR")</f>
        <v>45755</v>
      </c>
      <c r="D357" s="9" t="str">
        <f>if('Point Intercept 1'!D357 = 'Point Intercept 2'!D357, 'Point Intercept 1'!D357, "ERROR")</f>
        <v>JC, TL</v>
      </c>
      <c r="E357" s="9" t="str">
        <f>if('Point Intercept 1'!E357 = 'Point Intercept 2'!E357, 'Point Intercept 1'!E357, "ERROR")</f>
        <v>VB</v>
      </c>
      <c r="F357" s="9">
        <f>if('Point Intercept 1'!F357 = 'Point Intercept 2'!F357, 'Point Intercept 1'!F357, "ERROR")</f>
        <v>3</v>
      </c>
      <c r="G357" s="9" t="str">
        <f>if('Point Intercept 1'!G357 = 'Point Intercept 2'!G357, 'Point Intercept 1'!G357, "ERROR")</f>
        <v>LS</v>
      </c>
      <c r="H357" s="9">
        <f>if('Point Intercept 1'!I357 = 'Point Intercept 2'!I357, 'Point Intercept 1'!I357, "ERROR")</f>
        <v>1</v>
      </c>
      <c r="I357" s="9">
        <f>if('Point Intercept 1'!H357 = 'Point Intercept 2'!H357, 'Point Intercept 1'!H357, "ERROR")</f>
        <v>2</v>
      </c>
      <c r="J357" s="9">
        <f>if('Point Intercept 1'!J357 = 'Point Intercept 2'!J357, 'Point Intercept 1'!J357, "ERROR")</f>
        <v>0</v>
      </c>
      <c r="K357" s="9" t="str">
        <f>if('Point Intercept 1'!K357 = 'Point Intercept 2'!K357, 'Point Intercept 1'!K357, "ERROR")</f>
        <v>ANAARV</v>
      </c>
      <c r="L357" s="9" t="str">
        <f>if('Point Intercept 1'!L357 = 'Point Intercept 2'!L357, 'Point Intercept 1'!L357, "ERROR")</f>
        <v>Anagallis arvensis</v>
      </c>
      <c r="M357" s="9" t="str">
        <f>if('Point Intercept 1'!N357 = 'Point Intercept 2'!M358, 'Point Intercept 1'!N357, "ERROR")</f>
        <v/>
      </c>
      <c r="N357" s="9" t="str">
        <f>if('Point Intercept 1'!O357 = 'Point Intercept 2'!N358, 'Point Intercept 1'!O357, "ERROR")</f>
        <v/>
      </c>
      <c r="O357" s="9" t="str">
        <f>if('Point Intercept 1'!P357 = 'Point Intercept 2'!O358, 'Point Intercept 1'!P357, "ERROR")</f>
        <v/>
      </c>
    </row>
    <row r="358">
      <c r="A358" s="9">
        <f>if('Point Intercept 1'!A358 = 'Point Intercept 2'!A358, 'Point Intercept 1'!A358, "ERROR")</f>
        <v>4</v>
      </c>
      <c r="B358" s="9">
        <f>if('Point Intercept 1'!B358 = 'Point Intercept 2'!B358, 'Point Intercept 1'!B358, "ERROR")</f>
        <v>2025</v>
      </c>
      <c r="C358" s="14">
        <f>if('Point Intercept 1'!C358 = 'Point Intercept 2'!C358, 'Point Intercept 1'!C358, "ERROR")</f>
        <v>45755</v>
      </c>
      <c r="D358" s="9" t="str">
        <f>if('Point Intercept 1'!D358 = 'Point Intercept 2'!D358, 'Point Intercept 1'!D358, "ERROR")</f>
        <v>JC, TL</v>
      </c>
      <c r="E358" s="9" t="str">
        <f>if('Point Intercept 1'!E358 = 'Point Intercept 2'!E358, 'Point Intercept 1'!E358, "ERROR")</f>
        <v>VB</v>
      </c>
      <c r="F358" s="9">
        <f>if('Point Intercept 1'!F358 = 'Point Intercept 2'!F358, 'Point Intercept 1'!F358, "ERROR")</f>
        <v>3</v>
      </c>
      <c r="G358" s="9" t="str">
        <f>if('Point Intercept 1'!G358 = 'Point Intercept 2'!G358, 'Point Intercept 1'!G358, "ERROR")</f>
        <v>LS</v>
      </c>
      <c r="H358" s="9">
        <f>if('Point Intercept 1'!I358 = 'Point Intercept 2'!I358, 'Point Intercept 1'!I358, "ERROR")</f>
        <v>1</v>
      </c>
      <c r="I358" s="9">
        <f>if('Point Intercept 1'!H358 = 'Point Intercept 2'!H358, 'Point Intercept 1'!H358, "ERROR")</f>
        <v>2</v>
      </c>
      <c r="J358" s="9">
        <f>if('Point Intercept 1'!J358 = 'Point Intercept 2'!J358, 'Point Intercept 1'!J358, "ERROR")</f>
        <v>0</v>
      </c>
      <c r="K358" s="9" t="str">
        <f>if('Point Intercept 1'!K358 = 'Point Intercept 2'!K358, 'Point Intercept 1'!K358, "ERROR")</f>
        <v>DAUPUS</v>
      </c>
      <c r="L358" s="9" t="str">
        <f>if('Point Intercept 1'!L358 = 'Point Intercept 2'!L358, 'Point Intercept 1'!L358, "ERROR")</f>
        <v>Daucus pusillus</v>
      </c>
      <c r="M358" s="9" t="str">
        <f>if('Point Intercept 1'!N358 = 'Point Intercept 2'!M359, 'Point Intercept 1'!N358, "ERROR")</f>
        <v/>
      </c>
      <c r="N358" s="9" t="str">
        <f>if('Point Intercept 1'!O358 = 'Point Intercept 2'!N359, 'Point Intercept 1'!O358, "ERROR")</f>
        <v/>
      </c>
      <c r="O358" s="9" t="str">
        <f>if('Point Intercept 1'!P358 = 'Point Intercept 2'!O359, 'Point Intercept 1'!P358, "ERROR")</f>
        <v/>
      </c>
    </row>
    <row r="359">
      <c r="A359" s="9">
        <f>if('Point Intercept 1'!A359 = 'Point Intercept 2'!A359, 'Point Intercept 1'!A359, "ERROR")</f>
        <v>4</v>
      </c>
      <c r="B359" s="9">
        <f>if('Point Intercept 1'!B359 = 'Point Intercept 2'!B359, 'Point Intercept 1'!B359, "ERROR")</f>
        <v>2025</v>
      </c>
      <c r="C359" s="14">
        <f>if('Point Intercept 1'!C359 = 'Point Intercept 2'!C359, 'Point Intercept 1'!C359, "ERROR")</f>
        <v>45755</v>
      </c>
      <c r="D359" s="9" t="str">
        <f>if('Point Intercept 1'!D359 = 'Point Intercept 2'!D359, 'Point Intercept 1'!D359, "ERROR")</f>
        <v>JC, TL</v>
      </c>
      <c r="E359" s="9" t="str">
        <f>if('Point Intercept 1'!E359 = 'Point Intercept 2'!E359, 'Point Intercept 1'!E359, "ERROR")</f>
        <v>VB</v>
      </c>
      <c r="F359" s="9">
        <f>if('Point Intercept 1'!F359 = 'Point Intercept 2'!F359, 'Point Intercept 1'!F359, "ERROR")</f>
        <v>3</v>
      </c>
      <c r="G359" s="9" t="str">
        <f>if('Point Intercept 1'!G359 = 'Point Intercept 2'!G359, 'Point Intercept 1'!G359, "ERROR")</f>
        <v>LS</v>
      </c>
      <c r="H359" s="9">
        <f>if('Point Intercept 1'!I359 = 'Point Intercept 2'!I359, 'Point Intercept 1'!I359, "ERROR")</f>
        <v>2</v>
      </c>
      <c r="I359" s="9">
        <f>if('Point Intercept 1'!H359 = 'Point Intercept 2'!H359, 'Point Intercept 1'!H359, "ERROR")</f>
        <v>2</v>
      </c>
      <c r="J359" s="9">
        <f>if('Point Intercept 1'!J359 = 'Point Intercept 2'!J359, 'Point Intercept 1'!J359, "ERROR")</f>
        <v>0.5</v>
      </c>
      <c r="K359" s="9" t="str">
        <f>if('Point Intercept 1'!K359 = 'Point Intercept 2'!K359, 'Point Intercept 1'!K359, "ERROR")</f>
        <v>B</v>
      </c>
      <c r="L359" s="9" t="str">
        <f>if('Point Intercept 1'!L359 = 'Point Intercept 2'!L359, 'Point Intercept 1'!L359, "ERROR")</f>
        <v>Bareground</v>
      </c>
      <c r="M359" s="9" t="str">
        <f>if('Point Intercept 1'!N359 = 'Point Intercept 2'!M360, 'Point Intercept 1'!N359, "ERROR")</f>
        <v/>
      </c>
      <c r="N359" s="9" t="str">
        <f>if('Point Intercept 1'!O359 = 'Point Intercept 2'!N360, 'Point Intercept 1'!O359, "ERROR")</f>
        <v/>
      </c>
      <c r="O359" s="9" t="str">
        <f>if('Point Intercept 1'!P359 = 'Point Intercept 2'!O360, 'Point Intercept 1'!P359, "ERROR")</f>
        <v/>
      </c>
    </row>
    <row r="360">
      <c r="A360" s="9">
        <f>if('Point Intercept 1'!A360 = 'Point Intercept 2'!A360, 'Point Intercept 1'!A360, "ERROR")</f>
        <v>4</v>
      </c>
      <c r="B360" s="9">
        <f>if('Point Intercept 1'!B360 = 'Point Intercept 2'!B360, 'Point Intercept 1'!B360, "ERROR")</f>
        <v>2025</v>
      </c>
      <c r="C360" s="14">
        <f>if('Point Intercept 1'!C360 = 'Point Intercept 2'!C360, 'Point Intercept 1'!C360, "ERROR")</f>
        <v>45755</v>
      </c>
      <c r="D360" s="9" t="str">
        <f>if('Point Intercept 1'!D360 = 'Point Intercept 2'!D360, 'Point Intercept 1'!D360, "ERROR")</f>
        <v>JC, TL</v>
      </c>
      <c r="E360" s="9" t="str">
        <f>if('Point Intercept 1'!E360 = 'Point Intercept 2'!E360, 'Point Intercept 1'!E360, "ERROR")</f>
        <v>VB</v>
      </c>
      <c r="F360" s="9">
        <f>if('Point Intercept 1'!F360 = 'Point Intercept 2'!F360, 'Point Intercept 1'!F360, "ERROR")</f>
        <v>3</v>
      </c>
      <c r="G360" s="9" t="str">
        <f>if('Point Intercept 1'!G360 = 'Point Intercept 2'!G360, 'Point Intercept 1'!G360, "ERROR")</f>
        <v>LS</v>
      </c>
      <c r="H360" s="9">
        <f>if('Point Intercept 1'!I360 = 'Point Intercept 2'!I360, 'Point Intercept 1'!I360, "ERROR")</f>
        <v>2</v>
      </c>
      <c r="I360" s="9">
        <f>if('Point Intercept 1'!H360 = 'Point Intercept 2'!H360, 'Point Intercept 1'!H360, "ERROR")</f>
        <v>2</v>
      </c>
      <c r="J360" s="9">
        <f>if('Point Intercept 1'!J360 = 'Point Intercept 2'!J360, 'Point Intercept 1'!J360, "ERROR")</f>
        <v>0.5</v>
      </c>
      <c r="K360" s="9" t="str">
        <f>if('Point Intercept 1'!K360 = 'Point Intercept 2'!K360, 'Point Intercept 1'!K360, "ERROR")</f>
        <v>FESMYU</v>
      </c>
      <c r="L360" s="9" t="str">
        <f>if('Point Intercept 1'!L360 = 'Point Intercept 2'!L360, 'Point Intercept 1'!L360, "ERROR")</f>
        <v>Festuca myuros</v>
      </c>
      <c r="M360" s="9" t="str">
        <f>if('Point Intercept 1'!N360 = 'Point Intercept 2'!M361, 'Point Intercept 1'!N360, "ERROR")</f>
        <v/>
      </c>
      <c r="N360" s="9" t="str">
        <f>if('Point Intercept 1'!O360 = 'Point Intercept 2'!N361, 'Point Intercept 1'!O360, "ERROR")</f>
        <v/>
      </c>
      <c r="O360" s="9" t="str">
        <f>if('Point Intercept 1'!P360 = 'Point Intercept 2'!O361, 'Point Intercept 1'!P360, "ERROR")</f>
        <v/>
      </c>
    </row>
    <row r="361">
      <c r="A361" s="9">
        <f>if('Point Intercept 1'!A361 = 'Point Intercept 2'!A361, 'Point Intercept 1'!A361, "ERROR")</f>
        <v>4</v>
      </c>
      <c r="B361" s="9">
        <f>if('Point Intercept 1'!B361 = 'Point Intercept 2'!B361, 'Point Intercept 1'!B361, "ERROR")</f>
        <v>2025</v>
      </c>
      <c r="C361" s="14">
        <f>if('Point Intercept 1'!C361 = 'Point Intercept 2'!C361, 'Point Intercept 1'!C361, "ERROR")</f>
        <v>45755</v>
      </c>
      <c r="D361" s="9" t="str">
        <f>if('Point Intercept 1'!D361 = 'Point Intercept 2'!D361, 'Point Intercept 1'!D361, "ERROR")</f>
        <v>JC, TL</v>
      </c>
      <c r="E361" s="9" t="str">
        <f>if('Point Intercept 1'!E361 = 'Point Intercept 2'!E361, 'Point Intercept 1'!E361, "ERROR")</f>
        <v>VB</v>
      </c>
      <c r="F361" s="9">
        <f>if('Point Intercept 1'!F361 = 'Point Intercept 2'!F361, 'Point Intercept 1'!F361, "ERROR")</f>
        <v>3</v>
      </c>
      <c r="G361" s="9" t="str">
        <f>if('Point Intercept 1'!G361 = 'Point Intercept 2'!G361, 'Point Intercept 1'!G361, "ERROR")</f>
        <v>LS</v>
      </c>
      <c r="H361" s="9">
        <f>if('Point Intercept 1'!I361 = 'Point Intercept 2'!I361, 'Point Intercept 1'!I361, "ERROR")</f>
        <v>3</v>
      </c>
      <c r="I361" s="9">
        <f>if('Point Intercept 1'!H361 = 'Point Intercept 2'!H361, 'Point Intercept 1'!H361, "ERROR")</f>
        <v>2</v>
      </c>
      <c r="J361" s="9">
        <f>if('Point Intercept 1'!J361 = 'Point Intercept 2'!J361, 'Point Intercept 1'!J361, "ERROR")</f>
        <v>1</v>
      </c>
      <c r="K361" s="9" t="str">
        <f>if('Point Intercept 1'!K361 = 'Point Intercept 2'!K361, 'Point Intercept 1'!K361, "ERROR")</f>
        <v>S</v>
      </c>
      <c r="L361" s="9" t="str">
        <f>if('Point Intercept 1'!L361 = 'Point Intercept 2'!L361, 'Point Intercept 1'!L361, "ERROR")</f>
        <v>Stem</v>
      </c>
      <c r="M361" s="9" t="str">
        <f>if('Point Intercept 1'!N361 = 'Point Intercept 2'!M362, 'Point Intercept 1'!N361, "ERROR")</f>
        <v/>
      </c>
      <c r="N361" s="9" t="str">
        <f>if('Point Intercept 1'!O361 = 'Point Intercept 2'!N362, 'Point Intercept 1'!O361, "ERROR")</f>
        <v/>
      </c>
      <c r="O361" s="9" t="str">
        <f>if('Point Intercept 1'!P361 = 'Point Intercept 2'!O362, 'Point Intercept 1'!P361, "ERROR")</f>
        <v/>
      </c>
    </row>
    <row r="362">
      <c r="A362" s="9">
        <f>if('Point Intercept 1'!A362 = 'Point Intercept 2'!A362, 'Point Intercept 1'!A362, "ERROR")</f>
        <v>4</v>
      </c>
      <c r="B362" s="9">
        <f>if('Point Intercept 1'!B362 = 'Point Intercept 2'!B362, 'Point Intercept 1'!B362, "ERROR")</f>
        <v>2025</v>
      </c>
      <c r="C362" s="14">
        <f>if('Point Intercept 1'!C362 = 'Point Intercept 2'!C362, 'Point Intercept 1'!C362, "ERROR")</f>
        <v>45755</v>
      </c>
      <c r="D362" s="9" t="str">
        <f>if('Point Intercept 1'!D362 = 'Point Intercept 2'!D362, 'Point Intercept 1'!D362, "ERROR")</f>
        <v>JC, TL</v>
      </c>
      <c r="E362" s="9" t="str">
        <f>if('Point Intercept 1'!E362 = 'Point Intercept 2'!E362, 'Point Intercept 1'!E362, "ERROR")</f>
        <v>VB</v>
      </c>
      <c r="F362" s="9">
        <f>if('Point Intercept 1'!F362 = 'Point Intercept 2'!F362, 'Point Intercept 1'!F362, "ERROR")</f>
        <v>3</v>
      </c>
      <c r="G362" s="9" t="str">
        <f>if('Point Intercept 1'!G362 = 'Point Intercept 2'!G362, 'Point Intercept 1'!G362, "ERROR")</f>
        <v>LS</v>
      </c>
      <c r="H362" s="9">
        <f>if('Point Intercept 1'!I362 = 'Point Intercept 2'!I362, 'Point Intercept 1'!I362, "ERROR")</f>
        <v>3</v>
      </c>
      <c r="I362" s="9">
        <f>if('Point Intercept 1'!H362 = 'Point Intercept 2'!H362, 'Point Intercept 1'!H362, "ERROR")</f>
        <v>2</v>
      </c>
      <c r="J362" s="9">
        <f>if('Point Intercept 1'!J362 = 'Point Intercept 2'!J362, 'Point Intercept 1'!J362, "ERROR")</f>
        <v>1</v>
      </c>
      <c r="K362" s="9" t="str">
        <f>if('Point Intercept 1'!K362 = 'Point Intercept 2'!K362, 'Point Intercept 1'!K362, "ERROR")</f>
        <v>OPULIT</v>
      </c>
      <c r="L362" s="9" t="str">
        <f>if('Point Intercept 1'!L362 = 'Point Intercept 2'!L362, 'Point Intercept 1'!L362, "ERROR")</f>
        <v>Opuntia littoralis</v>
      </c>
      <c r="M362" s="9" t="str">
        <f>if('Point Intercept 1'!N362 = 'Point Intercept 2'!M363, 'Point Intercept 1'!N362, "ERROR")</f>
        <v/>
      </c>
      <c r="N362" s="9" t="str">
        <f>if('Point Intercept 1'!O362 = 'Point Intercept 2'!N363, 'Point Intercept 1'!O362, "ERROR")</f>
        <v/>
      </c>
      <c r="O362" s="9" t="str">
        <f>if('Point Intercept 1'!P362 = 'Point Intercept 2'!O363, 'Point Intercept 1'!P362, "ERROR")</f>
        <v/>
      </c>
    </row>
    <row r="363">
      <c r="A363" s="9">
        <f>if('Point Intercept 1'!A363 = 'Point Intercept 2'!A363, 'Point Intercept 1'!A363, "ERROR")</f>
        <v>4</v>
      </c>
      <c r="B363" s="9">
        <f>if('Point Intercept 1'!B363 = 'Point Intercept 2'!B363, 'Point Intercept 1'!B363, "ERROR")</f>
        <v>2025</v>
      </c>
      <c r="C363" s="14">
        <f>if('Point Intercept 1'!C363 = 'Point Intercept 2'!C363, 'Point Intercept 1'!C363, "ERROR")</f>
        <v>45755</v>
      </c>
      <c r="D363" s="9" t="str">
        <f>if('Point Intercept 1'!D363 = 'Point Intercept 2'!D363, 'Point Intercept 1'!D363, "ERROR")</f>
        <v>JC, TL</v>
      </c>
      <c r="E363" s="9" t="str">
        <f>if('Point Intercept 1'!E363 = 'Point Intercept 2'!E363, 'Point Intercept 1'!E363, "ERROR")</f>
        <v>VB</v>
      </c>
      <c r="F363" s="9">
        <f>if('Point Intercept 1'!F363 = 'Point Intercept 2'!F363, 'Point Intercept 1'!F363, "ERROR")</f>
        <v>3</v>
      </c>
      <c r="G363" s="9" t="str">
        <f>if('Point Intercept 1'!G363 = 'Point Intercept 2'!G363, 'Point Intercept 1'!G363, "ERROR")</f>
        <v>LS</v>
      </c>
      <c r="H363" s="9">
        <f>if('Point Intercept 1'!I363 = 'Point Intercept 2'!I363, 'Point Intercept 1'!I363, "ERROR")</f>
        <v>4</v>
      </c>
      <c r="I363" s="9">
        <f>if('Point Intercept 1'!H363 = 'Point Intercept 2'!H363, 'Point Intercept 1'!H363, "ERROR")</f>
        <v>2</v>
      </c>
      <c r="J363" s="9">
        <f>if('Point Intercept 1'!J363 = 'Point Intercept 2'!J363, 'Point Intercept 1'!J363, "ERROR")</f>
        <v>1.5</v>
      </c>
      <c r="K363" s="9" t="str">
        <f>if('Point Intercept 1'!K363 = 'Point Intercept 2'!K363, 'Point Intercept 1'!K363, "ERROR")</f>
        <v>S</v>
      </c>
      <c r="L363" s="9" t="str">
        <f>if('Point Intercept 1'!L363 = 'Point Intercept 2'!L363, 'Point Intercept 1'!L363, "ERROR")</f>
        <v>Stem</v>
      </c>
      <c r="M363" s="9" t="str">
        <f>if('Point Intercept 1'!N363 = 'Point Intercept 2'!M364, 'Point Intercept 1'!N363, "ERROR")</f>
        <v/>
      </c>
      <c r="N363" s="9" t="str">
        <f>if('Point Intercept 1'!O363 = 'Point Intercept 2'!N364, 'Point Intercept 1'!O363, "ERROR")</f>
        <v/>
      </c>
      <c r="O363" s="9" t="str">
        <f>if('Point Intercept 1'!P363 = 'Point Intercept 2'!O364, 'Point Intercept 1'!P363, "ERROR")</f>
        <v/>
      </c>
    </row>
    <row r="364">
      <c r="A364" s="9">
        <f>if('Point Intercept 1'!A364 = 'Point Intercept 2'!A364, 'Point Intercept 1'!A364, "ERROR")</f>
        <v>4</v>
      </c>
      <c r="B364" s="9">
        <f>if('Point Intercept 1'!B364 = 'Point Intercept 2'!B364, 'Point Intercept 1'!B364, "ERROR")</f>
        <v>2025</v>
      </c>
      <c r="C364" s="14">
        <f>if('Point Intercept 1'!C364 = 'Point Intercept 2'!C364, 'Point Intercept 1'!C364, "ERROR")</f>
        <v>45755</v>
      </c>
      <c r="D364" s="9" t="str">
        <f>if('Point Intercept 1'!D364 = 'Point Intercept 2'!D364, 'Point Intercept 1'!D364, "ERROR")</f>
        <v>JC, TL</v>
      </c>
      <c r="E364" s="9" t="str">
        <f>if('Point Intercept 1'!E364 = 'Point Intercept 2'!E364, 'Point Intercept 1'!E364, "ERROR")</f>
        <v>VB</v>
      </c>
      <c r="F364" s="9">
        <f>if('Point Intercept 1'!F364 = 'Point Intercept 2'!F364, 'Point Intercept 1'!F364, "ERROR")</f>
        <v>3</v>
      </c>
      <c r="G364" s="9" t="str">
        <f>if('Point Intercept 1'!G364 = 'Point Intercept 2'!G364, 'Point Intercept 1'!G364, "ERROR")</f>
        <v>LS</v>
      </c>
      <c r="H364" s="9">
        <f>if('Point Intercept 1'!I364 = 'Point Intercept 2'!I364, 'Point Intercept 1'!I364, "ERROR")</f>
        <v>4</v>
      </c>
      <c r="I364" s="9">
        <f>if('Point Intercept 1'!H364 = 'Point Intercept 2'!H364, 'Point Intercept 1'!H364, "ERROR")</f>
        <v>2</v>
      </c>
      <c r="J364" s="9">
        <f>if('Point Intercept 1'!J364 = 'Point Intercept 2'!J364, 'Point Intercept 1'!J364, "ERROR")</f>
        <v>1.5</v>
      </c>
      <c r="K364" s="9" t="str">
        <f>if('Point Intercept 1'!K364 = 'Point Intercept 2'!K364, 'Point Intercept 1'!K364, "ERROR")</f>
        <v>OPULIT</v>
      </c>
      <c r="L364" s="9" t="str">
        <f>if('Point Intercept 1'!L364 = 'Point Intercept 2'!L364, 'Point Intercept 1'!L364, "ERROR")</f>
        <v>Opuntia littoralis</v>
      </c>
      <c r="M364" s="9" t="str">
        <f>if('Point Intercept 1'!N364 = 'Point Intercept 2'!M365, 'Point Intercept 1'!N364, "ERROR")</f>
        <v/>
      </c>
      <c r="N364" s="9" t="str">
        <f>if('Point Intercept 1'!O364 = 'Point Intercept 2'!N365, 'Point Intercept 1'!O364, "ERROR")</f>
        <v/>
      </c>
      <c r="O364" s="9" t="str">
        <f>if('Point Intercept 1'!P364 = 'Point Intercept 2'!O365, 'Point Intercept 1'!P364, "ERROR")</f>
        <v/>
      </c>
    </row>
    <row r="365">
      <c r="A365" s="9">
        <f>if('Point Intercept 1'!A365 = 'Point Intercept 2'!A365, 'Point Intercept 1'!A365, "ERROR")</f>
        <v>4</v>
      </c>
      <c r="B365" s="9">
        <f>if('Point Intercept 1'!B365 = 'Point Intercept 2'!B365, 'Point Intercept 1'!B365, "ERROR")</f>
        <v>2025</v>
      </c>
      <c r="C365" s="14">
        <f>if('Point Intercept 1'!C365 = 'Point Intercept 2'!C365, 'Point Intercept 1'!C365, "ERROR")</f>
        <v>45755</v>
      </c>
      <c r="D365" s="9" t="str">
        <f>if('Point Intercept 1'!D365 = 'Point Intercept 2'!D365, 'Point Intercept 1'!D365, "ERROR")</f>
        <v>JC, TL</v>
      </c>
      <c r="E365" s="9" t="str">
        <f>if('Point Intercept 1'!E365 = 'Point Intercept 2'!E365, 'Point Intercept 1'!E365, "ERROR")</f>
        <v>VB</v>
      </c>
      <c r="F365" s="9">
        <f>if('Point Intercept 1'!F365 = 'Point Intercept 2'!F365, 'Point Intercept 1'!F365, "ERROR")</f>
        <v>3</v>
      </c>
      <c r="G365" s="9" t="str">
        <f>if('Point Intercept 1'!G365 = 'Point Intercept 2'!G365, 'Point Intercept 1'!G365, "ERROR")</f>
        <v>LS</v>
      </c>
      <c r="H365" s="9">
        <f>if('Point Intercept 1'!I365 = 'Point Intercept 2'!I365, 'Point Intercept 1'!I365, "ERROR")</f>
        <v>4</v>
      </c>
      <c r="I365" s="9">
        <f>if('Point Intercept 1'!H365 = 'Point Intercept 2'!H365, 'Point Intercept 1'!H365, "ERROR")</f>
        <v>2</v>
      </c>
      <c r="J365" s="9">
        <f>if('Point Intercept 1'!J365 = 'Point Intercept 2'!J365, 'Point Intercept 1'!J365, "ERROR")</f>
        <v>1.5</v>
      </c>
      <c r="K365" s="9" t="str">
        <f>if('Point Intercept 1'!K365 = 'Point Intercept 2'!K365, 'Point Intercept 1'!K365, "ERROR")</f>
        <v>FESMYU</v>
      </c>
      <c r="L365" s="9" t="str">
        <f>if('Point Intercept 1'!L365 = 'Point Intercept 2'!L365, 'Point Intercept 1'!L365, "ERROR")</f>
        <v>Festuca myuros</v>
      </c>
      <c r="M365" s="9" t="str">
        <f>if('Point Intercept 1'!N365 = 'Point Intercept 2'!M366, 'Point Intercept 1'!N365, "ERROR")</f>
        <v/>
      </c>
      <c r="N365" s="9" t="str">
        <f>if('Point Intercept 1'!O365 = 'Point Intercept 2'!N366, 'Point Intercept 1'!O365, "ERROR")</f>
        <v/>
      </c>
      <c r="O365" s="9" t="str">
        <f>if('Point Intercept 1'!P365 = 'Point Intercept 2'!O366, 'Point Intercept 1'!P365, "ERROR")</f>
        <v/>
      </c>
    </row>
    <row r="366">
      <c r="A366" s="9">
        <f>if('Point Intercept 1'!A366 = 'Point Intercept 2'!A366, 'Point Intercept 1'!A366, "ERROR")</f>
        <v>4</v>
      </c>
      <c r="B366" s="9">
        <f>if('Point Intercept 1'!B366 = 'Point Intercept 2'!B366, 'Point Intercept 1'!B366, "ERROR")</f>
        <v>2025</v>
      </c>
      <c r="C366" s="14">
        <f>if('Point Intercept 1'!C366 = 'Point Intercept 2'!C366, 'Point Intercept 1'!C366, "ERROR")</f>
        <v>45755</v>
      </c>
      <c r="D366" s="9" t="str">
        <f>if('Point Intercept 1'!D366 = 'Point Intercept 2'!D366, 'Point Intercept 1'!D366, "ERROR")</f>
        <v>JC, TL</v>
      </c>
      <c r="E366" s="9" t="str">
        <f>if('Point Intercept 1'!E366 = 'Point Intercept 2'!E366, 'Point Intercept 1'!E366, "ERROR")</f>
        <v>VB</v>
      </c>
      <c r="F366" s="9">
        <f>if('Point Intercept 1'!F366 = 'Point Intercept 2'!F366, 'Point Intercept 1'!F366, "ERROR")</f>
        <v>3</v>
      </c>
      <c r="G366" s="9" t="str">
        <f>if('Point Intercept 1'!G366 = 'Point Intercept 2'!G366, 'Point Intercept 1'!G366, "ERROR")</f>
        <v>LS</v>
      </c>
      <c r="H366" s="9">
        <f>if('Point Intercept 1'!I366 = 'Point Intercept 2'!I366, 'Point Intercept 1'!I366, "ERROR")</f>
        <v>5</v>
      </c>
      <c r="I366" s="9">
        <f>if('Point Intercept 1'!H366 = 'Point Intercept 2'!H366, 'Point Intercept 1'!H366, "ERROR")</f>
        <v>2</v>
      </c>
      <c r="J366" s="9">
        <f>if('Point Intercept 1'!J366 = 'Point Intercept 2'!J366, 'Point Intercept 1'!J366, "ERROR")</f>
        <v>2.5</v>
      </c>
      <c r="K366" s="9" t="str">
        <f>if('Point Intercept 1'!K366 = 'Point Intercept 2'!K366, 'Point Intercept 1'!K366, "ERROR")</f>
        <v>B</v>
      </c>
      <c r="L366" s="9" t="str">
        <f>if('Point Intercept 1'!L366 = 'Point Intercept 2'!L366, 'Point Intercept 1'!L366, "ERROR")</f>
        <v>Bareground</v>
      </c>
      <c r="M366" s="9" t="str">
        <f>if('Point Intercept 1'!N366 = 'Point Intercept 2'!M367, 'Point Intercept 1'!N366, "ERROR")</f>
        <v/>
      </c>
      <c r="N366" s="9" t="str">
        <f>if('Point Intercept 1'!O366 = 'Point Intercept 2'!N367, 'Point Intercept 1'!O366, "ERROR")</f>
        <v/>
      </c>
      <c r="O366" s="9" t="str">
        <f>if('Point Intercept 1'!P366 = 'Point Intercept 2'!O367, 'Point Intercept 1'!P366, "ERROR")</f>
        <v/>
      </c>
    </row>
    <row r="367">
      <c r="A367" s="9">
        <f>if('Point Intercept 1'!A367 = 'Point Intercept 2'!A367, 'Point Intercept 1'!A367, "ERROR")</f>
        <v>4</v>
      </c>
      <c r="B367" s="9">
        <f>if('Point Intercept 1'!B367 = 'Point Intercept 2'!B367, 'Point Intercept 1'!B367, "ERROR")</f>
        <v>2025</v>
      </c>
      <c r="C367" s="14">
        <f>if('Point Intercept 1'!C367 = 'Point Intercept 2'!C367, 'Point Intercept 1'!C367, "ERROR")</f>
        <v>45755</v>
      </c>
      <c r="D367" s="9" t="str">
        <f>if('Point Intercept 1'!D367 = 'Point Intercept 2'!D367, 'Point Intercept 1'!D367, "ERROR")</f>
        <v>JC, TL</v>
      </c>
      <c r="E367" s="9" t="str">
        <f>if('Point Intercept 1'!E367 = 'Point Intercept 2'!E367, 'Point Intercept 1'!E367, "ERROR")</f>
        <v>VB</v>
      </c>
      <c r="F367" s="9">
        <f>if('Point Intercept 1'!F367 = 'Point Intercept 2'!F367, 'Point Intercept 1'!F367, "ERROR")</f>
        <v>3</v>
      </c>
      <c r="G367" s="9" t="str">
        <f>if('Point Intercept 1'!G367 = 'Point Intercept 2'!G367, 'Point Intercept 1'!G367, "ERROR")</f>
        <v>LS</v>
      </c>
      <c r="H367" s="9">
        <f>if('Point Intercept 1'!I367 = 'Point Intercept 2'!I367, 'Point Intercept 1'!I367, "ERROR")</f>
        <v>5</v>
      </c>
      <c r="I367" s="9">
        <f>if('Point Intercept 1'!H367 = 'Point Intercept 2'!H367, 'Point Intercept 1'!H367, "ERROR")</f>
        <v>2</v>
      </c>
      <c r="J367" s="9">
        <f>if('Point Intercept 1'!J367 = 'Point Intercept 2'!J367, 'Point Intercept 1'!J367, "ERROR")</f>
        <v>2.5</v>
      </c>
      <c r="K367" s="9" t="str">
        <f>if('Point Intercept 1'!K367 = 'Point Intercept 2'!K367, 'Point Intercept 1'!K367, "ERROR")</f>
        <v>FESMYU</v>
      </c>
      <c r="L367" s="9" t="str">
        <f>if('Point Intercept 1'!L367 = 'Point Intercept 2'!L367, 'Point Intercept 1'!L367, "ERROR")</f>
        <v>Festuca myuros</v>
      </c>
      <c r="M367" s="9" t="str">
        <f>if('Point Intercept 1'!N367 = 'Point Intercept 2'!M368, 'Point Intercept 1'!N367, "ERROR")</f>
        <v/>
      </c>
      <c r="N367" s="9" t="str">
        <f>if('Point Intercept 1'!O367 = 'Point Intercept 2'!N368, 'Point Intercept 1'!O367, "ERROR")</f>
        <v/>
      </c>
      <c r="O367" s="9" t="str">
        <f>if('Point Intercept 1'!P367 = 'Point Intercept 2'!O368, 'Point Intercept 1'!P367, "ERROR")</f>
        <v/>
      </c>
    </row>
    <row r="368">
      <c r="A368" s="9">
        <f>if('Point Intercept 1'!A368 = 'Point Intercept 2'!A368, 'Point Intercept 1'!A368, "ERROR")</f>
        <v>4</v>
      </c>
      <c r="B368" s="9">
        <f>if('Point Intercept 1'!B368 = 'Point Intercept 2'!B368, 'Point Intercept 1'!B368, "ERROR")</f>
        <v>2025</v>
      </c>
      <c r="C368" s="14">
        <f>if('Point Intercept 1'!C368 = 'Point Intercept 2'!C368, 'Point Intercept 1'!C368, "ERROR")</f>
        <v>45755</v>
      </c>
      <c r="D368" s="9" t="str">
        <f>if('Point Intercept 1'!D368 = 'Point Intercept 2'!D368, 'Point Intercept 1'!D368, "ERROR")</f>
        <v>JC, TL</v>
      </c>
      <c r="E368" s="9" t="str">
        <f>if('Point Intercept 1'!E368 = 'Point Intercept 2'!E368, 'Point Intercept 1'!E368, "ERROR")</f>
        <v>VB</v>
      </c>
      <c r="F368" s="9">
        <f>if('Point Intercept 1'!F368 = 'Point Intercept 2'!F368, 'Point Intercept 1'!F368, "ERROR")</f>
        <v>3</v>
      </c>
      <c r="G368" s="9" t="str">
        <f>if('Point Intercept 1'!G368 = 'Point Intercept 2'!G368, 'Point Intercept 1'!G368, "ERROR")</f>
        <v>LS</v>
      </c>
      <c r="H368" s="9">
        <f>if('Point Intercept 1'!I368 = 'Point Intercept 2'!I368, 'Point Intercept 1'!I368, "ERROR")</f>
        <v>5</v>
      </c>
      <c r="I368" s="9">
        <f>if('Point Intercept 1'!H368 = 'Point Intercept 2'!H368, 'Point Intercept 1'!H368, "ERROR")</f>
        <v>2</v>
      </c>
      <c r="J368" s="9">
        <f>if('Point Intercept 1'!J368 = 'Point Intercept 2'!J368, 'Point Intercept 1'!J368, "ERROR")</f>
        <v>2.5</v>
      </c>
      <c r="K368" s="9" t="str">
        <f>if('Point Intercept 1'!K368 = 'Point Intercept 2'!K368, 'Point Intercept 1'!K368, "ERROR")</f>
        <v>MEDPOL</v>
      </c>
      <c r="L368" s="9" t="str">
        <f>if('Point Intercept 1'!L368 = 'Point Intercept 2'!L368, 'Point Intercept 1'!L368, "ERROR")</f>
        <v>Medicago polymorpha</v>
      </c>
      <c r="M368" s="9" t="str">
        <f>if('Point Intercept 1'!N368 = 'Point Intercept 2'!M369, 'Point Intercept 1'!N368, "ERROR")</f>
        <v/>
      </c>
      <c r="N368" s="9" t="str">
        <f>if('Point Intercept 1'!O368 = 'Point Intercept 2'!N369, 'Point Intercept 1'!O368, "ERROR")</f>
        <v/>
      </c>
      <c r="O368" s="9" t="str">
        <f>if('Point Intercept 1'!P368 = 'Point Intercept 2'!O369, 'Point Intercept 1'!P368, "ERROR")</f>
        <v/>
      </c>
    </row>
    <row r="369">
      <c r="A369" s="9">
        <f>if('Point Intercept 1'!A369 = 'Point Intercept 2'!A369, 'Point Intercept 1'!A369, "ERROR")</f>
        <v>4</v>
      </c>
      <c r="B369" s="9">
        <f>if('Point Intercept 1'!B369 = 'Point Intercept 2'!B369, 'Point Intercept 1'!B369, "ERROR")</f>
        <v>2025</v>
      </c>
      <c r="C369" s="14">
        <f>if('Point Intercept 1'!C369 = 'Point Intercept 2'!C369, 'Point Intercept 1'!C369, "ERROR")</f>
        <v>45755</v>
      </c>
      <c r="D369" s="9" t="str">
        <f>if('Point Intercept 1'!D369 = 'Point Intercept 2'!D369, 'Point Intercept 1'!D369, "ERROR")</f>
        <v>JC, TL</v>
      </c>
      <c r="E369" s="9" t="str">
        <f>if('Point Intercept 1'!E369 = 'Point Intercept 2'!E369, 'Point Intercept 1'!E369, "ERROR")</f>
        <v>VB</v>
      </c>
      <c r="F369" s="9">
        <f>if('Point Intercept 1'!F369 = 'Point Intercept 2'!F369, 'Point Intercept 1'!F369, "ERROR")</f>
        <v>3</v>
      </c>
      <c r="G369" s="9" t="str">
        <f>if('Point Intercept 1'!G369 = 'Point Intercept 2'!G369, 'Point Intercept 1'!G369, "ERROR")</f>
        <v>LS</v>
      </c>
      <c r="H369" s="9">
        <f>if('Point Intercept 1'!I369 = 'Point Intercept 2'!I369, 'Point Intercept 1'!I369, "ERROR")</f>
        <v>6</v>
      </c>
      <c r="I369" s="9">
        <f>if('Point Intercept 1'!H369 = 'Point Intercept 2'!H369, 'Point Intercept 1'!H369, "ERROR")</f>
        <v>2</v>
      </c>
      <c r="J369" s="9">
        <f>if('Point Intercept 1'!J369 = 'Point Intercept 2'!J369, 'Point Intercept 1'!J369, "ERROR")</f>
        <v>3</v>
      </c>
      <c r="K369" s="9" t="str">
        <f>if('Point Intercept 1'!K369 = 'Point Intercept 2'!K369, 'Point Intercept 1'!K369, "ERROR")</f>
        <v>R</v>
      </c>
      <c r="L369" s="9" t="str">
        <f>if('Point Intercept 1'!L369 = 'Point Intercept 2'!L369, 'Point Intercept 1'!L369, "ERROR")</f>
        <v>Rock</v>
      </c>
      <c r="M369" s="9" t="str">
        <f>if('Point Intercept 1'!N369 = 'Point Intercept 2'!M370, 'Point Intercept 1'!N369, "ERROR")</f>
        <v/>
      </c>
      <c r="N369" s="9" t="str">
        <f>if('Point Intercept 1'!O369 = 'Point Intercept 2'!N370, 'Point Intercept 1'!O369, "ERROR")</f>
        <v/>
      </c>
      <c r="O369" s="9" t="str">
        <f>if('Point Intercept 1'!P369 = 'Point Intercept 2'!O370, 'Point Intercept 1'!P369, "ERROR")</f>
        <v/>
      </c>
    </row>
    <row r="370">
      <c r="A370" s="9">
        <f>if('Point Intercept 1'!A370 = 'Point Intercept 2'!A370, 'Point Intercept 1'!A370, "ERROR")</f>
        <v>4</v>
      </c>
      <c r="B370" s="9">
        <f>if('Point Intercept 1'!B370 = 'Point Intercept 2'!B370, 'Point Intercept 1'!B370, "ERROR")</f>
        <v>2025</v>
      </c>
      <c r="C370" s="14">
        <f>if('Point Intercept 1'!C370 = 'Point Intercept 2'!C370, 'Point Intercept 1'!C370, "ERROR")</f>
        <v>45755</v>
      </c>
      <c r="D370" s="9" t="str">
        <f>if('Point Intercept 1'!D370 = 'Point Intercept 2'!D370, 'Point Intercept 1'!D370, "ERROR")</f>
        <v>JC, TL</v>
      </c>
      <c r="E370" s="9" t="str">
        <f>if('Point Intercept 1'!E370 = 'Point Intercept 2'!E370, 'Point Intercept 1'!E370, "ERROR")</f>
        <v>VB</v>
      </c>
      <c r="F370" s="9">
        <f>if('Point Intercept 1'!F370 = 'Point Intercept 2'!F370, 'Point Intercept 1'!F370, "ERROR")</f>
        <v>3</v>
      </c>
      <c r="G370" s="9" t="str">
        <f>if('Point Intercept 1'!G370 = 'Point Intercept 2'!G370, 'Point Intercept 1'!G370, "ERROR")</f>
        <v>LS</v>
      </c>
      <c r="H370" s="9">
        <f>if('Point Intercept 1'!I370 = 'Point Intercept 2'!I370, 'Point Intercept 1'!I370, "ERROR")</f>
        <v>6</v>
      </c>
      <c r="I370" s="9">
        <f>if('Point Intercept 1'!H370 = 'Point Intercept 2'!H370, 'Point Intercept 1'!H370, "ERROR")</f>
        <v>2</v>
      </c>
      <c r="J370" s="9">
        <f>if('Point Intercept 1'!J370 = 'Point Intercept 2'!J370, 'Point Intercept 1'!J370, "ERROR")</f>
        <v>3</v>
      </c>
      <c r="K370" s="9" t="str">
        <f>if('Point Intercept 1'!K370 = 'Point Intercept 2'!K370, 'Point Intercept 1'!K370, "ERROR")</f>
        <v>FESMYU</v>
      </c>
      <c r="L370" s="9" t="str">
        <f>if('Point Intercept 1'!L370 = 'Point Intercept 2'!L370, 'Point Intercept 1'!L370, "ERROR")</f>
        <v>Festuca myuros</v>
      </c>
      <c r="M370" s="9" t="str">
        <f>if('Point Intercept 1'!N370 = 'Point Intercept 2'!M371, 'Point Intercept 1'!N370, "ERROR")</f>
        <v/>
      </c>
      <c r="N370" s="9" t="str">
        <f>if('Point Intercept 1'!O370 = 'Point Intercept 2'!N371, 'Point Intercept 1'!O370, "ERROR")</f>
        <v/>
      </c>
      <c r="O370" s="9" t="str">
        <f>if('Point Intercept 1'!P370 = 'Point Intercept 2'!O371, 'Point Intercept 1'!P370, "ERROR")</f>
        <v/>
      </c>
    </row>
    <row r="371">
      <c r="A371" s="9">
        <f>if('Point Intercept 1'!A371 = 'Point Intercept 2'!A371, 'Point Intercept 1'!A371, "ERROR")</f>
        <v>4</v>
      </c>
      <c r="B371" s="9">
        <f>if('Point Intercept 1'!B371 = 'Point Intercept 2'!B371, 'Point Intercept 1'!B371, "ERROR")</f>
        <v>2025</v>
      </c>
      <c r="C371" s="14">
        <f>if('Point Intercept 1'!C371 = 'Point Intercept 2'!C371, 'Point Intercept 1'!C371, "ERROR")</f>
        <v>45755</v>
      </c>
      <c r="D371" s="9" t="str">
        <f>if('Point Intercept 1'!D371 = 'Point Intercept 2'!D371, 'Point Intercept 1'!D371, "ERROR")</f>
        <v>JC, TL</v>
      </c>
      <c r="E371" s="9" t="str">
        <f>if('Point Intercept 1'!E371 = 'Point Intercept 2'!E371, 'Point Intercept 1'!E371, "ERROR")</f>
        <v>VB</v>
      </c>
      <c r="F371" s="9">
        <f>if('Point Intercept 1'!F371 = 'Point Intercept 2'!F371, 'Point Intercept 1'!F371, "ERROR")</f>
        <v>3</v>
      </c>
      <c r="G371" s="9" t="str">
        <f>if('Point Intercept 1'!G371 = 'Point Intercept 2'!G371, 'Point Intercept 1'!G371, "ERROR")</f>
        <v>LS</v>
      </c>
      <c r="H371" s="9">
        <f>if('Point Intercept 1'!I371 = 'Point Intercept 2'!I371, 'Point Intercept 1'!I371, "ERROR")</f>
        <v>7</v>
      </c>
      <c r="I371" s="9">
        <f>if('Point Intercept 1'!H371 = 'Point Intercept 2'!H371, 'Point Intercept 1'!H371, "ERROR")</f>
        <v>2</v>
      </c>
      <c r="J371" s="9">
        <f>if('Point Intercept 1'!J371 = 'Point Intercept 2'!J371, 'Point Intercept 1'!J371, "ERROR")</f>
        <v>3.5</v>
      </c>
      <c r="K371" s="9" t="str">
        <f>if('Point Intercept 1'!K371 = 'Point Intercept 2'!K371, 'Point Intercept 1'!K371, "ERROR")</f>
        <v>L</v>
      </c>
      <c r="L371" s="9" t="str">
        <f>if('Point Intercept 1'!L371 = 'Point Intercept 2'!L371, 'Point Intercept 1'!L371, "ERROR")</f>
        <v>Litter</v>
      </c>
      <c r="M371" s="9" t="str">
        <f>if('Point Intercept 1'!N371 = 'Point Intercept 2'!M372, 'Point Intercept 1'!N371, "ERROR")</f>
        <v/>
      </c>
      <c r="N371" s="9" t="str">
        <f>if('Point Intercept 1'!O371 = 'Point Intercept 2'!N372, 'Point Intercept 1'!O371, "ERROR")</f>
        <v/>
      </c>
      <c r="O371" s="9" t="str">
        <f>if('Point Intercept 1'!P371 = 'Point Intercept 2'!O372, 'Point Intercept 1'!P371, "ERROR")</f>
        <v/>
      </c>
    </row>
    <row r="372">
      <c r="A372" s="9">
        <f>if('Point Intercept 1'!A372 = 'Point Intercept 2'!A372, 'Point Intercept 1'!A372, "ERROR")</f>
        <v>4</v>
      </c>
      <c r="B372" s="9">
        <f>if('Point Intercept 1'!B372 = 'Point Intercept 2'!B372, 'Point Intercept 1'!B372, "ERROR")</f>
        <v>2025</v>
      </c>
      <c r="C372" s="14">
        <f>if('Point Intercept 1'!C372 = 'Point Intercept 2'!C372, 'Point Intercept 1'!C372, "ERROR")</f>
        <v>45755</v>
      </c>
      <c r="D372" s="9" t="str">
        <f>if('Point Intercept 1'!D372 = 'Point Intercept 2'!D372, 'Point Intercept 1'!D372, "ERROR")</f>
        <v>JC, TL</v>
      </c>
      <c r="E372" s="9" t="str">
        <f>if('Point Intercept 1'!E372 = 'Point Intercept 2'!E372, 'Point Intercept 1'!E372, "ERROR")</f>
        <v>VB</v>
      </c>
      <c r="F372" s="9">
        <f>if('Point Intercept 1'!F372 = 'Point Intercept 2'!F372, 'Point Intercept 1'!F372, "ERROR")</f>
        <v>3</v>
      </c>
      <c r="G372" s="9" t="str">
        <f>if('Point Intercept 1'!G372 = 'Point Intercept 2'!G372, 'Point Intercept 1'!G372, "ERROR")</f>
        <v>LS</v>
      </c>
      <c r="H372" s="9">
        <f>if('Point Intercept 1'!I372 = 'Point Intercept 2'!I372, 'Point Intercept 1'!I372, "ERROR")</f>
        <v>7</v>
      </c>
      <c r="I372" s="9">
        <f>if('Point Intercept 1'!H372 = 'Point Intercept 2'!H372, 'Point Intercept 1'!H372, "ERROR")</f>
        <v>2</v>
      </c>
      <c r="J372" s="9">
        <f>if('Point Intercept 1'!J372 = 'Point Intercept 2'!J372, 'Point Intercept 1'!J372, "ERROR")</f>
        <v>3.5</v>
      </c>
      <c r="K372" s="9" t="str">
        <f>if('Point Intercept 1'!K372 = 'Point Intercept 2'!K372, 'Point Intercept 1'!K372, "ERROR")</f>
        <v>MEDPOL</v>
      </c>
      <c r="L372" s="9" t="str">
        <f>if('Point Intercept 1'!L372 = 'Point Intercept 2'!L372, 'Point Intercept 1'!L372, "ERROR")</f>
        <v>Medicago polymorpha</v>
      </c>
      <c r="M372" s="9" t="str">
        <f>if('Point Intercept 1'!N372 = 'Point Intercept 2'!M373, 'Point Intercept 1'!N372, "ERROR")</f>
        <v/>
      </c>
      <c r="N372" s="9" t="str">
        <f>if('Point Intercept 1'!O372 = 'Point Intercept 2'!N373, 'Point Intercept 1'!O372, "ERROR")</f>
        <v/>
      </c>
      <c r="O372" s="9" t="str">
        <f>if('Point Intercept 1'!P372 = 'Point Intercept 2'!O373, 'Point Intercept 1'!P372, "ERROR")</f>
        <v/>
      </c>
    </row>
    <row r="373">
      <c r="A373" s="9">
        <f>if('Point Intercept 1'!A373 = 'Point Intercept 2'!A373, 'Point Intercept 1'!A373, "ERROR")</f>
        <v>4</v>
      </c>
      <c r="B373" s="9">
        <f>if('Point Intercept 1'!B373 = 'Point Intercept 2'!B373, 'Point Intercept 1'!B373, "ERROR")</f>
        <v>2025</v>
      </c>
      <c r="C373" s="14">
        <f>if('Point Intercept 1'!C373 = 'Point Intercept 2'!C373, 'Point Intercept 1'!C373, "ERROR")</f>
        <v>45755</v>
      </c>
      <c r="D373" s="9" t="str">
        <f>if('Point Intercept 1'!D373 = 'Point Intercept 2'!D373, 'Point Intercept 1'!D373, "ERROR")</f>
        <v>JC, TL</v>
      </c>
      <c r="E373" s="9" t="str">
        <f>if('Point Intercept 1'!E373 = 'Point Intercept 2'!E373, 'Point Intercept 1'!E373, "ERROR")</f>
        <v>VB</v>
      </c>
      <c r="F373" s="9">
        <f>if('Point Intercept 1'!F373 = 'Point Intercept 2'!F373, 'Point Intercept 1'!F373, "ERROR")</f>
        <v>3</v>
      </c>
      <c r="G373" s="9" t="str">
        <f>if('Point Intercept 1'!G373 = 'Point Intercept 2'!G373, 'Point Intercept 1'!G373, "ERROR")</f>
        <v>LS</v>
      </c>
      <c r="H373" s="9">
        <f>if('Point Intercept 1'!I373 = 'Point Intercept 2'!I373, 'Point Intercept 1'!I373, "ERROR")</f>
        <v>7</v>
      </c>
      <c r="I373" s="9">
        <f>if('Point Intercept 1'!H373 = 'Point Intercept 2'!H373, 'Point Intercept 1'!H373, "ERROR")</f>
        <v>2</v>
      </c>
      <c r="J373" s="9">
        <f>if('Point Intercept 1'!J373 = 'Point Intercept 2'!J373, 'Point Intercept 1'!J373, "ERROR")</f>
        <v>3.5</v>
      </c>
      <c r="K373" s="9" t="str">
        <f>if('Point Intercept 1'!K373 = 'Point Intercept 2'!K373, 'Point Intercept 1'!K373, "ERROR")</f>
        <v>FESMYU</v>
      </c>
      <c r="L373" s="9" t="str">
        <f>if('Point Intercept 1'!L373 = 'Point Intercept 2'!L373, 'Point Intercept 1'!L373, "ERROR")</f>
        <v>Festuca myuros</v>
      </c>
      <c r="M373" s="9" t="str">
        <f>if('Point Intercept 1'!N373 = 'Point Intercept 2'!M374, 'Point Intercept 1'!N373, "ERROR")</f>
        <v/>
      </c>
      <c r="N373" s="9" t="str">
        <f>if('Point Intercept 1'!O373 = 'Point Intercept 2'!N374, 'Point Intercept 1'!O373, "ERROR")</f>
        <v/>
      </c>
      <c r="O373" s="9" t="str">
        <f>if('Point Intercept 1'!P373 = 'Point Intercept 2'!O374, 'Point Intercept 1'!P373, "ERROR")</f>
        <v/>
      </c>
    </row>
    <row r="374">
      <c r="A374" s="9">
        <f>if('Point Intercept 1'!A374 = 'Point Intercept 2'!A374, 'Point Intercept 1'!A374, "ERROR")</f>
        <v>4</v>
      </c>
      <c r="B374" s="9">
        <f>if('Point Intercept 1'!B374 = 'Point Intercept 2'!B374, 'Point Intercept 1'!B374, "ERROR")</f>
        <v>2025</v>
      </c>
      <c r="C374" s="14">
        <f>if('Point Intercept 1'!C374 = 'Point Intercept 2'!C374, 'Point Intercept 1'!C374, "ERROR")</f>
        <v>45755</v>
      </c>
      <c r="D374" s="9" t="str">
        <f>if('Point Intercept 1'!D374 = 'Point Intercept 2'!D374, 'Point Intercept 1'!D374, "ERROR")</f>
        <v>JC, TL</v>
      </c>
      <c r="E374" s="9" t="str">
        <f>if('Point Intercept 1'!E374 = 'Point Intercept 2'!E374, 'Point Intercept 1'!E374, "ERROR")</f>
        <v>VB</v>
      </c>
      <c r="F374" s="9">
        <f>if('Point Intercept 1'!F374 = 'Point Intercept 2'!F374, 'Point Intercept 1'!F374, "ERROR")</f>
        <v>3</v>
      </c>
      <c r="G374" s="9" t="str">
        <f>if('Point Intercept 1'!G374 = 'Point Intercept 2'!G374, 'Point Intercept 1'!G374, "ERROR")</f>
        <v>LS</v>
      </c>
      <c r="H374" s="9">
        <f>if('Point Intercept 1'!I374 = 'Point Intercept 2'!I374, 'Point Intercept 1'!I374, "ERROR")</f>
        <v>7</v>
      </c>
      <c r="I374" s="9">
        <f>if('Point Intercept 1'!H374 = 'Point Intercept 2'!H374, 'Point Intercept 1'!H374, "ERROR")</f>
        <v>2</v>
      </c>
      <c r="J374" s="9">
        <f>if('Point Intercept 1'!J374 = 'Point Intercept 2'!J374, 'Point Intercept 1'!J374, "ERROR")</f>
        <v>3.5</v>
      </c>
      <c r="K374" s="9" t="str">
        <f>if('Point Intercept 1'!K374 = 'Point Intercept 2'!K374, 'Point Intercept 1'!K374, "ERROR")</f>
        <v>SONASP</v>
      </c>
      <c r="L374" s="9" t="str">
        <f>if('Point Intercept 1'!L374 = 'Point Intercept 2'!L374, 'Point Intercept 1'!L374, "ERROR")</f>
        <v>Sonchus asper</v>
      </c>
      <c r="M374" s="9" t="str">
        <f>if('Point Intercept 1'!N374 = 'Point Intercept 2'!M375, 'Point Intercept 1'!N374, "ERROR")</f>
        <v/>
      </c>
      <c r="N374" s="9" t="str">
        <f>if('Point Intercept 1'!O374 = 'Point Intercept 2'!N375, 'Point Intercept 1'!O374, "ERROR")</f>
        <v/>
      </c>
      <c r="O374" s="9" t="str">
        <f>if('Point Intercept 1'!P374 = 'Point Intercept 2'!O375, 'Point Intercept 1'!P374, "ERROR")</f>
        <v/>
      </c>
    </row>
    <row r="375">
      <c r="A375" s="9">
        <f>if('Point Intercept 1'!A375 = 'Point Intercept 2'!A375, 'Point Intercept 1'!A375, "ERROR")</f>
        <v>4</v>
      </c>
      <c r="B375" s="9">
        <f>if('Point Intercept 1'!B375 = 'Point Intercept 2'!B375, 'Point Intercept 1'!B375, "ERROR")</f>
        <v>2025</v>
      </c>
      <c r="C375" s="14">
        <f>if('Point Intercept 1'!C375 = 'Point Intercept 2'!C375, 'Point Intercept 1'!C375, "ERROR")</f>
        <v>45755</v>
      </c>
      <c r="D375" s="9" t="str">
        <f>if('Point Intercept 1'!D375 = 'Point Intercept 2'!D375, 'Point Intercept 1'!D375, "ERROR")</f>
        <v>JC, TL</v>
      </c>
      <c r="E375" s="9" t="str">
        <f>if('Point Intercept 1'!E375 = 'Point Intercept 2'!E375, 'Point Intercept 1'!E375, "ERROR")</f>
        <v>VB</v>
      </c>
      <c r="F375" s="9">
        <f>if('Point Intercept 1'!F375 = 'Point Intercept 2'!F375, 'Point Intercept 1'!F375, "ERROR")</f>
        <v>3</v>
      </c>
      <c r="G375" s="9" t="str">
        <f>if('Point Intercept 1'!G375 = 'Point Intercept 2'!G375, 'Point Intercept 1'!G375, "ERROR")</f>
        <v>LS</v>
      </c>
      <c r="H375" s="9">
        <f>if('Point Intercept 1'!I375 = 'Point Intercept 2'!I375, 'Point Intercept 1'!I375, "ERROR")</f>
        <v>8</v>
      </c>
      <c r="I375" s="9">
        <f>if('Point Intercept 1'!H375 = 'Point Intercept 2'!H375, 'Point Intercept 1'!H375, "ERROR")</f>
        <v>2</v>
      </c>
      <c r="J375" s="9">
        <f>if('Point Intercept 1'!J375 = 'Point Intercept 2'!J375, 'Point Intercept 1'!J375, "ERROR")</f>
        <v>4</v>
      </c>
      <c r="K375" s="9" t="str">
        <f>if('Point Intercept 1'!K375 = 'Point Intercept 2'!K375, 'Point Intercept 1'!K375, "ERROR")</f>
        <v>L</v>
      </c>
      <c r="L375" s="9" t="str">
        <f>if('Point Intercept 1'!L375 = 'Point Intercept 2'!L375, 'Point Intercept 1'!L375, "ERROR")</f>
        <v>Litter</v>
      </c>
      <c r="M375" s="9" t="str">
        <f>if('Point Intercept 1'!N375 = 'Point Intercept 2'!M376, 'Point Intercept 1'!N375, "ERROR")</f>
        <v/>
      </c>
      <c r="N375" s="9" t="str">
        <f>if('Point Intercept 1'!O375 = 'Point Intercept 2'!N376, 'Point Intercept 1'!O375, "ERROR")</f>
        <v/>
      </c>
      <c r="O375" s="9" t="str">
        <f>if('Point Intercept 1'!P375 = 'Point Intercept 2'!O376, 'Point Intercept 1'!P375, "ERROR")</f>
        <v/>
      </c>
    </row>
    <row r="376">
      <c r="A376" s="9">
        <f>if('Point Intercept 1'!A376 = 'Point Intercept 2'!A376, 'Point Intercept 1'!A376, "ERROR")</f>
        <v>4</v>
      </c>
      <c r="B376" s="9">
        <f>if('Point Intercept 1'!B376 = 'Point Intercept 2'!B376, 'Point Intercept 1'!B376, "ERROR")</f>
        <v>2025</v>
      </c>
      <c r="C376" s="14">
        <f>if('Point Intercept 1'!C376 = 'Point Intercept 2'!C376, 'Point Intercept 1'!C376, "ERROR")</f>
        <v>45755</v>
      </c>
      <c r="D376" s="9" t="str">
        <f>if('Point Intercept 1'!D376 = 'Point Intercept 2'!D376, 'Point Intercept 1'!D376, "ERROR")</f>
        <v>JC, TL</v>
      </c>
      <c r="E376" s="9" t="str">
        <f>if('Point Intercept 1'!E376 = 'Point Intercept 2'!E376, 'Point Intercept 1'!E376, "ERROR")</f>
        <v>VB</v>
      </c>
      <c r="F376" s="9">
        <f>if('Point Intercept 1'!F376 = 'Point Intercept 2'!F376, 'Point Intercept 1'!F376, "ERROR")</f>
        <v>3</v>
      </c>
      <c r="G376" s="9" t="str">
        <f>if('Point Intercept 1'!G376 = 'Point Intercept 2'!G376, 'Point Intercept 1'!G376, "ERROR")</f>
        <v>LS</v>
      </c>
      <c r="H376" s="9">
        <f>if('Point Intercept 1'!I376 = 'Point Intercept 2'!I376, 'Point Intercept 1'!I376, "ERROR")</f>
        <v>8</v>
      </c>
      <c r="I376" s="9">
        <f>if('Point Intercept 1'!H376 = 'Point Intercept 2'!H376, 'Point Intercept 1'!H376, "ERROR")</f>
        <v>2</v>
      </c>
      <c r="J376" s="9">
        <f>if('Point Intercept 1'!J376 = 'Point Intercept 2'!J376, 'Point Intercept 1'!J376, "ERROR")</f>
        <v>4</v>
      </c>
      <c r="K376" s="9" t="str">
        <f>if('Point Intercept 1'!K376 = 'Point Intercept 2'!K376, 'Point Intercept 1'!K376, "ERROR")</f>
        <v>DAUPUS</v>
      </c>
      <c r="L376" s="9" t="str">
        <f>if('Point Intercept 1'!L376 = 'Point Intercept 2'!L376, 'Point Intercept 1'!L376, "ERROR")</f>
        <v>Daucus pusillus</v>
      </c>
      <c r="M376" s="9" t="str">
        <f>if('Point Intercept 1'!N376 = 'Point Intercept 2'!M377, 'Point Intercept 1'!N376, "ERROR")</f>
        <v/>
      </c>
      <c r="N376" s="9" t="str">
        <f>if('Point Intercept 1'!O376 = 'Point Intercept 2'!N377, 'Point Intercept 1'!O376, "ERROR")</f>
        <v/>
      </c>
      <c r="O376" s="9" t="str">
        <f>if('Point Intercept 1'!P376 = 'Point Intercept 2'!O377, 'Point Intercept 1'!P376, "ERROR")</f>
        <v/>
      </c>
    </row>
    <row r="377">
      <c r="A377" s="9">
        <f>if('Point Intercept 1'!A377 = 'Point Intercept 2'!A377, 'Point Intercept 1'!A377, "ERROR")</f>
        <v>4</v>
      </c>
      <c r="B377" s="9">
        <f>if('Point Intercept 1'!B377 = 'Point Intercept 2'!B377, 'Point Intercept 1'!B377, "ERROR")</f>
        <v>2025</v>
      </c>
      <c r="C377" s="14">
        <f>if('Point Intercept 1'!C377 = 'Point Intercept 2'!C377, 'Point Intercept 1'!C377, "ERROR")</f>
        <v>45755</v>
      </c>
      <c r="D377" s="9" t="str">
        <f>if('Point Intercept 1'!D377 = 'Point Intercept 2'!D377, 'Point Intercept 1'!D377, "ERROR")</f>
        <v>JC, TL</v>
      </c>
      <c r="E377" s="9" t="str">
        <f>if('Point Intercept 1'!E377 = 'Point Intercept 2'!E377, 'Point Intercept 1'!E377, "ERROR")</f>
        <v>VB</v>
      </c>
      <c r="F377" s="9">
        <f>if('Point Intercept 1'!F377 = 'Point Intercept 2'!F377, 'Point Intercept 1'!F377, "ERROR")</f>
        <v>3</v>
      </c>
      <c r="G377" s="9" t="str">
        <f>if('Point Intercept 1'!G377 = 'Point Intercept 2'!G377, 'Point Intercept 1'!G377, "ERROR")</f>
        <v>LS</v>
      </c>
      <c r="H377" s="9">
        <f>if('Point Intercept 1'!I377 = 'Point Intercept 2'!I377, 'Point Intercept 1'!I377, "ERROR")</f>
        <v>8</v>
      </c>
      <c r="I377" s="9">
        <f>if('Point Intercept 1'!H377 = 'Point Intercept 2'!H377, 'Point Intercept 1'!H377, "ERROR")</f>
        <v>2</v>
      </c>
      <c r="J377" s="9">
        <f>if('Point Intercept 1'!J377 = 'Point Intercept 2'!J377, 'Point Intercept 1'!J377, "ERROR")</f>
        <v>4</v>
      </c>
      <c r="K377" s="9" t="str">
        <f>if('Point Intercept 1'!K377 = 'Point Intercept 2'!K377, 'Point Intercept 1'!K377, "ERROR")</f>
        <v>DEIFAS</v>
      </c>
      <c r="L377" s="9" t="str">
        <f>if('Point Intercept 1'!L377 = 'Point Intercept 2'!L377, 'Point Intercept 1'!L377, "ERROR")</f>
        <v>Deinandra fasciculata</v>
      </c>
      <c r="M377" s="9" t="str">
        <f>if('Point Intercept 1'!N377 = 'Point Intercept 2'!M378, 'Point Intercept 1'!N377, "ERROR")</f>
        <v/>
      </c>
      <c r="N377" s="9" t="str">
        <f>if('Point Intercept 1'!O377 = 'Point Intercept 2'!N378, 'Point Intercept 1'!O377, "ERROR")</f>
        <v/>
      </c>
      <c r="O377" s="9" t="str">
        <f>if('Point Intercept 1'!P377 = 'Point Intercept 2'!O378, 'Point Intercept 1'!P377, "ERROR")</f>
        <v/>
      </c>
    </row>
    <row r="378">
      <c r="A378" s="9">
        <f>if('Point Intercept 1'!A378 = 'Point Intercept 2'!A378, 'Point Intercept 1'!A378, "ERROR")</f>
        <v>4</v>
      </c>
      <c r="B378" s="9">
        <f>if('Point Intercept 1'!B378 = 'Point Intercept 2'!B378, 'Point Intercept 1'!B378, "ERROR")</f>
        <v>2025</v>
      </c>
      <c r="C378" s="14">
        <f>if('Point Intercept 1'!C378 = 'Point Intercept 2'!C378, 'Point Intercept 1'!C378, "ERROR")</f>
        <v>45755</v>
      </c>
      <c r="D378" s="9" t="str">
        <f>if('Point Intercept 1'!D378 = 'Point Intercept 2'!D378, 'Point Intercept 1'!D378, "ERROR")</f>
        <v>JC, TL</v>
      </c>
      <c r="E378" s="9" t="str">
        <f>if('Point Intercept 1'!E378 = 'Point Intercept 2'!E378, 'Point Intercept 1'!E378, "ERROR")</f>
        <v>VB</v>
      </c>
      <c r="F378" s="9">
        <f>if('Point Intercept 1'!F378 = 'Point Intercept 2'!F378, 'Point Intercept 1'!F378, "ERROR")</f>
        <v>3</v>
      </c>
      <c r="G378" s="9" t="str">
        <f>if('Point Intercept 1'!G378 = 'Point Intercept 2'!G378, 'Point Intercept 1'!G378, "ERROR")</f>
        <v>LS</v>
      </c>
      <c r="H378" s="9">
        <f>if('Point Intercept 1'!I378 = 'Point Intercept 2'!I378, 'Point Intercept 1'!I378, "ERROR")</f>
        <v>8</v>
      </c>
      <c r="I378" s="9">
        <f>if('Point Intercept 1'!H378 = 'Point Intercept 2'!H378, 'Point Intercept 1'!H378, "ERROR")</f>
        <v>2</v>
      </c>
      <c r="J378" s="9">
        <f>if('Point Intercept 1'!J378 = 'Point Intercept 2'!J378, 'Point Intercept 1'!J378, "ERROR")</f>
        <v>4</v>
      </c>
      <c r="K378" s="9" t="str">
        <f>if('Point Intercept 1'!K378 = 'Point Intercept 2'!K378, 'Point Intercept 1'!K378, "ERROR")</f>
        <v>FESMYU</v>
      </c>
      <c r="L378" s="9" t="str">
        <f>if('Point Intercept 1'!L378 = 'Point Intercept 2'!L378, 'Point Intercept 1'!L378, "ERROR")</f>
        <v>Festuca myuros</v>
      </c>
      <c r="M378" s="9" t="str">
        <f>if('Point Intercept 1'!N378 = 'Point Intercept 2'!M379, 'Point Intercept 1'!N378, "ERROR")</f>
        <v/>
      </c>
      <c r="N378" s="9" t="str">
        <f>if('Point Intercept 1'!O378 = 'Point Intercept 2'!N379, 'Point Intercept 1'!O378, "ERROR")</f>
        <v/>
      </c>
      <c r="O378" s="9" t="str">
        <f>if('Point Intercept 1'!P378 = 'Point Intercept 2'!O379, 'Point Intercept 1'!P378, "ERROR")</f>
        <v/>
      </c>
    </row>
    <row r="379">
      <c r="A379" s="9">
        <f>if('Point Intercept 1'!A379 = 'Point Intercept 2'!A379, 'Point Intercept 1'!A379, "ERROR")</f>
        <v>4</v>
      </c>
      <c r="B379" s="9">
        <f>if('Point Intercept 1'!B379 = 'Point Intercept 2'!B379, 'Point Intercept 1'!B379, "ERROR")</f>
        <v>2025</v>
      </c>
      <c r="C379" s="14">
        <f>if('Point Intercept 1'!C379 = 'Point Intercept 2'!C379, 'Point Intercept 1'!C379, "ERROR")</f>
        <v>45755</v>
      </c>
      <c r="D379" s="9" t="str">
        <f>if('Point Intercept 1'!D379 = 'Point Intercept 2'!D379, 'Point Intercept 1'!D379, "ERROR")</f>
        <v>JC, TL</v>
      </c>
      <c r="E379" s="9" t="str">
        <f>if('Point Intercept 1'!E379 = 'Point Intercept 2'!E379, 'Point Intercept 1'!E379, "ERROR")</f>
        <v>VB</v>
      </c>
      <c r="F379" s="9">
        <f>if('Point Intercept 1'!F379 = 'Point Intercept 2'!F379, 'Point Intercept 1'!F379, "ERROR")</f>
        <v>3</v>
      </c>
      <c r="G379" s="9" t="str">
        <f>if('Point Intercept 1'!G379 = 'Point Intercept 2'!G379, 'Point Intercept 1'!G379, "ERROR")</f>
        <v>LS</v>
      </c>
      <c r="H379" s="9">
        <f>if('Point Intercept 1'!I379 = 'Point Intercept 2'!I379, 'Point Intercept 1'!I379, "ERROR")</f>
        <v>8</v>
      </c>
      <c r="I379" s="9">
        <f>if('Point Intercept 1'!H379 = 'Point Intercept 2'!H379, 'Point Intercept 1'!H379, "ERROR")</f>
        <v>2</v>
      </c>
      <c r="J379" s="9">
        <f>if('Point Intercept 1'!J379 = 'Point Intercept 2'!J379, 'Point Intercept 1'!J379, "ERROR")</f>
        <v>4</v>
      </c>
      <c r="K379" s="9" t="str">
        <f>if('Point Intercept 1'!K379 = 'Point Intercept 2'!K379, 'Point Intercept 1'!K379, "ERROR")</f>
        <v>CENMEL</v>
      </c>
      <c r="L379" s="9" t="str">
        <f>if('Point Intercept 1'!L379 = 'Point Intercept 2'!L379, 'Point Intercept 1'!L379, "ERROR")</f>
        <v>Centaurea melitensis</v>
      </c>
      <c r="M379" s="9" t="str">
        <f>if('Point Intercept 1'!N379 = 'Point Intercept 2'!M380, 'Point Intercept 1'!N379, "ERROR")</f>
        <v/>
      </c>
      <c r="N379" s="9" t="str">
        <f>if('Point Intercept 1'!O379 = 'Point Intercept 2'!N380, 'Point Intercept 1'!O379, "ERROR")</f>
        <v/>
      </c>
      <c r="O379" s="9" t="str">
        <f>if('Point Intercept 1'!P379 = 'Point Intercept 2'!O380, 'Point Intercept 1'!P379, "ERROR")</f>
        <v/>
      </c>
    </row>
    <row r="380">
      <c r="A380" s="9">
        <f>if('Point Intercept 1'!A380 = 'Point Intercept 2'!A380, 'Point Intercept 1'!A380, "ERROR")</f>
        <v>4</v>
      </c>
      <c r="B380" s="9">
        <f>if('Point Intercept 1'!B380 = 'Point Intercept 2'!B380, 'Point Intercept 1'!B380, "ERROR")</f>
        <v>2025</v>
      </c>
      <c r="C380" s="14">
        <f>if('Point Intercept 1'!C380 = 'Point Intercept 2'!C380, 'Point Intercept 1'!C380, "ERROR")</f>
        <v>45755</v>
      </c>
      <c r="D380" s="9" t="str">
        <f>if('Point Intercept 1'!D380 = 'Point Intercept 2'!D380, 'Point Intercept 1'!D380, "ERROR")</f>
        <v>JC, TL</v>
      </c>
      <c r="E380" s="9" t="str">
        <f>if('Point Intercept 1'!E380 = 'Point Intercept 2'!E380, 'Point Intercept 1'!E380, "ERROR")</f>
        <v>VB</v>
      </c>
      <c r="F380" s="9">
        <f>if('Point Intercept 1'!F380 = 'Point Intercept 2'!F380, 'Point Intercept 1'!F380, "ERROR")</f>
        <v>3</v>
      </c>
      <c r="G380" s="9" t="str">
        <f>if('Point Intercept 1'!G380 = 'Point Intercept 2'!G380, 'Point Intercept 1'!G380, "ERROR")</f>
        <v>LS</v>
      </c>
      <c r="H380" s="9">
        <f>if('Point Intercept 1'!I380 = 'Point Intercept 2'!I380, 'Point Intercept 1'!I380, "ERROR")</f>
        <v>9</v>
      </c>
      <c r="I380" s="9">
        <f>if('Point Intercept 1'!H380 = 'Point Intercept 2'!H380, 'Point Intercept 1'!H380, "ERROR")</f>
        <v>2</v>
      </c>
      <c r="J380" s="9">
        <f>if('Point Intercept 1'!J380 = 'Point Intercept 2'!J380, 'Point Intercept 1'!J380, "ERROR")</f>
        <v>4.5</v>
      </c>
      <c r="K380" s="9" t="str">
        <f>if('Point Intercept 1'!K380 = 'Point Intercept 2'!K380, 'Point Intercept 1'!K380, "ERROR")</f>
        <v>B</v>
      </c>
      <c r="L380" s="9" t="str">
        <f>if('Point Intercept 1'!L380 = 'Point Intercept 2'!L380, 'Point Intercept 1'!L380, "ERROR")</f>
        <v>Bareground</v>
      </c>
      <c r="M380" s="9" t="str">
        <f>if('Point Intercept 1'!N380 = 'Point Intercept 2'!M381, 'Point Intercept 1'!N380, "ERROR")</f>
        <v/>
      </c>
      <c r="N380" s="9" t="str">
        <f>if('Point Intercept 1'!O380 = 'Point Intercept 2'!N381, 'Point Intercept 1'!O380, "ERROR")</f>
        <v/>
      </c>
      <c r="O380" s="9" t="str">
        <f>if('Point Intercept 1'!P380 = 'Point Intercept 2'!O381, 'Point Intercept 1'!P380, "ERROR")</f>
        <v/>
      </c>
    </row>
    <row r="381">
      <c r="A381" s="9">
        <f>if('Point Intercept 1'!A381 = 'Point Intercept 2'!A381, 'Point Intercept 1'!A381, "ERROR")</f>
        <v>4</v>
      </c>
      <c r="B381" s="9">
        <f>if('Point Intercept 1'!B381 = 'Point Intercept 2'!B381, 'Point Intercept 1'!B381, "ERROR")</f>
        <v>2025</v>
      </c>
      <c r="C381" s="14">
        <f>if('Point Intercept 1'!C381 = 'Point Intercept 2'!C381, 'Point Intercept 1'!C381, "ERROR")</f>
        <v>45755</v>
      </c>
      <c r="D381" s="9" t="str">
        <f>if('Point Intercept 1'!D381 = 'Point Intercept 2'!D381, 'Point Intercept 1'!D381, "ERROR")</f>
        <v>JC, TL</v>
      </c>
      <c r="E381" s="9" t="str">
        <f>if('Point Intercept 1'!E381 = 'Point Intercept 2'!E381, 'Point Intercept 1'!E381, "ERROR")</f>
        <v>VB</v>
      </c>
      <c r="F381" s="9">
        <f>if('Point Intercept 1'!F381 = 'Point Intercept 2'!F381, 'Point Intercept 1'!F381, "ERROR")</f>
        <v>3</v>
      </c>
      <c r="G381" s="9" t="str">
        <f>if('Point Intercept 1'!G381 = 'Point Intercept 2'!G381, 'Point Intercept 1'!G381, "ERROR")</f>
        <v>LS</v>
      </c>
      <c r="H381" s="9">
        <f>if('Point Intercept 1'!I381 = 'Point Intercept 2'!I381, 'Point Intercept 1'!I381, "ERROR")</f>
        <v>9</v>
      </c>
      <c r="I381" s="9">
        <f>if('Point Intercept 1'!H381 = 'Point Intercept 2'!H381, 'Point Intercept 1'!H381, "ERROR")</f>
        <v>2</v>
      </c>
      <c r="J381" s="9">
        <f>if('Point Intercept 1'!J381 = 'Point Intercept 2'!J381, 'Point Intercept 1'!J381, "ERROR")</f>
        <v>4.5</v>
      </c>
      <c r="K381" s="9" t="str">
        <f>if('Point Intercept 1'!K381 = 'Point Intercept 2'!K381, 'Point Intercept 1'!K381, "ERROR")</f>
        <v>MEDPOL</v>
      </c>
      <c r="L381" s="9" t="str">
        <f>if('Point Intercept 1'!L381 = 'Point Intercept 2'!L381, 'Point Intercept 1'!L381, "ERROR")</f>
        <v>Medicago polymorpha</v>
      </c>
      <c r="M381" s="9" t="str">
        <f>if('Point Intercept 1'!N381 = 'Point Intercept 2'!M382, 'Point Intercept 1'!N381, "ERROR")</f>
        <v/>
      </c>
      <c r="N381" s="9" t="str">
        <f>if('Point Intercept 1'!O381 = 'Point Intercept 2'!N382, 'Point Intercept 1'!O381, "ERROR")</f>
        <v/>
      </c>
      <c r="O381" s="9" t="str">
        <f>if('Point Intercept 1'!P381 = 'Point Intercept 2'!O382, 'Point Intercept 1'!P381, "ERROR")</f>
        <v/>
      </c>
    </row>
    <row r="382">
      <c r="A382" s="9">
        <f>if('Point Intercept 1'!A382 = 'Point Intercept 2'!A382, 'Point Intercept 1'!A382, "ERROR")</f>
        <v>4</v>
      </c>
      <c r="B382" s="9">
        <f>if('Point Intercept 1'!B382 = 'Point Intercept 2'!B382, 'Point Intercept 1'!B382, "ERROR")</f>
        <v>2025</v>
      </c>
      <c r="C382" s="14">
        <f>if('Point Intercept 1'!C382 = 'Point Intercept 2'!C382, 'Point Intercept 1'!C382, "ERROR")</f>
        <v>45755</v>
      </c>
      <c r="D382" s="9" t="str">
        <f>if('Point Intercept 1'!D382 = 'Point Intercept 2'!D382, 'Point Intercept 1'!D382, "ERROR")</f>
        <v>JC, TL</v>
      </c>
      <c r="E382" s="9" t="str">
        <f>if('Point Intercept 1'!E382 = 'Point Intercept 2'!E382, 'Point Intercept 1'!E382, "ERROR")</f>
        <v>VB</v>
      </c>
      <c r="F382" s="9">
        <f>if('Point Intercept 1'!F382 = 'Point Intercept 2'!F382, 'Point Intercept 1'!F382, "ERROR")</f>
        <v>3</v>
      </c>
      <c r="G382" s="9" t="str">
        <f>if('Point Intercept 1'!G382 = 'Point Intercept 2'!G382, 'Point Intercept 1'!G382, "ERROR")</f>
        <v>LS</v>
      </c>
      <c r="H382" s="9">
        <f>if('Point Intercept 1'!I382 = 'Point Intercept 2'!I382, 'Point Intercept 1'!I382, "ERROR")</f>
        <v>9</v>
      </c>
      <c r="I382" s="9">
        <f>if('Point Intercept 1'!H382 = 'Point Intercept 2'!H382, 'Point Intercept 1'!H382, "ERROR")</f>
        <v>2</v>
      </c>
      <c r="J382" s="9">
        <f>if('Point Intercept 1'!J382 = 'Point Intercept 2'!J382, 'Point Intercept 1'!J382, "ERROR")</f>
        <v>4.5</v>
      </c>
      <c r="K382" s="9" t="str">
        <f>if('Point Intercept 1'!K382 = 'Point Intercept 2'!K382, 'Point Intercept 1'!K382, "ERROR")</f>
        <v>FESMYU</v>
      </c>
      <c r="L382" s="9" t="str">
        <f>if('Point Intercept 1'!L382 = 'Point Intercept 2'!L382, 'Point Intercept 1'!L382, "ERROR")</f>
        <v>Festuca myuros</v>
      </c>
      <c r="M382" s="9" t="str">
        <f>if('Point Intercept 1'!N382 = 'Point Intercept 2'!M383, 'Point Intercept 1'!N382, "ERROR")</f>
        <v/>
      </c>
      <c r="N382" s="9" t="str">
        <f>if('Point Intercept 1'!O382 = 'Point Intercept 2'!N383, 'Point Intercept 1'!O382, "ERROR")</f>
        <v/>
      </c>
      <c r="O382" s="9" t="str">
        <f>if('Point Intercept 1'!P382 = 'Point Intercept 2'!O383, 'Point Intercept 1'!P382, "ERROR")</f>
        <v/>
      </c>
    </row>
    <row r="383">
      <c r="A383" s="9">
        <f>if('Point Intercept 1'!A383 = 'Point Intercept 2'!A383, 'Point Intercept 1'!A383, "ERROR")</f>
        <v>4</v>
      </c>
      <c r="B383" s="9">
        <f>if('Point Intercept 1'!B383 = 'Point Intercept 2'!B383, 'Point Intercept 1'!B383, "ERROR")</f>
        <v>2025</v>
      </c>
      <c r="C383" s="14">
        <f>if('Point Intercept 1'!C383 = 'Point Intercept 2'!C383, 'Point Intercept 1'!C383, "ERROR")</f>
        <v>45755</v>
      </c>
      <c r="D383" s="9" t="str">
        <f>if('Point Intercept 1'!D383 = 'Point Intercept 2'!D383, 'Point Intercept 1'!D383, "ERROR")</f>
        <v>JC, TL</v>
      </c>
      <c r="E383" s="9" t="str">
        <f>if('Point Intercept 1'!E383 = 'Point Intercept 2'!E383, 'Point Intercept 1'!E383, "ERROR")</f>
        <v>VB</v>
      </c>
      <c r="F383" s="9">
        <f>if('Point Intercept 1'!F383 = 'Point Intercept 2'!F383, 'Point Intercept 1'!F383, "ERROR")</f>
        <v>3</v>
      </c>
      <c r="G383" s="9" t="str">
        <f>if('Point Intercept 1'!G383 = 'Point Intercept 2'!G383, 'Point Intercept 1'!G383, "ERROR")</f>
        <v>LS</v>
      </c>
      <c r="H383" s="9">
        <f>if('Point Intercept 1'!I383 = 'Point Intercept 2'!I383, 'Point Intercept 1'!I383, "ERROR")</f>
        <v>9</v>
      </c>
      <c r="I383" s="9">
        <f>if('Point Intercept 1'!H383 = 'Point Intercept 2'!H383, 'Point Intercept 1'!H383, "ERROR")</f>
        <v>2</v>
      </c>
      <c r="J383" s="9">
        <f>if('Point Intercept 1'!J383 = 'Point Intercept 2'!J383, 'Point Intercept 1'!J383, "ERROR")</f>
        <v>4.5</v>
      </c>
      <c r="K383" s="9" t="str">
        <f>if('Point Intercept 1'!K383 = 'Point Intercept 2'!K383, 'Point Intercept 1'!K383, "ERROR")</f>
        <v>STIPUL</v>
      </c>
      <c r="L383" s="9" t="str">
        <f>if('Point Intercept 1'!L383 = 'Point Intercept 2'!L383, 'Point Intercept 1'!L383, "ERROR")</f>
        <v>Stipa pulchra</v>
      </c>
      <c r="M383" s="9" t="str">
        <f>if('Point Intercept 1'!N383 = 'Point Intercept 2'!M384, 'Point Intercept 1'!N383, "ERROR")</f>
        <v/>
      </c>
      <c r="N383" s="9" t="str">
        <f>if('Point Intercept 1'!O383 = 'Point Intercept 2'!N384, 'Point Intercept 1'!O383, "ERROR")</f>
        <v/>
      </c>
      <c r="O383" s="9" t="str">
        <f>if('Point Intercept 1'!P383 = 'Point Intercept 2'!O384, 'Point Intercept 1'!P383, "ERROR")</f>
        <v/>
      </c>
    </row>
    <row r="384">
      <c r="A384" s="9">
        <f>if('Point Intercept 1'!A384 = 'Point Intercept 2'!A384, 'Point Intercept 1'!A384, "ERROR")</f>
        <v>4</v>
      </c>
      <c r="B384" s="9">
        <f>if('Point Intercept 1'!B384 = 'Point Intercept 2'!B384, 'Point Intercept 1'!B384, "ERROR")</f>
        <v>2025</v>
      </c>
      <c r="C384" s="14">
        <f>if('Point Intercept 1'!C384 = 'Point Intercept 2'!C384, 'Point Intercept 1'!C384, "ERROR")</f>
        <v>45755</v>
      </c>
      <c r="D384" s="9" t="str">
        <f>if('Point Intercept 1'!D384 = 'Point Intercept 2'!D384, 'Point Intercept 1'!D384, "ERROR")</f>
        <v>JC, TL</v>
      </c>
      <c r="E384" s="9" t="str">
        <f>if('Point Intercept 1'!E384 = 'Point Intercept 2'!E384, 'Point Intercept 1'!E384, "ERROR")</f>
        <v>VB</v>
      </c>
      <c r="F384" s="9">
        <f>if('Point Intercept 1'!F384 = 'Point Intercept 2'!F384, 'Point Intercept 1'!F384, "ERROR")</f>
        <v>3</v>
      </c>
      <c r="G384" s="9" t="str">
        <f>if('Point Intercept 1'!G384 = 'Point Intercept 2'!G384, 'Point Intercept 1'!G384, "ERROR")</f>
        <v>LS</v>
      </c>
      <c r="H384" s="9">
        <f>if('Point Intercept 1'!I384 = 'Point Intercept 2'!I384, 'Point Intercept 1'!I384, "ERROR")</f>
        <v>10</v>
      </c>
      <c r="I384" s="9">
        <f>if('Point Intercept 1'!H384 = 'Point Intercept 2'!H384, 'Point Intercept 1'!H384, "ERROR")</f>
        <v>2</v>
      </c>
      <c r="J384" s="9">
        <f>if('Point Intercept 1'!J384 = 'Point Intercept 2'!J384, 'Point Intercept 1'!J384, "ERROR")</f>
        <v>5</v>
      </c>
      <c r="K384" s="9" t="str">
        <f>if('Point Intercept 1'!K384 = 'Point Intercept 2'!K384, 'Point Intercept 1'!K384, "ERROR")</f>
        <v>L</v>
      </c>
      <c r="L384" s="9" t="str">
        <f>if('Point Intercept 1'!L384 = 'Point Intercept 2'!L384, 'Point Intercept 1'!L384, "ERROR")</f>
        <v>Litter</v>
      </c>
      <c r="M384" s="9" t="str">
        <f>if('Point Intercept 1'!N384 = 'Point Intercept 2'!M385, 'Point Intercept 1'!N384, "ERROR")</f>
        <v/>
      </c>
      <c r="N384" s="9" t="str">
        <f>if('Point Intercept 1'!O384 = 'Point Intercept 2'!N385, 'Point Intercept 1'!O384, "ERROR")</f>
        <v/>
      </c>
      <c r="O384" s="9" t="str">
        <f>if('Point Intercept 1'!P384 = 'Point Intercept 2'!O385, 'Point Intercept 1'!P384, "ERROR")</f>
        <v/>
      </c>
    </row>
    <row r="385">
      <c r="A385" s="9">
        <f>if('Point Intercept 1'!A385 = 'Point Intercept 2'!A385, 'Point Intercept 1'!A385, "ERROR")</f>
        <v>4</v>
      </c>
      <c r="B385" s="9">
        <f>if('Point Intercept 1'!B385 = 'Point Intercept 2'!B385, 'Point Intercept 1'!B385, "ERROR")</f>
        <v>2025</v>
      </c>
      <c r="C385" s="14">
        <f>if('Point Intercept 1'!C385 = 'Point Intercept 2'!C385, 'Point Intercept 1'!C385, "ERROR")</f>
        <v>45755</v>
      </c>
      <c r="D385" s="9" t="str">
        <f>if('Point Intercept 1'!D385 = 'Point Intercept 2'!D385, 'Point Intercept 1'!D385, "ERROR")</f>
        <v>JC, TL</v>
      </c>
      <c r="E385" s="9" t="str">
        <f>if('Point Intercept 1'!E385 = 'Point Intercept 2'!E385, 'Point Intercept 1'!E385, "ERROR")</f>
        <v>VB</v>
      </c>
      <c r="F385" s="9">
        <f>if('Point Intercept 1'!F385 = 'Point Intercept 2'!F385, 'Point Intercept 1'!F385, "ERROR")</f>
        <v>3</v>
      </c>
      <c r="G385" s="9" t="str">
        <f>if('Point Intercept 1'!G385 = 'Point Intercept 2'!G385, 'Point Intercept 1'!G385, "ERROR")</f>
        <v>LS</v>
      </c>
      <c r="H385" s="9">
        <f>if('Point Intercept 1'!I385 = 'Point Intercept 2'!I385, 'Point Intercept 1'!I385, "ERROR")</f>
        <v>10</v>
      </c>
      <c r="I385" s="9">
        <f>if('Point Intercept 1'!H385 = 'Point Intercept 2'!H385, 'Point Intercept 1'!H385, "ERROR")</f>
        <v>2</v>
      </c>
      <c r="J385" s="9">
        <f>if('Point Intercept 1'!J385 = 'Point Intercept 2'!J385, 'Point Intercept 1'!J385, "ERROR")</f>
        <v>5</v>
      </c>
      <c r="K385" s="9" t="str">
        <f>if('Point Intercept 1'!K385 = 'Point Intercept 2'!K385, 'Point Intercept 1'!K385, "ERROR")</f>
        <v>ANAARV</v>
      </c>
      <c r="L385" s="9" t="str">
        <f>if('Point Intercept 1'!L385 = 'Point Intercept 2'!L385, 'Point Intercept 1'!L385, "ERROR")</f>
        <v>Anagallis arvensis</v>
      </c>
      <c r="M385" s="9" t="str">
        <f>if('Point Intercept 1'!N385 = 'Point Intercept 2'!M386, 'Point Intercept 1'!N385, "ERROR")</f>
        <v/>
      </c>
      <c r="N385" s="9" t="str">
        <f>if('Point Intercept 1'!O385 = 'Point Intercept 2'!N386, 'Point Intercept 1'!O385, "ERROR")</f>
        <v/>
      </c>
      <c r="O385" s="9" t="str">
        <f>if('Point Intercept 1'!P385 = 'Point Intercept 2'!O386, 'Point Intercept 1'!P385, "ERROR")</f>
        <v/>
      </c>
    </row>
    <row r="386">
      <c r="A386" s="9">
        <f>if('Point Intercept 1'!A386 = 'Point Intercept 2'!A386, 'Point Intercept 1'!A386, "ERROR")</f>
        <v>4</v>
      </c>
      <c r="B386" s="9">
        <f>if('Point Intercept 1'!B386 = 'Point Intercept 2'!B386, 'Point Intercept 1'!B386, "ERROR")</f>
        <v>2025</v>
      </c>
      <c r="C386" s="14">
        <f>if('Point Intercept 1'!C386 = 'Point Intercept 2'!C386, 'Point Intercept 1'!C386, "ERROR")</f>
        <v>45755</v>
      </c>
      <c r="D386" s="9" t="str">
        <f>if('Point Intercept 1'!D386 = 'Point Intercept 2'!D386, 'Point Intercept 1'!D386, "ERROR")</f>
        <v>JC, TL</v>
      </c>
      <c r="E386" s="9" t="str">
        <f>if('Point Intercept 1'!E386 = 'Point Intercept 2'!E386, 'Point Intercept 1'!E386, "ERROR")</f>
        <v>VB</v>
      </c>
      <c r="F386" s="9">
        <f>if('Point Intercept 1'!F386 = 'Point Intercept 2'!F386, 'Point Intercept 1'!F386, "ERROR")</f>
        <v>3</v>
      </c>
      <c r="G386" s="9" t="str">
        <f>if('Point Intercept 1'!G386 = 'Point Intercept 2'!G386, 'Point Intercept 1'!G386, "ERROR")</f>
        <v>LS</v>
      </c>
      <c r="H386" s="9">
        <f>if('Point Intercept 1'!I386 = 'Point Intercept 2'!I386, 'Point Intercept 1'!I386, "ERROR")</f>
        <v>10</v>
      </c>
      <c r="I386" s="9">
        <f>if('Point Intercept 1'!H386 = 'Point Intercept 2'!H386, 'Point Intercept 1'!H386, "ERROR")</f>
        <v>2</v>
      </c>
      <c r="J386" s="9">
        <f>if('Point Intercept 1'!J386 = 'Point Intercept 2'!J386, 'Point Intercept 1'!J386, "ERROR")</f>
        <v>5</v>
      </c>
      <c r="K386" s="9" t="str">
        <f>if('Point Intercept 1'!K386 = 'Point Intercept 2'!K386, 'Point Intercept 1'!K386, "ERROR")</f>
        <v>FESMYU</v>
      </c>
      <c r="L386" s="9" t="str">
        <f>if('Point Intercept 1'!L386 = 'Point Intercept 2'!L386, 'Point Intercept 1'!L386, "ERROR")</f>
        <v>Festuca myuros</v>
      </c>
      <c r="M386" s="9" t="str">
        <f>if('Point Intercept 1'!N386 = 'Point Intercept 2'!M387, 'Point Intercept 1'!N386, "ERROR")</f>
        <v/>
      </c>
      <c r="N386" s="9" t="str">
        <f>if('Point Intercept 1'!O386 = 'Point Intercept 2'!N387, 'Point Intercept 1'!O386, "ERROR")</f>
        <v/>
      </c>
      <c r="O386" s="9" t="str">
        <f>if('Point Intercept 1'!P386 = 'Point Intercept 2'!O387, 'Point Intercept 1'!P386, "ERROR")</f>
        <v/>
      </c>
    </row>
    <row r="387">
      <c r="A387" s="9">
        <f>if('Point Intercept 1'!A387 = 'Point Intercept 2'!A387, 'Point Intercept 1'!A387, "ERROR")</f>
        <v>4</v>
      </c>
      <c r="B387" s="9">
        <f>if('Point Intercept 1'!B387 = 'Point Intercept 2'!B387, 'Point Intercept 1'!B387, "ERROR")</f>
        <v>2025</v>
      </c>
      <c r="C387" s="14">
        <f>if('Point Intercept 1'!C387 = 'Point Intercept 2'!C387, 'Point Intercept 1'!C387, "ERROR")</f>
        <v>45755</v>
      </c>
      <c r="D387" s="9" t="str">
        <f>if('Point Intercept 1'!D387 = 'Point Intercept 2'!D387, 'Point Intercept 1'!D387, "ERROR")</f>
        <v>JC, TL</v>
      </c>
      <c r="E387" s="9" t="str">
        <f>if('Point Intercept 1'!E387 = 'Point Intercept 2'!E387, 'Point Intercept 1'!E387, "ERROR")</f>
        <v>VB</v>
      </c>
      <c r="F387" s="9">
        <f>if('Point Intercept 1'!F387 = 'Point Intercept 2'!F387, 'Point Intercept 1'!F387, "ERROR")</f>
        <v>3</v>
      </c>
      <c r="G387" s="9" t="str">
        <f>if('Point Intercept 1'!G387 = 'Point Intercept 2'!G387, 'Point Intercept 1'!G387, "ERROR")</f>
        <v>LS</v>
      </c>
      <c r="H387" s="9">
        <f>if('Point Intercept 1'!I387 = 'Point Intercept 2'!I387, 'Point Intercept 1'!I387, "ERROR")</f>
        <v>11</v>
      </c>
      <c r="I387" s="9">
        <f>if('Point Intercept 1'!H387 = 'Point Intercept 2'!H387, 'Point Intercept 1'!H387, "ERROR")</f>
        <v>2</v>
      </c>
      <c r="J387" s="9">
        <f>if('Point Intercept 1'!J387 = 'Point Intercept 2'!J387, 'Point Intercept 1'!J387, "ERROR")</f>
        <v>5.5</v>
      </c>
      <c r="K387" s="9" t="str">
        <f>if('Point Intercept 1'!K387 = 'Point Intercept 2'!K387, 'Point Intercept 1'!K387, "ERROR")</f>
        <v>TH</v>
      </c>
      <c r="L387" s="9" t="str">
        <f>if('Point Intercept 1'!L387 = 'Point Intercept 2'!L387, 'Point Intercept 1'!L387, "ERROR")</f>
        <v>Thatch</v>
      </c>
      <c r="M387" s="9" t="str">
        <f>if('Point Intercept 1'!N387 = 'Point Intercept 2'!M388, 'Point Intercept 1'!N387, "ERROR")</f>
        <v/>
      </c>
      <c r="N387" s="9" t="str">
        <f>if('Point Intercept 1'!O387 = 'Point Intercept 2'!N388, 'Point Intercept 1'!O387, "ERROR")</f>
        <v/>
      </c>
      <c r="O387" s="9" t="str">
        <f>if('Point Intercept 1'!P387 = 'Point Intercept 2'!O388, 'Point Intercept 1'!P387, "ERROR")</f>
        <v/>
      </c>
    </row>
    <row r="388">
      <c r="A388" s="9">
        <f>if('Point Intercept 1'!A388 = 'Point Intercept 2'!A388, 'Point Intercept 1'!A388, "ERROR")</f>
        <v>4</v>
      </c>
      <c r="B388" s="9">
        <f>if('Point Intercept 1'!B388 = 'Point Intercept 2'!B388, 'Point Intercept 1'!B388, "ERROR")</f>
        <v>2025</v>
      </c>
      <c r="C388" s="14">
        <f>if('Point Intercept 1'!C388 = 'Point Intercept 2'!C388, 'Point Intercept 1'!C388, "ERROR")</f>
        <v>45755</v>
      </c>
      <c r="D388" s="9" t="str">
        <f>if('Point Intercept 1'!D388 = 'Point Intercept 2'!D388, 'Point Intercept 1'!D388, "ERROR")</f>
        <v>JC, TL</v>
      </c>
      <c r="E388" s="9" t="str">
        <f>if('Point Intercept 1'!E388 = 'Point Intercept 2'!E388, 'Point Intercept 1'!E388, "ERROR")</f>
        <v>VB</v>
      </c>
      <c r="F388" s="9">
        <f>if('Point Intercept 1'!F388 = 'Point Intercept 2'!F388, 'Point Intercept 1'!F388, "ERROR")</f>
        <v>3</v>
      </c>
      <c r="G388" s="9" t="str">
        <f>if('Point Intercept 1'!G388 = 'Point Intercept 2'!G388, 'Point Intercept 1'!G388, "ERROR")</f>
        <v>LS</v>
      </c>
      <c r="H388" s="9">
        <f>if('Point Intercept 1'!I388 = 'Point Intercept 2'!I388, 'Point Intercept 1'!I388, "ERROR")</f>
        <v>11</v>
      </c>
      <c r="I388" s="9">
        <f>if('Point Intercept 1'!H388 = 'Point Intercept 2'!H388, 'Point Intercept 1'!H388, "ERROR")</f>
        <v>2</v>
      </c>
      <c r="J388" s="9">
        <f>if('Point Intercept 1'!J388 = 'Point Intercept 2'!J388, 'Point Intercept 1'!J388, "ERROR")</f>
        <v>5.5</v>
      </c>
      <c r="K388" s="9" t="str">
        <f>if('Point Intercept 1'!K388 = 'Point Intercept 2'!K388, 'Point Intercept 1'!K388, "ERROR")</f>
        <v>DEIFAS</v>
      </c>
      <c r="L388" s="9" t="str">
        <f>if('Point Intercept 1'!L388 = 'Point Intercept 2'!L388, 'Point Intercept 1'!L388, "ERROR")</f>
        <v>Deinandra fasciculata</v>
      </c>
      <c r="M388" s="9" t="str">
        <f>if('Point Intercept 1'!N388 = 'Point Intercept 2'!M389, 'Point Intercept 1'!N388, "ERROR")</f>
        <v/>
      </c>
      <c r="N388" s="9" t="str">
        <f>if('Point Intercept 1'!O388 = 'Point Intercept 2'!N389, 'Point Intercept 1'!O388, "ERROR")</f>
        <v/>
      </c>
      <c r="O388" s="9" t="str">
        <f>if('Point Intercept 1'!P388 = 'Point Intercept 2'!O389, 'Point Intercept 1'!P388, "ERROR")</f>
        <v/>
      </c>
    </row>
    <row r="389">
      <c r="A389" s="9">
        <f>if('Point Intercept 1'!A389 = 'Point Intercept 2'!A389, 'Point Intercept 1'!A389, "ERROR")</f>
        <v>4</v>
      </c>
      <c r="B389" s="9">
        <f>if('Point Intercept 1'!B389 = 'Point Intercept 2'!B389, 'Point Intercept 1'!B389, "ERROR")</f>
        <v>2025</v>
      </c>
      <c r="C389" s="14">
        <f>if('Point Intercept 1'!C389 = 'Point Intercept 2'!C389, 'Point Intercept 1'!C389, "ERROR")</f>
        <v>45755</v>
      </c>
      <c r="D389" s="9" t="str">
        <f>if('Point Intercept 1'!D389 = 'Point Intercept 2'!D389, 'Point Intercept 1'!D389, "ERROR")</f>
        <v>JC, TL</v>
      </c>
      <c r="E389" s="9" t="str">
        <f>if('Point Intercept 1'!E389 = 'Point Intercept 2'!E389, 'Point Intercept 1'!E389, "ERROR")</f>
        <v>VB</v>
      </c>
      <c r="F389" s="9">
        <f>if('Point Intercept 1'!F389 = 'Point Intercept 2'!F389, 'Point Intercept 1'!F389, "ERROR")</f>
        <v>3</v>
      </c>
      <c r="G389" s="9" t="str">
        <f>if('Point Intercept 1'!G389 = 'Point Intercept 2'!G389, 'Point Intercept 1'!G389, "ERROR")</f>
        <v>LS</v>
      </c>
      <c r="H389" s="9">
        <f>if('Point Intercept 1'!I389 = 'Point Intercept 2'!I389, 'Point Intercept 1'!I389, "ERROR")</f>
        <v>11</v>
      </c>
      <c r="I389" s="9">
        <f>if('Point Intercept 1'!H389 = 'Point Intercept 2'!H389, 'Point Intercept 1'!H389, "ERROR")</f>
        <v>2</v>
      </c>
      <c r="J389" s="9">
        <f>if('Point Intercept 1'!J389 = 'Point Intercept 2'!J389, 'Point Intercept 1'!J389, "ERROR")</f>
        <v>5.5</v>
      </c>
      <c r="K389" s="9" t="str">
        <f>if('Point Intercept 1'!K389 = 'Point Intercept 2'!K389, 'Point Intercept 1'!K389, "ERROR")</f>
        <v>CENMEL</v>
      </c>
      <c r="L389" s="9" t="str">
        <f>if('Point Intercept 1'!L389 = 'Point Intercept 2'!L389, 'Point Intercept 1'!L389, "ERROR")</f>
        <v>Centaurea melitensis</v>
      </c>
      <c r="M389" s="9" t="str">
        <f>if('Point Intercept 1'!N389 = 'Point Intercept 2'!M390, 'Point Intercept 1'!N389, "ERROR")</f>
        <v/>
      </c>
      <c r="N389" s="9" t="str">
        <f>if('Point Intercept 1'!O389 = 'Point Intercept 2'!N390, 'Point Intercept 1'!O389, "ERROR")</f>
        <v/>
      </c>
      <c r="O389" s="9" t="str">
        <f>if('Point Intercept 1'!P389 = 'Point Intercept 2'!O390, 'Point Intercept 1'!P389, "ERROR")</f>
        <v/>
      </c>
    </row>
    <row r="390">
      <c r="A390" s="9">
        <f>if('Point Intercept 1'!A390 = 'Point Intercept 2'!A390, 'Point Intercept 1'!A390, "ERROR")</f>
        <v>4</v>
      </c>
      <c r="B390" s="9">
        <f>if('Point Intercept 1'!B390 = 'Point Intercept 2'!B390, 'Point Intercept 1'!B390, "ERROR")</f>
        <v>2025</v>
      </c>
      <c r="C390" s="14">
        <f>if('Point Intercept 1'!C390 = 'Point Intercept 2'!C390, 'Point Intercept 1'!C390, "ERROR")</f>
        <v>45755</v>
      </c>
      <c r="D390" s="9" t="str">
        <f>if('Point Intercept 1'!D390 = 'Point Intercept 2'!D390, 'Point Intercept 1'!D390, "ERROR")</f>
        <v>JC, TL</v>
      </c>
      <c r="E390" s="9" t="str">
        <f>if('Point Intercept 1'!E390 = 'Point Intercept 2'!E390, 'Point Intercept 1'!E390, "ERROR")</f>
        <v>VB</v>
      </c>
      <c r="F390" s="9">
        <f>if('Point Intercept 1'!F390 = 'Point Intercept 2'!F390, 'Point Intercept 1'!F390, "ERROR")</f>
        <v>3</v>
      </c>
      <c r="G390" s="9" t="str">
        <f>if('Point Intercept 1'!G390 = 'Point Intercept 2'!G390, 'Point Intercept 1'!G390, "ERROR")</f>
        <v>LS</v>
      </c>
      <c r="H390" s="9">
        <f>if('Point Intercept 1'!I390 = 'Point Intercept 2'!I390, 'Point Intercept 1'!I390, "ERROR")</f>
        <v>11</v>
      </c>
      <c r="I390" s="9">
        <f>if('Point Intercept 1'!H390 = 'Point Intercept 2'!H390, 'Point Intercept 1'!H390, "ERROR")</f>
        <v>2</v>
      </c>
      <c r="J390" s="9">
        <f>if('Point Intercept 1'!J390 = 'Point Intercept 2'!J390, 'Point Intercept 1'!J390, "ERROR")</f>
        <v>5.5</v>
      </c>
      <c r="K390" s="9" t="str">
        <f>if('Point Intercept 1'!K390 = 'Point Intercept 2'!K390, 'Point Intercept 1'!K390, "ERROR")</f>
        <v>FESMYU</v>
      </c>
      <c r="L390" s="9" t="str">
        <f>if('Point Intercept 1'!L390 = 'Point Intercept 2'!L390, 'Point Intercept 1'!L390, "ERROR")</f>
        <v>Festuca myuros</v>
      </c>
      <c r="M390" s="9" t="str">
        <f>if('Point Intercept 1'!N390 = 'Point Intercept 2'!M391, 'Point Intercept 1'!N390, "ERROR")</f>
        <v/>
      </c>
      <c r="N390" s="9" t="str">
        <f>if('Point Intercept 1'!O390 = 'Point Intercept 2'!N391, 'Point Intercept 1'!O390, "ERROR")</f>
        <v/>
      </c>
      <c r="O390" s="9" t="str">
        <f>if('Point Intercept 1'!P390 = 'Point Intercept 2'!O391, 'Point Intercept 1'!P390, "ERROR")</f>
        <v/>
      </c>
    </row>
    <row r="391">
      <c r="A391" s="9">
        <f>if('Point Intercept 1'!A391 = 'Point Intercept 2'!A391, 'Point Intercept 1'!A391, "ERROR")</f>
        <v>4</v>
      </c>
      <c r="B391" s="9">
        <f>if('Point Intercept 1'!B391 = 'Point Intercept 2'!B391, 'Point Intercept 1'!B391, "ERROR")</f>
        <v>2025</v>
      </c>
      <c r="C391" s="14">
        <f>if('Point Intercept 1'!C391 = 'Point Intercept 2'!C391, 'Point Intercept 1'!C391, "ERROR")</f>
        <v>45755</v>
      </c>
      <c r="D391" s="9" t="str">
        <f>if('Point Intercept 1'!D391 = 'Point Intercept 2'!D391, 'Point Intercept 1'!D391, "ERROR")</f>
        <v>JC, TL</v>
      </c>
      <c r="E391" s="9" t="str">
        <f>if('Point Intercept 1'!E391 = 'Point Intercept 2'!E391, 'Point Intercept 1'!E391, "ERROR")</f>
        <v>VB</v>
      </c>
      <c r="F391" s="9">
        <f>if('Point Intercept 1'!F391 = 'Point Intercept 2'!F391, 'Point Intercept 1'!F391, "ERROR")</f>
        <v>3</v>
      </c>
      <c r="G391" s="9" t="str">
        <f>if('Point Intercept 1'!G391 = 'Point Intercept 2'!G391, 'Point Intercept 1'!G391, "ERROR")</f>
        <v>LS</v>
      </c>
      <c r="H391" s="9">
        <f>if('Point Intercept 1'!I391 = 'Point Intercept 2'!I391, 'Point Intercept 1'!I391, "ERROR")</f>
        <v>12</v>
      </c>
      <c r="I391" s="9">
        <f>if('Point Intercept 1'!H391 = 'Point Intercept 2'!H391, 'Point Intercept 1'!H391, "ERROR")</f>
        <v>2</v>
      </c>
      <c r="J391" s="9">
        <f>if('Point Intercept 1'!J391 = 'Point Intercept 2'!J391, 'Point Intercept 1'!J391, "ERROR")</f>
        <v>6</v>
      </c>
      <c r="K391" s="9" t="str">
        <f>if('Point Intercept 1'!K391 = 'Point Intercept 2'!K391, 'Point Intercept 1'!K391, "ERROR")</f>
        <v>L</v>
      </c>
      <c r="L391" s="9" t="str">
        <f>if('Point Intercept 1'!L391 = 'Point Intercept 2'!L391, 'Point Intercept 1'!L391, "ERROR")</f>
        <v>Litter</v>
      </c>
      <c r="M391" s="9" t="str">
        <f>if('Point Intercept 1'!N391 = 'Point Intercept 2'!M392, 'Point Intercept 1'!N391, "ERROR")</f>
        <v/>
      </c>
      <c r="N391" s="9" t="str">
        <f>if('Point Intercept 1'!O391 = 'Point Intercept 2'!N392, 'Point Intercept 1'!O391, "ERROR")</f>
        <v/>
      </c>
      <c r="O391" s="9" t="str">
        <f>if('Point Intercept 1'!P391 = 'Point Intercept 2'!O392, 'Point Intercept 1'!P391, "ERROR")</f>
        <v/>
      </c>
    </row>
    <row r="392">
      <c r="A392" s="9">
        <f>if('Point Intercept 1'!A392 = 'Point Intercept 2'!A392, 'Point Intercept 1'!A392, "ERROR")</f>
        <v>4</v>
      </c>
      <c r="B392" s="9">
        <f>if('Point Intercept 1'!B392 = 'Point Intercept 2'!B392, 'Point Intercept 1'!B392, "ERROR")</f>
        <v>2025</v>
      </c>
      <c r="C392" s="14">
        <f>if('Point Intercept 1'!C392 = 'Point Intercept 2'!C392, 'Point Intercept 1'!C392, "ERROR")</f>
        <v>45755</v>
      </c>
      <c r="D392" s="9" t="str">
        <f>if('Point Intercept 1'!D392 = 'Point Intercept 2'!D392, 'Point Intercept 1'!D392, "ERROR")</f>
        <v>JC, TL</v>
      </c>
      <c r="E392" s="9" t="str">
        <f>if('Point Intercept 1'!E392 = 'Point Intercept 2'!E392, 'Point Intercept 1'!E392, "ERROR")</f>
        <v>VB</v>
      </c>
      <c r="F392" s="9">
        <f>if('Point Intercept 1'!F392 = 'Point Intercept 2'!F392, 'Point Intercept 1'!F392, "ERROR")</f>
        <v>3</v>
      </c>
      <c r="G392" s="9" t="str">
        <f>if('Point Intercept 1'!G392 = 'Point Intercept 2'!G392, 'Point Intercept 1'!G392, "ERROR")</f>
        <v>LS</v>
      </c>
      <c r="H392" s="9">
        <f>if('Point Intercept 1'!I392 = 'Point Intercept 2'!I392, 'Point Intercept 1'!I392, "ERROR")</f>
        <v>12</v>
      </c>
      <c r="I392" s="9">
        <f>if('Point Intercept 1'!H392 = 'Point Intercept 2'!H392, 'Point Intercept 1'!H392, "ERROR")</f>
        <v>2</v>
      </c>
      <c r="J392" s="9">
        <f>if('Point Intercept 1'!J392 = 'Point Intercept 2'!J392, 'Point Intercept 1'!J392, "ERROR")</f>
        <v>6</v>
      </c>
      <c r="K392" s="9" t="str">
        <f>if('Point Intercept 1'!K392 = 'Point Intercept 2'!K392, 'Point Intercept 1'!K392, "ERROR")</f>
        <v>UROLIN</v>
      </c>
      <c r="L392" s="9" t="str">
        <f>if('Point Intercept 1'!L392 = 'Point Intercept 2'!L392, 'Point Intercept 1'!L392, "ERROR")</f>
        <v>Uropappus lindleyi</v>
      </c>
      <c r="M392" s="9" t="str">
        <f>if('Point Intercept 1'!N392 = 'Point Intercept 2'!M393, 'Point Intercept 1'!N392, "ERROR")</f>
        <v/>
      </c>
      <c r="N392" s="9" t="str">
        <f>if('Point Intercept 1'!O392 = 'Point Intercept 2'!N393, 'Point Intercept 1'!O392, "ERROR")</f>
        <v/>
      </c>
      <c r="O392" s="9" t="str">
        <f>if('Point Intercept 1'!P392 = 'Point Intercept 2'!O393, 'Point Intercept 1'!P392, "ERROR")</f>
        <v/>
      </c>
    </row>
    <row r="393">
      <c r="A393" s="9">
        <f>if('Point Intercept 1'!A393 = 'Point Intercept 2'!A393, 'Point Intercept 1'!A393, "ERROR")</f>
        <v>4</v>
      </c>
      <c r="B393" s="9">
        <f>if('Point Intercept 1'!B393 = 'Point Intercept 2'!B393, 'Point Intercept 1'!B393, "ERROR")</f>
        <v>2025</v>
      </c>
      <c r="C393" s="14">
        <f>if('Point Intercept 1'!C393 = 'Point Intercept 2'!C393, 'Point Intercept 1'!C393, "ERROR")</f>
        <v>45755</v>
      </c>
      <c r="D393" s="9" t="str">
        <f>if('Point Intercept 1'!D393 = 'Point Intercept 2'!D393, 'Point Intercept 1'!D393, "ERROR")</f>
        <v>JC, TL</v>
      </c>
      <c r="E393" s="9" t="str">
        <f>if('Point Intercept 1'!E393 = 'Point Intercept 2'!E393, 'Point Intercept 1'!E393, "ERROR")</f>
        <v>VB</v>
      </c>
      <c r="F393" s="9">
        <f>if('Point Intercept 1'!F393 = 'Point Intercept 2'!F393, 'Point Intercept 1'!F393, "ERROR")</f>
        <v>3</v>
      </c>
      <c r="G393" s="9" t="str">
        <f>if('Point Intercept 1'!G393 = 'Point Intercept 2'!G393, 'Point Intercept 1'!G393, "ERROR")</f>
        <v>LS</v>
      </c>
      <c r="H393" s="9">
        <f>if('Point Intercept 1'!I393 = 'Point Intercept 2'!I393, 'Point Intercept 1'!I393, "ERROR")</f>
        <v>12</v>
      </c>
      <c r="I393" s="9">
        <f>if('Point Intercept 1'!H393 = 'Point Intercept 2'!H393, 'Point Intercept 1'!H393, "ERROR")</f>
        <v>2</v>
      </c>
      <c r="J393" s="9">
        <f>if('Point Intercept 1'!J393 = 'Point Intercept 2'!J393, 'Point Intercept 1'!J393, "ERROR")</f>
        <v>6</v>
      </c>
      <c r="K393" s="9" t="str">
        <f>if('Point Intercept 1'!K393 = 'Point Intercept 2'!K393, 'Point Intercept 1'!K393, "ERROR")</f>
        <v>FESMYU</v>
      </c>
      <c r="L393" s="9" t="str">
        <f>if('Point Intercept 1'!L393 = 'Point Intercept 2'!L393, 'Point Intercept 1'!L393, "ERROR")</f>
        <v>Festuca myuros</v>
      </c>
      <c r="M393" s="9" t="str">
        <f>if('Point Intercept 1'!N393 = 'Point Intercept 2'!M394, 'Point Intercept 1'!N393, "ERROR")</f>
        <v/>
      </c>
      <c r="N393" s="9" t="str">
        <f>if('Point Intercept 1'!O393 = 'Point Intercept 2'!N394, 'Point Intercept 1'!O393, "ERROR")</f>
        <v/>
      </c>
      <c r="O393" s="9" t="str">
        <f>if('Point Intercept 1'!P393 = 'Point Intercept 2'!O394, 'Point Intercept 1'!P393, "ERROR")</f>
        <v/>
      </c>
    </row>
    <row r="394">
      <c r="A394" s="9">
        <f>if('Point Intercept 1'!A394 = 'Point Intercept 2'!A394, 'Point Intercept 1'!A394, "ERROR")</f>
        <v>4</v>
      </c>
      <c r="B394" s="9">
        <f>if('Point Intercept 1'!B394 = 'Point Intercept 2'!B394, 'Point Intercept 1'!B394, "ERROR")</f>
        <v>2025</v>
      </c>
      <c r="C394" s="14">
        <f>if('Point Intercept 1'!C394 = 'Point Intercept 2'!C394, 'Point Intercept 1'!C394, "ERROR")</f>
        <v>45755</v>
      </c>
      <c r="D394" s="9" t="str">
        <f>if('Point Intercept 1'!D394 = 'Point Intercept 2'!D394, 'Point Intercept 1'!D394, "ERROR")</f>
        <v>JC, TL</v>
      </c>
      <c r="E394" s="9" t="str">
        <f>if('Point Intercept 1'!E394 = 'Point Intercept 2'!E394, 'Point Intercept 1'!E394, "ERROR")</f>
        <v>VB</v>
      </c>
      <c r="F394" s="9">
        <f>if('Point Intercept 1'!F394 = 'Point Intercept 2'!F394, 'Point Intercept 1'!F394, "ERROR")</f>
        <v>3</v>
      </c>
      <c r="G394" s="9" t="str">
        <f>if('Point Intercept 1'!G394 = 'Point Intercept 2'!G394, 'Point Intercept 1'!G394, "ERROR")</f>
        <v>LS</v>
      </c>
      <c r="H394" s="9">
        <f>if('Point Intercept 1'!I394 = 'Point Intercept 2'!I394, 'Point Intercept 1'!I394, "ERROR")</f>
        <v>13</v>
      </c>
      <c r="I394" s="9">
        <f>if('Point Intercept 1'!H394 = 'Point Intercept 2'!H394, 'Point Intercept 1'!H394, "ERROR")</f>
        <v>2</v>
      </c>
      <c r="J394" s="9">
        <f>if('Point Intercept 1'!J394 = 'Point Intercept 2'!J394, 'Point Intercept 1'!J394, "ERROR")</f>
        <v>6.5</v>
      </c>
      <c r="K394" s="9" t="str">
        <f>if('Point Intercept 1'!K394 = 'Point Intercept 2'!K394, 'Point Intercept 1'!K394, "ERROR")</f>
        <v>L</v>
      </c>
      <c r="L394" s="9" t="str">
        <f>if('Point Intercept 1'!L394 = 'Point Intercept 2'!L394, 'Point Intercept 1'!L394, "ERROR")</f>
        <v>Litter</v>
      </c>
      <c r="M394" s="9" t="str">
        <f>if('Point Intercept 1'!N394 = 'Point Intercept 2'!M395, 'Point Intercept 1'!N394, "ERROR")</f>
        <v/>
      </c>
      <c r="N394" s="9" t="str">
        <f>if('Point Intercept 1'!O394 = 'Point Intercept 2'!N395, 'Point Intercept 1'!O394, "ERROR")</f>
        <v/>
      </c>
      <c r="O394" s="9" t="str">
        <f>if('Point Intercept 1'!P394 = 'Point Intercept 2'!O395, 'Point Intercept 1'!P394, "ERROR")</f>
        <v/>
      </c>
    </row>
    <row r="395">
      <c r="A395" s="9">
        <f>if('Point Intercept 1'!A395 = 'Point Intercept 2'!A395, 'Point Intercept 1'!A395, "ERROR")</f>
        <v>4</v>
      </c>
      <c r="B395" s="9">
        <f>if('Point Intercept 1'!B395 = 'Point Intercept 2'!B395, 'Point Intercept 1'!B395, "ERROR")</f>
        <v>2025</v>
      </c>
      <c r="C395" s="14">
        <f>if('Point Intercept 1'!C395 = 'Point Intercept 2'!C395, 'Point Intercept 1'!C395, "ERROR")</f>
        <v>45755</v>
      </c>
      <c r="D395" s="9" t="str">
        <f>if('Point Intercept 1'!D395 = 'Point Intercept 2'!D395, 'Point Intercept 1'!D395, "ERROR")</f>
        <v>JC, TL</v>
      </c>
      <c r="E395" s="9" t="str">
        <f>if('Point Intercept 1'!E395 = 'Point Intercept 2'!E395, 'Point Intercept 1'!E395, "ERROR")</f>
        <v>VB</v>
      </c>
      <c r="F395" s="9">
        <f>if('Point Intercept 1'!F395 = 'Point Intercept 2'!F395, 'Point Intercept 1'!F395, "ERROR")</f>
        <v>3</v>
      </c>
      <c r="G395" s="9" t="str">
        <f>if('Point Intercept 1'!G395 = 'Point Intercept 2'!G395, 'Point Intercept 1'!G395, "ERROR")</f>
        <v>LS</v>
      </c>
      <c r="H395" s="9">
        <f>if('Point Intercept 1'!I395 = 'Point Intercept 2'!I395, 'Point Intercept 1'!I395, "ERROR")</f>
        <v>13</v>
      </c>
      <c r="I395" s="9">
        <f>if('Point Intercept 1'!H395 = 'Point Intercept 2'!H395, 'Point Intercept 1'!H395, "ERROR")</f>
        <v>2</v>
      </c>
      <c r="J395" s="9">
        <f>if('Point Intercept 1'!J395 = 'Point Intercept 2'!J395, 'Point Intercept 1'!J395, "ERROR")</f>
        <v>6.5</v>
      </c>
      <c r="K395" s="9" t="str">
        <f>if('Point Intercept 1'!K395 = 'Point Intercept 2'!K395, 'Point Intercept 1'!K395, "ERROR")</f>
        <v>DEIFAS</v>
      </c>
      <c r="L395" s="9" t="str">
        <f>if('Point Intercept 1'!L395 = 'Point Intercept 2'!L395, 'Point Intercept 1'!L395, "ERROR")</f>
        <v>Deinandra fasciculata</v>
      </c>
      <c r="M395" s="9" t="str">
        <f>if('Point Intercept 1'!N395 = 'Point Intercept 2'!M396, 'Point Intercept 1'!N395, "ERROR")</f>
        <v/>
      </c>
      <c r="N395" s="9" t="str">
        <f>if('Point Intercept 1'!O395 = 'Point Intercept 2'!N396, 'Point Intercept 1'!O395, "ERROR")</f>
        <v/>
      </c>
      <c r="O395" s="9" t="str">
        <f>if('Point Intercept 1'!P395 = 'Point Intercept 2'!O396, 'Point Intercept 1'!P395, "ERROR")</f>
        <v/>
      </c>
    </row>
    <row r="396">
      <c r="A396" s="9">
        <f>if('Point Intercept 1'!A396 = 'Point Intercept 2'!A396, 'Point Intercept 1'!A396, "ERROR")</f>
        <v>4</v>
      </c>
      <c r="B396" s="9">
        <f>if('Point Intercept 1'!B396 = 'Point Intercept 2'!B396, 'Point Intercept 1'!B396, "ERROR")</f>
        <v>2025</v>
      </c>
      <c r="C396" s="14">
        <f>if('Point Intercept 1'!C396 = 'Point Intercept 2'!C396, 'Point Intercept 1'!C396, "ERROR")</f>
        <v>45755</v>
      </c>
      <c r="D396" s="9" t="str">
        <f>if('Point Intercept 1'!D396 = 'Point Intercept 2'!D396, 'Point Intercept 1'!D396, "ERROR")</f>
        <v>JC, TL</v>
      </c>
      <c r="E396" s="9" t="str">
        <f>if('Point Intercept 1'!E396 = 'Point Intercept 2'!E396, 'Point Intercept 1'!E396, "ERROR")</f>
        <v>VB</v>
      </c>
      <c r="F396" s="9">
        <f>if('Point Intercept 1'!F396 = 'Point Intercept 2'!F396, 'Point Intercept 1'!F396, "ERROR")</f>
        <v>3</v>
      </c>
      <c r="G396" s="9" t="str">
        <f>if('Point Intercept 1'!G396 = 'Point Intercept 2'!G396, 'Point Intercept 1'!G396, "ERROR")</f>
        <v>LS</v>
      </c>
      <c r="H396" s="9">
        <f>if('Point Intercept 1'!I396 = 'Point Intercept 2'!I396, 'Point Intercept 1'!I396, "ERROR")</f>
        <v>14</v>
      </c>
      <c r="I396" s="9">
        <f>if('Point Intercept 1'!H396 = 'Point Intercept 2'!H396, 'Point Intercept 1'!H396, "ERROR")</f>
        <v>2</v>
      </c>
      <c r="J396" s="9">
        <f>if('Point Intercept 1'!J396 = 'Point Intercept 2'!J396, 'Point Intercept 1'!J396, "ERROR")</f>
        <v>7</v>
      </c>
      <c r="K396" s="9" t="str">
        <f>if('Point Intercept 1'!K396 = 'Point Intercept 2'!K396, 'Point Intercept 1'!K396, "ERROR")</f>
        <v>L</v>
      </c>
      <c r="L396" s="9" t="str">
        <f>if('Point Intercept 1'!L396 = 'Point Intercept 2'!L396, 'Point Intercept 1'!L396, "ERROR")</f>
        <v>Litter</v>
      </c>
      <c r="M396" s="9" t="str">
        <f>if('Point Intercept 1'!N396 = 'Point Intercept 2'!M397, 'Point Intercept 1'!N396, "ERROR")</f>
        <v/>
      </c>
      <c r="N396" s="9" t="str">
        <f>if('Point Intercept 1'!O396 = 'Point Intercept 2'!N397, 'Point Intercept 1'!O396, "ERROR")</f>
        <v/>
      </c>
      <c r="O396" s="9" t="str">
        <f>if('Point Intercept 1'!P396 = 'Point Intercept 2'!O397, 'Point Intercept 1'!P396, "ERROR")</f>
        <v/>
      </c>
    </row>
    <row r="397">
      <c r="A397" s="9">
        <f>if('Point Intercept 1'!A397 = 'Point Intercept 2'!A397, 'Point Intercept 1'!A397, "ERROR")</f>
        <v>4</v>
      </c>
      <c r="B397" s="9">
        <f>if('Point Intercept 1'!B397 = 'Point Intercept 2'!B397, 'Point Intercept 1'!B397, "ERROR")</f>
        <v>2025</v>
      </c>
      <c r="C397" s="14">
        <f>if('Point Intercept 1'!C397 = 'Point Intercept 2'!C397, 'Point Intercept 1'!C397, "ERROR")</f>
        <v>45755</v>
      </c>
      <c r="D397" s="9" t="str">
        <f>if('Point Intercept 1'!D397 = 'Point Intercept 2'!D397, 'Point Intercept 1'!D397, "ERROR")</f>
        <v>JC, TL</v>
      </c>
      <c r="E397" s="9" t="str">
        <f>if('Point Intercept 1'!E397 = 'Point Intercept 2'!E397, 'Point Intercept 1'!E397, "ERROR")</f>
        <v>VB</v>
      </c>
      <c r="F397" s="9">
        <f>if('Point Intercept 1'!F397 = 'Point Intercept 2'!F397, 'Point Intercept 1'!F397, "ERROR")</f>
        <v>3</v>
      </c>
      <c r="G397" s="9" t="str">
        <f>if('Point Intercept 1'!G397 = 'Point Intercept 2'!G397, 'Point Intercept 1'!G397, "ERROR")</f>
        <v>LS</v>
      </c>
      <c r="H397" s="9">
        <f>if('Point Intercept 1'!I397 = 'Point Intercept 2'!I397, 'Point Intercept 1'!I397, "ERROR")</f>
        <v>14</v>
      </c>
      <c r="I397" s="9">
        <f>if('Point Intercept 1'!H397 = 'Point Intercept 2'!H397, 'Point Intercept 1'!H397, "ERROR")</f>
        <v>2</v>
      </c>
      <c r="J397" s="9">
        <f>if('Point Intercept 1'!J397 = 'Point Intercept 2'!J397, 'Point Intercept 1'!J397, "ERROR")</f>
        <v>7</v>
      </c>
      <c r="K397" s="9" t="str">
        <f>if('Point Intercept 1'!K397 = 'Point Intercept 2'!K397, 'Point Intercept 1'!K397, "ERROR")</f>
        <v>CENMEL</v>
      </c>
      <c r="L397" s="9" t="str">
        <f>if('Point Intercept 1'!L397 = 'Point Intercept 2'!L397, 'Point Intercept 1'!L397, "ERROR")</f>
        <v>Centaurea melitensis</v>
      </c>
      <c r="M397" s="9" t="str">
        <f>if('Point Intercept 1'!N397 = 'Point Intercept 2'!M398, 'Point Intercept 1'!N397, "ERROR")</f>
        <v/>
      </c>
      <c r="N397" s="9" t="str">
        <f>if('Point Intercept 1'!O397 = 'Point Intercept 2'!N398, 'Point Intercept 1'!O397, "ERROR")</f>
        <v/>
      </c>
      <c r="O397" s="9" t="str">
        <f>if('Point Intercept 1'!P397 = 'Point Intercept 2'!O398, 'Point Intercept 1'!P397, "ERROR")</f>
        <v/>
      </c>
    </row>
    <row r="398">
      <c r="A398" s="9">
        <f>if('Point Intercept 1'!A398 = 'Point Intercept 2'!A398, 'Point Intercept 1'!A398, "ERROR")</f>
        <v>4</v>
      </c>
      <c r="B398" s="9">
        <f>if('Point Intercept 1'!B398 = 'Point Intercept 2'!B398, 'Point Intercept 1'!B398, "ERROR")</f>
        <v>2025</v>
      </c>
      <c r="C398" s="14">
        <f>if('Point Intercept 1'!C398 = 'Point Intercept 2'!C398, 'Point Intercept 1'!C398, "ERROR")</f>
        <v>45755</v>
      </c>
      <c r="D398" s="9" t="str">
        <f>if('Point Intercept 1'!D398 = 'Point Intercept 2'!D398, 'Point Intercept 1'!D398, "ERROR")</f>
        <v>JC, TL</v>
      </c>
      <c r="E398" s="9" t="str">
        <f>if('Point Intercept 1'!E398 = 'Point Intercept 2'!E398, 'Point Intercept 1'!E398, "ERROR")</f>
        <v>VB</v>
      </c>
      <c r="F398" s="9">
        <f>if('Point Intercept 1'!F398 = 'Point Intercept 2'!F398, 'Point Intercept 1'!F398, "ERROR")</f>
        <v>3</v>
      </c>
      <c r="G398" s="9" t="str">
        <f>if('Point Intercept 1'!G398 = 'Point Intercept 2'!G398, 'Point Intercept 1'!G398, "ERROR")</f>
        <v>LS</v>
      </c>
      <c r="H398" s="9">
        <f>if('Point Intercept 1'!I398 = 'Point Intercept 2'!I398, 'Point Intercept 1'!I398, "ERROR")</f>
        <v>14</v>
      </c>
      <c r="I398" s="9">
        <f>if('Point Intercept 1'!H398 = 'Point Intercept 2'!H398, 'Point Intercept 1'!H398, "ERROR")</f>
        <v>2</v>
      </c>
      <c r="J398" s="9">
        <f>if('Point Intercept 1'!J398 = 'Point Intercept 2'!J398, 'Point Intercept 1'!J398, "ERROR")</f>
        <v>7</v>
      </c>
      <c r="K398" s="9" t="str">
        <f>if('Point Intercept 1'!K398 = 'Point Intercept 2'!K398, 'Point Intercept 1'!K398, "ERROR")</f>
        <v>OPULIT</v>
      </c>
      <c r="L398" s="9" t="str">
        <f>if('Point Intercept 1'!L398 = 'Point Intercept 2'!L398, 'Point Intercept 1'!L398, "ERROR")</f>
        <v>Opuntia littoralis</v>
      </c>
      <c r="M398" s="9" t="str">
        <f>if('Point Intercept 1'!N398 = 'Point Intercept 2'!M399, 'Point Intercept 1'!N398, "ERROR")</f>
        <v/>
      </c>
      <c r="N398" s="9" t="str">
        <f>if('Point Intercept 1'!O398 = 'Point Intercept 2'!N399, 'Point Intercept 1'!O398, "ERROR")</f>
        <v/>
      </c>
      <c r="O398" s="9" t="str">
        <f>if('Point Intercept 1'!P398 = 'Point Intercept 2'!O399, 'Point Intercept 1'!P398, "ERROR")</f>
        <v/>
      </c>
    </row>
    <row r="399">
      <c r="A399" s="9">
        <f>if('Point Intercept 1'!A399 = 'Point Intercept 2'!A399, 'Point Intercept 1'!A399, "ERROR")</f>
        <v>4</v>
      </c>
      <c r="B399" s="9">
        <f>if('Point Intercept 1'!B399 = 'Point Intercept 2'!B399, 'Point Intercept 1'!B399, "ERROR")</f>
        <v>2025</v>
      </c>
      <c r="C399" s="14">
        <f>if('Point Intercept 1'!C399 = 'Point Intercept 2'!C399, 'Point Intercept 1'!C399, "ERROR")</f>
        <v>45755</v>
      </c>
      <c r="D399" s="9" t="str">
        <f>if('Point Intercept 1'!D399 = 'Point Intercept 2'!D399, 'Point Intercept 1'!D399, "ERROR")</f>
        <v>JC, TL</v>
      </c>
      <c r="E399" s="9" t="str">
        <f>if('Point Intercept 1'!E399 = 'Point Intercept 2'!E399, 'Point Intercept 1'!E399, "ERROR")</f>
        <v>VB</v>
      </c>
      <c r="F399" s="9">
        <f>if('Point Intercept 1'!F399 = 'Point Intercept 2'!F399, 'Point Intercept 1'!F399, "ERROR")</f>
        <v>3</v>
      </c>
      <c r="G399" s="9" t="str">
        <f>if('Point Intercept 1'!G399 = 'Point Intercept 2'!G399, 'Point Intercept 1'!G399, "ERROR")</f>
        <v>LS</v>
      </c>
      <c r="H399" s="9">
        <f>if('Point Intercept 1'!I399 = 'Point Intercept 2'!I399, 'Point Intercept 1'!I399, "ERROR")</f>
        <v>14</v>
      </c>
      <c r="I399" s="9">
        <f>if('Point Intercept 1'!H399 = 'Point Intercept 2'!H399, 'Point Intercept 1'!H399, "ERROR")</f>
        <v>2</v>
      </c>
      <c r="J399" s="9">
        <f>if('Point Intercept 1'!J399 = 'Point Intercept 2'!J399, 'Point Intercept 1'!J399, "ERROR")</f>
        <v>7</v>
      </c>
      <c r="K399" s="9" t="str">
        <f>if('Point Intercept 1'!K399 = 'Point Intercept 2'!K399, 'Point Intercept 1'!K399, "ERROR")</f>
        <v>PHACIC</v>
      </c>
      <c r="L399" s="9" t="str">
        <f>if('Point Intercept 1'!L399 = 'Point Intercept 2'!L399, 'Point Intercept 1'!L399, "ERROR")</f>
        <v>Phacelia cicutaria</v>
      </c>
      <c r="M399" s="9" t="str">
        <f>if('Point Intercept 1'!N399 = 'Point Intercept 2'!M400, 'Point Intercept 1'!N399, "ERROR")</f>
        <v/>
      </c>
      <c r="N399" s="9" t="str">
        <f>if('Point Intercept 1'!O399 = 'Point Intercept 2'!N400, 'Point Intercept 1'!O399, "ERROR")</f>
        <v/>
      </c>
      <c r="O399" s="9" t="str">
        <f>if('Point Intercept 1'!P399 = 'Point Intercept 2'!O400, 'Point Intercept 1'!P399, "ERROR")</f>
        <v/>
      </c>
    </row>
    <row r="400">
      <c r="A400" s="9">
        <f>if('Point Intercept 1'!A400 = 'Point Intercept 2'!A400, 'Point Intercept 1'!A400, "ERROR")</f>
        <v>4</v>
      </c>
      <c r="B400" s="9">
        <f>if('Point Intercept 1'!B400 = 'Point Intercept 2'!B400, 'Point Intercept 1'!B400, "ERROR")</f>
        <v>2025</v>
      </c>
      <c r="C400" s="14">
        <f>if('Point Intercept 1'!C400 = 'Point Intercept 2'!C400, 'Point Intercept 1'!C400, "ERROR")</f>
        <v>45755</v>
      </c>
      <c r="D400" s="9" t="str">
        <f>if('Point Intercept 1'!D400 = 'Point Intercept 2'!D400, 'Point Intercept 1'!D400, "ERROR")</f>
        <v>JC, TL</v>
      </c>
      <c r="E400" s="9" t="str">
        <f>if('Point Intercept 1'!E400 = 'Point Intercept 2'!E400, 'Point Intercept 1'!E400, "ERROR")</f>
        <v>VB</v>
      </c>
      <c r="F400" s="9">
        <f>if('Point Intercept 1'!F400 = 'Point Intercept 2'!F400, 'Point Intercept 1'!F400, "ERROR")</f>
        <v>3</v>
      </c>
      <c r="G400" s="9" t="str">
        <f>if('Point Intercept 1'!G400 = 'Point Intercept 2'!G400, 'Point Intercept 1'!G400, "ERROR")</f>
        <v>LS</v>
      </c>
      <c r="H400" s="9">
        <f>if('Point Intercept 1'!I400 = 'Point Intercept 2'!I400, 'Point Intercept 1'!I400, "ERROR")</f>
        <v>15</v>
      </c>
      <c r="I400" s="9">
        <f>if('Point Intercept 1'!H400 = 'Point Intercept 2'!H400, 'Point Intercept 1'!H400, "ERROR")</f>
        <v>2</v>
      </c>
      <c r="J400" s="9">
        <f>if('Point Intercept 1'!J400 = 'Point Intercept 2'!J400, 'Point Intercept 1'!J400, "ERROR")</f>
        <v>7.5</v>
      </c>
      <c r="K400" s="9" t="str">
        <f>if('Point Intercept 1'!K400 = 'Point Intercept 2'!K400, 'Point Intercept 1'!K400, "ERROR")</f>
        <v>L</v>
      </c>
      <c r="L400" s="9" t="str">
        <f>if('Point Intercept 1'!L400 = 'Point Intercept 2'!L400, 'Point Intercept 1'!L400, "ERROR")</f>
        <v>Litter</v>
      </c>
      <c r="M400" s="9" t="str">
        <f>if('Point Intercept 1'!N400 = 'Point Intercept 2'!M401, 'Point Intercept 1'!N400, "ERROR")</f>
        <v/>
      </c>
      <c r="N400" s="9" t="str">
        <f>if('Point Intercept 1'!O400 = 'Point Intercept 2'!N401, 'Point Intercept 1'!O400, "ERROR")</f>
        <v/>
      </c>
      <c r="O400" s="9" t="str">
        <f>if('Point Intercept 1'!P400 = 'Point Intercept 2'!O401, 'Point Intercept 1'!P400, "ERROR")</f>
        <v/>
      </c>
    </row>
    <row r="401">
      <c r="A401" s="9">
        <f>if('Point Intercept 1'!A401 = 'Point Intercept 2'!A401, 'Point Intercept 1'!A401, "ERROR")</f>
        <v>4</v>
      </c>
      <c r="B401" s="9">
        <f>if('Point Intercept 1'!B401 = 'Point Intercept 2'!B401, 'Point Intercept 1'!B401, "ERROR")</f>
        <v>2025</v>
      </c>
      <c r="C401" s="14">
        <f>if('Point Intercept 1'!C401 = 'Point Intercept 2'!C401, 'Point Intercept 1'!C401, "ERROR")</f>
        <v>45755</v>
      </c>
      <c r="D401" s="9" t="str">
        <f>if('Point Intercept 1'!D401 = 'Point Intercept 2'!D401, 'Point Intercept 1'!D401, "ERROR")</f>
        <v>JC, TL</v>
      </c>
      <c r="E401" s="9" t="str">
        <f>if('Point Intercept 1'!E401 = 'Point Intercept 2'!E401, 'Point Intercept 1'!E401, "ERROR")</f>
        <v>VB</v>
      </c>
      <c r="F401" s="9">
        <f>if('Point Intercept 1'!F401 = 'Point Intercept 2'!F401, 'Point Intercept 1'!F401, "ERROR")</f>
        <v>3</v>
      </c>
      <c r="G401" s="9" t="str">
        <f>if('Point Intercept 1'!G401 = 'Point Intercept 2'!G401, 'Point Intercept 1'!G401, "ERROR")</f>
        <v>LS</v>
      </c>
      <c r="H401" s="9">
        <f>if('Point Intercept 1'!I401 = 'Point Intercept 2'!I401, 'Point Intercept 1'!I401, "ERROR")</f>
        <v>15</v>
      </c>
      <c r="I401" s="9">
        <f>if('Point Intercept 1'!H401 = 'Point Intercept 2'!H401, 'Point Intercept 1'!H401, "ERROR")</f>
        <v>2</v>
      </c>
      <c r="J401" s="9">
        <f>if('Point Intercept 1'!J401 = 'Point Intercept 2'!J401, 'Point Intercept 1'!J401, "ERROR")</f>
        <v>7.5</v>
      </c>
      <c r="K401" s="9" t="str">
        <f>if('Point Intercept 1'!K401 = 'Point Intercept 2'!K401, 'Point Intercept 1'!K401, "ERROR")</f>
        <v>DEIFAS</v>
      </c>
      <c r="L401" s="9" t="str">
        <f>if('Point Intercept 1'!L401 = 'Point Intercept 2'!L401, 'Point Intercept 1'!L401, "ERROR")</f>
        <v>Deinandra fasciculata</v>
      </c>
      <c r="M401" s="9" t="str">
        <f>if('Point Intercept 1'!N401 = 'Point Intercept 2'!M402, 'Point Intercept 1'!N401, "ERROR")</f>
        <v/>
      </c>
      <c r="N401" s="9" t="str">
        <f>if('Point Intercept 1'!O401 = 'Point Intercept 2'!N402, 'Point Intercept 1'!O401, "ERROR")</f>
        <v/>
      </c>
      <c r="O401" s="9" t="str">
        <f>if('Point Intercept 1'!P401 = 'Point Intercept 2'!O402, 'Point Intercept 1'!P401, "ERROR")</f>
        <v/>
      </c>
    </row>
    <row r="402">
      <c r="A402" s="9">
        <f>if('Point Intercept 1'!A402 = 'Point Intercept 2'!A402, 'Point Intercept 1'!A402, "ERROR")</f>
        <v>4</v>
      </c>
      <c r="B402" s="9">
        <f>if('Point Intercept 1'!B402 = 'Point Intercept 2'!B402, 'Point Intercept 1'!B402, "ERROR")</f>
        <v>2025</v>
      </c>
      <c r="C402" s="14">
        <f>if('Point Intercept 1'!C402 = 'Point Intercept 2'!C402, 'Point Intercept 1'!C402, "ERROR")</f>
        <v>45755</v>
      </c>
      <c r="D402" s="9" t="str">
        <f>if('Point Intercept 1'!D402 = 'Point Intercept 2'!D402, 'Point Intercept 1'!D402, "ERROR")</f>
        <v>JC, TL</v>
      </c>
      <c r="E402" s="9" t="str">
        <f>if('Point Intercept 1'!E402 = 'Point Intercept 2'!E402, 'Point Intercept 1'!E402, "ERROR")</f>
        <v>VB</v>
      </c>
      <c r="F402" s="9">
        <f>if('Point Intercept 1'!F402 = 'Point Intercept 2'!F402, 'Point Intercept 1'!F402, "ERROR")</f>
        <v>3</v>
      </c>
      <c r="G402" s="9" t="str">
        <f>if('Point Intercept 1'!G402 = 'Point Intercept 2'!G402, 'Point Intercept 1'!G402, "ERROR")</f>
        <v>LS</v>
      </c>
      <c r="H402" s="9">
        <f>if('Point Intercept 1'!I402 = 'Point Intercept 2'!I402, 'Point Intercept 1'!I402, "ERROR")</f>
        <v>15</v>
      </c>
      <c r="I402" s="9">
        <f>if('Point Intercept 1'!H402 = 'Point Intercept 2'!H402, 'Point Intercept 1'!H402, "ERROR")</f>
        <v>2</v>
      </c>
      <c r="J402" s="9">
        <f>if('Point Intercept 1'!J402 = 'Point Intercept 2'!J402, 'Point Intercept 1'!J402, "ERROR")</f>
        <v>7.5</v>
      </c>
      <c r="K402" s="9" t="str">
        <f>if('Point Intercept 1'!K402 = 'Point Intercept 2'!K402, 'Point Intercept 1'!K402, "ERROR")</f>
        <v>CENMEL</v>
      </c>
      <c r="L402" s="9" t="str">
        <f>if('Point Intercept 1'!L402 = 'Point Intercept 2'!L402, 'Point Intercept 1'!L402, "ERROR")</f>
        <v>Centaurea melitensis</v>
      </c>
      <c r="M402" s="9" t="str">
        <f>if('Point Intercept 1'!N402 = 'Point Intercept 2'!M403, 'Point Intercept 1'!N402, "ERROR")</f>
        <v/>
      </c>
      <c r="N402" s="9" t="str">
        <f>if('Point Intercept 1'!O402 = 'Point Intercept 2'!N403, 'Point Intercept 1'!O402, "ERROR")</f>
        <v/>
      </c>
      <c r="O402" s="9" t="str">
        <f>if('Point Intercept 1'!P402 = 'Point Intercept 2'!O403, 'Point Intercept 1'!P402, "ERROR")</f>
        <v/>
      </c>
    </row>
    <row r="403">
      <c r="A403" s="9">
        <f>if('Point Intercept 1'!A403 = 'Point Intercept 2'!A403, 'Point Intercept 1'!A403, "ERROR")</f>
        <v>5</v>
      </c>
      <c r="B403" s="9">
        <f>if('Point Intercept 1'!B403 = 'Point Intercept 2'!B403, 'Point Intercept 1'!B403, "ERROR")</f>
        <v>2025</v>
      </c>
      <c r="C403" s="14">
        <f>if('Point Intercept 1'!C403 = 'Point Intercept 2'!C403, 'Point Intercept 1'!C403, "ERROR")</f>
        <v>45755</v>
      </c>
      <c r="D403" s="9" t="str">
        <f>if('Point Intercept 1'!D403 = 'Point Intercept 2'!D403, 'Point Intercept 1'!D403, "ERROR")</f>
        <v>TL, JC</v>
      </c>
      <c r="E403" s="9" t="str">
        <f>if('Point Intercept 1'!E403 = 'Point Intercept 2'!E403, 'Point Intercept 1'!E403, "ERROR")</f>
        <v>VB</v>
      </c>
      <c r="F403" s="9">
        <f>if('Point Intercept 1'!F403 = 'Point Intercept 2'!F403, 'Point Intercept 1'!F403, "ERROR")</f>
        <v>3</v>
      </c>
      <c r="G403" s="9" t="str">
        <f>if('Point Intercept 1'!G403 = 'Point Intercept 2'!G403, 'Point Intercept 1'!G403, "ERROR")</f>
        <v>SS</v>
      </c>
      <c r="H403" s="9">
        <f>if('Point Intercept 1'!I403 = 'Point Intercept 2'!I403, 'Point Intercept 1'!I403, "ERROR")</f>
        <v>1</v>
      </c>
      <c r="I403" s="9">
        <f>if('Point Intercept 1'!H403 = 'Point Intercept 2'!H403, 'Point Intercept 1'!H403, "ERROR")</f>
        <v>1</v>
      </c>
      <c r="J403" s="9">
        <f>if('Point Intercept 1'!J403 = 'Point Intercept 2'!J403, 'Point Intercept 1'!J403, "ERROR")</f>
        <v>0</v>
      </c>
      <c r="K403" s="9" t="str">
        <f>if('Point Intercept 1'!K403 = 'Point Intercept 2'!K403, 'Point Intercept 1'!K403, "ERROR")</f>
        <v>L</v>
      </c>
      <c r="L403" s="9" t="str">
        <f>if('Point Intercept 1'!L403 = 'Point Intercept 2'!L403, 'Point Intercept 1'!L403, "ERROR")</f>
        <v>Litter</v>
      </c>
      <c r="M403" s="9" t="str">
        <f>if('Point Intercept 1'!N403 = 'Point Intercept 2'!M404, 'Point Intercept 1'!N403, "ERROR")</f>
        <v/>
      </c>
      <c r="N403" s="9" t="str">
        <f>if('Point Intercept 1'!O403 = 'Point Intercept 2'!N404, 'Point Intercept 1'!O403, "ERROR")</f>
        <v/>
      </c>
      <c r="O403" s="9" t="str">
        <f>if('Point Intercept 1'!P403 = 'Point Intercept 2'!O404, 'Point Intercept 1'!P403, "ERROR")</f>
        <v/>
      </c>
    </row>
    <row r="404">
      <c r="A404" s="9">
        <f>if('Point Intercept 1'!A404 = 'Point Intercept 2'!A404, 'Point Intercept 1'!A404, "ERROR")</f>
        <v>5</v>
      </c>
      <c r="B404" s="9">
        <f>if('Point Intercept 1'!B404 = 'Point Intercept 2'!B404, 'Point Intercept 1'!B404, "ERROR")</f>
        <v>2025</v>
      </c>
      <c r="C404" s="14">
        <f>if('Point Intercept 1'!C404 = 'Point Intercept 2'!C404, 'Point Intercept 1'!C404, "ERROR")</f>
        <v>45755</v>
      </c>
      <c r="D404" s="9" t="str">
        <f>if('Point Intercept 1'!D404 = 'Point Intercept 2'!D404, 'Point Intercept 1'!D404, "ERROR")</f>
        <v>TL, JC</v>
      </c>
      <c r="E404" s="9" t="str">
        <f>if('Point Intercept 1'!E404 = 'Point Intercept 2'!E404, 'Point Intercept 1'!E404, "ERROR")</f>
        <v>VB</v>
      </c>
      <c r="F404" s="9">
        <f>if('Point Intercept 1'!F404 = 'Point Intercept 2'!F404, 'Point Intercept 1'!F404, "ERROR")</f>
        <v>3</v>
      </c>
      <c r="G404" s="9" t="str">
        <f>if('Point Intercept 1'!G404 = 'Point Intercept 2'!G404, 'Point Intercept 1'!G404, "ERROR")</f>
        <v>SS</v>
      </c>
      <c r="H404" s="9">
        <f>if('Point Intercept 1'!I404 = 'Point Intercept 2'!I404, 'Point Intercept 1'!I404, "ERROR")</f>
        <v>1</v>
      </c>
      <c r="I404" s="9">
        <f>if('Point Intercept 1'!H404 = 'Point Intercept 2'!H404, 'Point Intercept 1'!H404, "ERROR")</f>
        <v>1</v>
      </c>
      <c r="J404" s="9">
        <f>if('Point Intercept 1'!J404 = 'Point Intercept 2'!J404, 'Point Intercept 1'!J404, "ERROR")</f>
        <v>0</v>
      </c>
      <c r="K404" s="9" t="str">
        <f>if('Point Intercept 1'!K404 = 'Point Intercept 2'!K404, 'Point Intercept 1'!K404, "ERROR")</f>
        <v>FESMYU</v>
      </c>
      <c r="L404" s="9" t="str">
        <f>if('Point Intercept 1'!L404 = 'Point Intercept 2'!L404, 'Point Intercept 1'!L404, "ERROR")</f>
        <v>Festuca myuros</v>
      </c>
      <c r="M404" s="9" t="str">
        <f>if('Point Intercept 1'!N404 = 'Point Intercept 2'!M405, 'Point Intercept 1'!N404, "ERROR")</f>
        <v/>
      </c>
      <c r="N404" s="9" t="str">
        <f>if('Point Intercept 1'!O404 = 'Point Intercept 2'!N405, 'Point Intercept 1'!O404, "ERROR")</f>
        <v/>
      </c>
      <c r="O404" s="9" t="str">
        <f>if('Point Intercept 1'!P404 = 'Point Intercept 2'!O405, 'Point Intercept 1'!P404, "ERROR")</f>
        <v/>
      </c>
    </row>
    <row r="405">
      <c r="A405" s="9">
        <f>if('Point Intercept 1'!A405 = 'Point Intercept 2'!A405, 'Point Intercept 1'!A405, "ERROR")</f>
        <v>5</v>
      </c>
      <c r="B405" s="9">
        <f>if('Point Intercept 1'!B405 = 'Point Intercept 2'!B405, 'Point Intercept 1'!B405, "ERROR")</f>
        <v>2025</v>
      </c>
      <c r="C405" s="14">
        <f>if('Point Intercept 1'!C405 = 'Point Intercept 2'!C405, 'Point Intercept 1'!C405, "ERROR")</f>
        <v>45755</v>
      </c>
      <c r="D405" s="9" t="str">
        <f>if('Point Intercept 1'!D405 = 'Point Intercept 2'!D405, 'Point Intercept 1'!D405, "ERROR")</f>
        <v>TL, JC</v>
      </c>
      <c r="E405" s="9" t="str">
        <f>if('Point Intercept 1'!E405 = 'Point Intercept 2'!E405, 'Point Intercept 1'!E405, "ERROR")</f>
        <v>VB</v>
      </c>
      <c r="F405" s="9">
        <f>if('Point Intercept 1'!F405 = 'Point Intercept 2'!F405, 'Point Intercept 1'!F405, "ERROR")</f>
        <v>3</v>
      </c>
      <c r="G405" s="9" t="str">
        <f>if('Point Intercept 1'!G405 = 'Point Intercept 2'!G405, 'Point Intercept 1'!G405, "ERROR")</f>
        <v>SS</v>
      </c>
      <c r="H405" s="9">
        <f>if('Point Intercept 1'!I405 = 'Point Intercept 2'!I405, 'Point Intercept 1'!I405, "ERROR")</f>
        <v>1</v>
      </c>
      <c r="I405" s="9">
        <f>if('Point Intercept 1'!H405 = 'Point Intercept 2'!H405, 'Point Intercept 1'!H405, "ERROR")</f>
        <v>1</v>
      </c>
      <c r="J405" s="9">
        <f>if('Point Intercept 1'!J405 = 'Point Intercept 2'!J405, 'Point Intercept 1'!J405, "ERROR")</f>
        <v>0</v>
      </c>
      <c r="K405" s="9" t="str">
        <f>if('Point Intercept 1'!K405 = 'Point Intercept 2'!K405, 'Point Intercept 1'!K405, "ERROR")</f>
        <v>MEDPOL</v>
      </c>
      <c r="L405" s="9" t="str">
        <f>if('Point Intercept 1'!L405 = 'Point Intercept 2'!L405, 'Point Intercept 1'!L405, "ERROR")</f>
        <v>Medicago polymorpha</v>
      </c>
      <c r="M405" s="9" t="str">
        <f>if('Point Intercept 1'!N405 = 'Point Intercept 2'!M406, 'Point Intercept 1'!N405, "ERROR")</f>
        <v/>
      </c>
      <c r="N405" s="9" t="str">
        <f>if('Point Intercept 1'!O405 = 'Point Intercept 2'!N406, 'Point Intercept 1'!O405, "ERROR")</f>
        <v/>
      </c>
      <c r="O405" s="9" t="str">
        <f>if('Point Intercept 1'!P405 = 'Point Intercept 2'!O406, 'Point Intercept 1'!P405, "ERROR")</f>
        <v/>
      </c>
    </row>
    <row r="406">
      <c r="A406" s="9">
        <f>if('Point Intercept 1'!A406 = 'Point Intercept 2'!A406, 'Point Intercept 1'!A406, "ERROR")</f>
        <v>5</v>
      </c>
      <c r="B406" s="9">
        <f>if('Point Intercept 1'!B406 = 'Point Intercept 2'!B406, 'Point Intercept 1'!B406, "ERROR")</f>
        <v>2025</v>
      </c>
      <c r="C406" s="14">
        <f>if('Point Intercept 1'!C406 = 'Point Intercept 2'!C406, 'Point Intercept 1'!C406, "ERROR")</f>
        <v>45755</v>
      </c>
      <c r="D406" s="9" t="str">
        <f>if('Point Intercept 1'!D406 = 'Point Intercept 2'!D406, 'Point Intercept 1'!D406, "ERROR")</f>
        <v>TL, JC</v>
      </c>
      <c r="E406" s="9" t="str">
        <f>if('Point Intercept 1'!E406 = 'Point Intercept 2'!E406, 'Point Intercept 1'!E406, "ERROR")</f>
        <v>VB</v>
      </c>
      <c r="F406" s="9">
        <f>if('Point Intercept 1'!F406 = 'Point Intercept 2'!F406, 'Point Intercept 1'!F406, "ERROR")</f>
        <v>3</v>
      </c>
      <c r="G406" s="9" t="str">
        <f>if('Point Intercept 1'!G406 = 'Point Intercept 2'!G406, 'Point Intercept 1'!G406, "ERROR")</f>
        <v>SS</v>
      </c>
      <c r="H406" s="9">
        <f>if('Point Intercept 1'!I406 = 'Point Intercept 2'!I406, 'Point Intercept 1'!I406, "ERROR")</f>
        <v>1</v>
      </c>
      <c r="I406" s="9">
        <f>if('Point Intercept 1'!H406 = 'Point Intercept 2'!H406, 'Point Intercept 1'!H406, "ERROR")</f>
        <v>1</v>
      </c>
      <c r="J406" s="9">
        <f>if('Point Intercept 1'!J406 = 'Point Intercept 2'!J406, 'Point Intercept 1'!J406, "ERROR")</f>
        <v>0</v>
      </c>
      <c r="K406" s="9" t="str">
        <f>if('Point Intercept 1'!K406 = 'Point Intercept 2'!K406, 'Point Intercept 1'!K406, "ERROR")</f>
        <v>CENMEL</v>
      </c>
      <c r="L406" s="9" t="str">
        <f>if('Point Intercept 1'!L406 = 'Point Intercept 2'!L406, 'Point Intercept 1'!L406, "ERROR")</f>
        <v>Centaurea melitensis</v>
      </c>
      <c r="M406" s="9" t="str">
        <f>if('Point Intercept 1'!N406 = 'Point Intercept 2'!M407, 'Point Intercept 1'!N406, "ERROR")</f>
        <v/>
      </c>
      <c r="N406" s="9" t="str">
        <f>if('Point Intercept 1'!O406 = 'Point Intercept 2'!N407, 'Point Intercept 1'!O406, "ERROR")</f>
        <v/>
      </c>
      <c r="O406" s="9" t="str">
        <f>if('Point Intercept 1'!P406 = 'Point Intercept 2'!O407, 'Point Intercept 1'!P406, "ERROR")</f>
        <v/>
      </c>
    </row>
    <row r="407">
      <c r="A407" s="9">
        <f>if('Point Intercept 1'!A407 = 'Point Intercept 2'!A407, 'Point Intercept 1'!A407, "ERROR")</f>
        <v>5</v>
      </c>
      <c r="B407" s="9">
        <f>if('Point Intercept 1'!B407 = 'Point Intercept 2'!B407, 'Point Intercept 1'!B407, "ERROR")</f>
        <v>2025</v>
      </c>
      <c r="C407" s="14">
        <f>if('Point Intercept 1'!C407 = 'Point Intercept 2'!C407, 'Point Intercept 1'!C407, "ERROR")</f>
        <v>45755</v>
      </c>
      <c r="D407" s="9" t="str">
        <f>if('Point Intercept 1'!D407 = 'Point Intercept 2'!D407, 'Point Intercept 1'!D407, "ERROR")</f>
        <v>TL, JC</v>
      </c>
      <c r="E407" s="9" t="str">
        <f>if('Point Intercept 1'!E407 = 'Point Intercept 2'!E407, 'Point Intercept 1'!E407, "ERROR")</f>
        <v>VB</v>
      </c>
      <c r="F407" s="9">
        <f>if('Point Intercept 1'!F407 = 'Point Intercept 2'!F407, 'Point Intercept 1'!F407, "ERROR")</f>
        <v>3</v>
      </c>
      <c r="G407" s="9" t="str">
        <f>if('Point Intercept 1'!G407 = 'Point Intercept 2'!G407, 'Point Intercept 1'!G407, "ERROR")</f>
        <v>SS</v>
      </c>
      <c r="H407" s="9">
        <f>if('Point Intercept 1'!I407 = 'Point Intercept 2'!I407, 'Point Intercept 1'!I407, "ERROR")</f>
        <v>2</v>
      </c>
      <c r="I407" s="9">
        <f>if('Point Intercept 1'!H407 = 'Point Intercept 2'!H407, 'Point Intercept 1'!H407, "ERROR")</f>
        <v>1</v>
      </c>
      <c r="J407" s="9">
        <f>if('Point Intercept 1'!J407 = 'Point Intercept 2'!J407, 'Point Intercept 1'!J407, "ERROR")</f>
        <v>1</v>
      </c>
      <c r="K407" s="9" t="str">
        <f>if('Point Intercept 1'!K407 = 'Point Intercept 2'!K407, 'Point Intercept 1'!K407, "ERROR")</f>
        <v>L</v>
      </c>
      <c r="L407" s="9" t="str">
        <f>if('Point Intercept 1'!L407 = 'Point Intercept 2'!L407, 'Point Intercept 1'!L407, "ERROR")</f>
        <v>Litter</v>
      </c>
      <c r="M407" s="9" t="str">
        <f>if('Point Intercept 1'!N407 = 'Point Intercept 2'!M408, 'Point Intercept 1'!N407, "ERROR")</f>
        <v/>
      </c>
      <c r="N407" s="9" t="str">
        <f>if('Point Intercept 1'!O407 = 'Point Intercept 2'!N408, 'Point Intercept 1'!O407, "ERROR")</f>
        <v/>
      </c>
      <c r="O407" s="9" t="str">
        <f>if('Point Intercept 1'!P407 = 'Point Intercept 2'!O408, 'Point Intercept 1'!P407, "ERROR")</f>
        <v/>
      </c>
    </row>
    <row r="408">
      <c r="A408" s="9">
        <f>if('Point Intercept 1'!A408 = 'Point Intercept 2'!A408, 'Point Intercept 1'!A408, "ERROR")</f>
        <v>5</v>
      </c>
      <c r="B408" s="9">
        <f>if('Point Intercept 1'!B408 = 'Point Intercept 2'!B408, 'Point Intercept 1'!B408, "ERROR")</f>
        <v>2025</v>
      </c>
      <c r="C408" s="14">
        <f>if('Point Intercept 1'!C408 = 'Point Intercept 2'!C408, 'Point Intercept 1'!C408, "ERROR")</f>
        <v>45755</v>
      </c>
      <c r="D408" s="9" t="str">
        <f>if('Point Intercept 1'!D408 = 'Point Intercept 2'!D408, 'Point Intercept 1'!D408, "ERROR")</f>
        <v>TL, JC</v>
      </c>
      <c r="E408" s="9" t="str">
        <f>if('Point Intercept 1'!E408 = 'Point Intercept 2'!E408, 'Point Intercept 1'!E408, "ERROR")</f>
        <v>VB</v>
      </c>
      <c r="F408" s="9">
        <f>if('Point Intercept 1'!F408 = 'Point Intercept 2'!F408, 'Point Intercept 1'!F408, "ERROR")</f>
        <v>3</v>
      </c>
      <c r="G408" s="9" t="str">
        <f>if('Point Intercept 1'!G408 = 'Point Intercept 2'!G408, 'Point Intercept 1'!G408, "ERROR")</f>
        <v>SS</v>
      </c>
      <c r="H408" s="9">
        <f>if('Point Intercept 1'!I408 = 'Point Intercept 2'!I408, 'Point Intercept 1'!I408, "ERROR")</f>
        <v>2</v>
      </c>
      <c r="I408" s="9">
        <f>if('Point Intercept 1'!H408 = 'Point Intercept 2'!H408, 'Point Intercept 1'!H408, "ERROR")</f>
        <v>1</v>
      </c>
      <c r="J408" s="9">
        <f>if('Point Intercept 1'!J408 = 'Point Intercept 2'!J408, 'Point Intercept 1'!J408, "ERROR")</f>
        <v>1</v>
      </c>
      <c r="K408" s="9" t="str">
        <f>if('Point Intercept 1'!K408 = 'Point Intercept 2'!K408, 'Point Intercept 1'!K408, "ERROR")</f>
        <v>FESMYU</v>
      </c>
      <c r="L408" s="9" t="str">
        <f>if('Point Intercept 1'!L408 = 'Point Intercept 2'!L408, 'Point Intercept 1'!L408, "ERROR")</f>
        <v>Festuca myuros</v>
      </c>
      <c r="M408" s="9" t="str">
        <f>if('Point Intercept 1'!N408 = 'Point Intercept 2'!M409, 'Point Intercept 1'!N408, "ERROR")</f>
        <v/>
      </c>
      <c r="N408" s="9" t="str">
        <f>if('Point Intercept 1'!O408 = 'Point Intercept 2'!N409, 'Point Intercept 1'!O408, "ERROR")</f>
        <v/>
      </c>
      <c r="O408" s="9" t="str">
        <f>if('Point Intercept 1'!P408 = 'Point Intercept 2'!O409, 'Point Intercept 1'!P408, "ERROR")</f>
        <v/>
      </c>
    </row>
    <row r="409">
      <c r="A409" s="9">
        <f>if('Point Intercept 1'!A409 = 'Point Intercept 2'!A409, 'Point Intercept 1'!A409, "ERROR")</f>
        <v>5</v>
      </c>
      <c r="B409" s="9">
        <f>if('Point Intercept 1'!B409 = 'Point Intercept 2'!B409, 'Point Intercept 1'!B409, "ERROR")</f>
        <v>2025</v>
      </c>
      <c r="C409" s="14">
        <f>if('Point Intercept 1'!C409 = 'Point Intercept 2'!C409, 'Point Intercept 1'!C409, "ERROR")</f>
        <v>45755</v>
      </c>
      <c r="D409" s="9" t="str">
        <f>if('Point Intercept 1'!D409 = 'Point Intercept 2'!D409, 'Point Intercept 1'!D409, "ERROR")</f>
        <v>TL, JC</v>
      </c>
      <c r="E409" s="9" t="str">
        <f>if('Point Intercept 1'!E409 = 'Point Intercept 2'!E409, 'Point Intercept 1'!E409, "ERROR")</f>
        <v>VB</v>
      </c>
      <c r="F409" s="9">
        <f>if('Point Intercept 1'!F409 = 'Point Intercept 2'!F409, 'Point Intercept 1'!F409, "ERROR")</f>
        <v>3</v>
      </c>
      <c r="G409" s="9" t="str">
        <f>if('Point Intercept 1'!G409 = 'Point Intercept 2'!G409, 'Point Intercept 1'!G409, "ERROR")</f>
        <v>SS</v>
      </c>
      <c r="H409" s="9">
        <f>if('Point Intercept 1'!I409 = 'Point Intercept 2'!I409, 'Point Intercept 1'!I409, "ERROR")</f>
        <v>2</v>
      </c>
      <c r="I409" s="9">
        <f>if('Point Intercept 1'!H409 = 'Point Intercept 2'!H409, 'Point Intercept 1'!H409, "ERROR")</f>
        <v>1</v>
      </c>
      <c r="J409" s="9">
        <f>if('Point Intercept 1'!J409 = 'Point Intercept 2'!J409, 'Point Intercept 1'!J409, "ERROR")</f>
        <v>1</v>
      </c>
      <c r="K409" s="9" t="str">
        <f>if('Point Intercept 1'!K409 = 'Point Intercept 2'!K409, 'Point Intercept 1'!K409, "ERROR")</f>
        <v>STEDIE</v>
      </c>
      <c r="L409" s="9" t="str">
        <f>if('Point Intercept 1'!L409 = 'Point Intercept 2'!L409, 'Point Intercept 1'!L409, "ERROR")</f>
        <v>Stephanomeria diegensis</v>
      </c>
      <c r="M409" s="9" t="str">
        <f>if('Point Intercept 1'!N409 = 'Point Intercept 2'!M410, 'Point Intercept 1'!N409, "ERROR")</f>
        <v/>
      </c>
      <c r="N409" s="9" t="str">
        <f>if('Point Intercept 1'!O409 = 'Point Intercept 2'!N410, 'Point Intercept 1'!O409, "ERROR")</f>
        <v/>
      </c>
      <c r="O409" s="9" t="str">
        <f>if('Point Intercept 1'!P409 = 'Point Intercept 2'!O410, 'Point Intercept 1'!P409, "ERROR")</f>
        <v/>
      </c>
    </row>
    <row r="410">
      <c r="A410" s="9">
        <f>if('Point Intercept 1'!A410 = 'Point Intercept 2'!A410, 'Point Intercept 1'!A410, "ERROR")</f>
        <v>5</v>
      </c>
      <c r="B410" s="9">
        <f>if('Point Intercept 1'!B410 = 'Point Intercept 2'!B410, 'Point Intercept 1'!B410, "ERROR")</f>
        <v>2025</v>
      </c>
      <c r="C410" s="14">
        <f>if('Point Intercept 1'!C410 = 'Point Intercept 2'!C410, 'Point Intercept 1'!C410, "ERROR")</f>
        <v>45755</v>
      </c>
      <c r="D410" s="9" t="str">
        <f>if('Point Intercept 1'!D410 = 'Point Intercept 2'!D410, 'Point Intercept 1'!D410, "ERROR")</f>
        <v>TL, JC</v>
      </c>
      <c r="E410" s="9" t="str">
        <f>if('Point Intercept 1'!E410 = 'Point Intercept 2'!E410, 'Point Intercept 1'!E410, "ERROR")</f>
        <v>VB</v>
      </c>
      <c r="F410" s="9">
        <f>if('Point Intercept 1'!F410 = 'Point Intercept 2'!F410, 'Point Intercept 1'!F410, "ERROR")</f>
        <v>3</v>
      </c>
      <c r="G410" s="9" t="str">
        <f>if('Point Intercept 1'!G410 = 'Point Intercept 2'!G410, 'Point Intercept 1'!G410, "ERROR")</f>
        <v>SS</v>
      </c>
      <c r="H410" s="9">
        <f>if('Point Intercept 1'!I410 = 'Point Intercept 2'!I410, 'Point Intercept 1'!I410, "ERROR")</f>
        <v>3</v>
      </c>
      <c r="I410" s="9">
        <f>if('Point Intercept 1'!H410 = 'Point Intercept 2'!H410, 'Point Intercept 1'!H410, "ERROR")</f>
        <v>1</v>
      </c>
      <c r="J410" s="9">
        <f>if('Point Intercept 1'!J410 = 'Point Intercept 2'!J410, 'Point Intercept 1'!J410, "ERROR")</f>
        <v>1.5</v>
      </c>
      <c r="K410" s="9" t="str">
        <f>if('Point Intercept 1'!K410 = 'Point Intercept 2'!K410, 'Point Intercept 1'!K410, "ERROR")</f>
        <v>L</v>
      </c>
      <c r="L410" s="9" t="str">
        <f>if('Point Intercept 1'!L410 = 'Point Intercept 2'!L410, 'Point Intercept 1'!L410, "ERROR")</f>
        <v>Litter</v>
      </c>
      <c r="M410" s="9" t="str">
        <f>if('Point Intercept 1'!N410 = 'Point Intercept 2'!M411, 'Point Intercept 1'!N410, "ERROR")</f>
        <v/>
      </c>
      <c r="N410" s="9" t="str">
        <f>if('Point Intercept 1'!O410 = 'Point Intercept 2'!N411, 'Point Intercept 1'!O410, "ERROR")</f>
        <v/>
      </c>
      <c r="O410" s="9" t="str">
        <f>if('Point Intercept 1'!P410 = 'Point Intercept 2'!O411, 'Point Intercept 1'!P410, "ERROR")</f>
        <v/>
      </c>
    </row>
    <row r="411">
      <c r="A411" s="9">
        <f>if('Point Intercept 1'!A411 = 'Point Intercept 2'!A411, 'Point Intercept 1'!A411, "ERROR")</f>
        <v>5</v>
      </c>
      <c r="B411" s="9">
        <f>if('Point Intercept 1'!B411 = 'Point Intercept 2'!B411, 'Point Intercept 1'!B411, "ERROR")</f>
        <v>2025</v>
      </c>
      <c r="C411" s="14">
        <f>if('Point Intercept 1'!C411 = 'Point Intercept 2'!C411, 'Point Intercept 1'!C411, "ERROR")</f>
        <v>45755</v>
      </c>
      <c r="D411" s="9" t="str">
        <f>if('Point Intercept 1'!D411 = 'Point Intercept 2'!D411, 'Point Intercept 1'!D411, "ERROR")</f>
        <v>TL, JC</v>
      </c>
      <c r="E411" s="9" t="str">
        <f>if('Point Intercept 1'!E411 = 'Point Intercept 2'!E411, 'Point Intercept 1'!E411, "ERROR")</f>
        <v>VB</v>
      </c>
      <c r="F411" s="9">
        <f>if('Point Intercept 1'!F411 = 'Point Intercept 2'!F411, 'Point Intercept 1'!F411, "ERROR")</f>
        <v>3</v>
      </c>
      <c r="G411" s="9" t="str">
        <f>if('Point Intercept 1'!G411 = 'Point Intercept 2'!G411, 'Point Intercept 1'!G411, "ERROR")</f>
        <v>SS</v>
      </c>
      <c r="H411" s="9">
        <f>if('Point Intercept 1'!I411 = 'Point Intercept 2'!I411, 'Point Intercept 1'!I411, "ERROR")</f>
        <v>3</v>
      </c>
      <c r="I411" s="9">
        <f>if('Point Intercept 1'!H411 = 'Point Intercept 2'!H411, 'Point Intercept 1'!H411, "ERROR")</f>
        <v>1</v>
      </c>
      <c r="J411" s="9">
        <f>if('Point Intercept 1'!J411 = 'Point Intercept 2'!J411, 'Point Intercept 1'!J411, "ERROR")</f>
        <v>1.5</v>
      </c>
      <c r="K411" s="9" t="str">
        <f>if('Point Intercept 1'!K411 = 'Point Intercept 2'!K411, 'Point Intercept 1'!K411, "ERROR")</f>
        <v>DAUPUS</v>
      </c>
      <c r="L411" s="9" t="str">
        <f>if('Point Intercept 1'!L411 = 'Point Intercept 2'!L411, 'Point Intercept 1'!L411, "ERROR")</f>
        <v>Daucus pusillus</v>
      </c>
      <c r="M411" s="9" t="str">
        <f>if('Point Intercept 1'!N411 = 'Point Intercept 2'!M412, 'Point Intercept 1'!N411, "ERROR")</f>
        <v/>
      </c>
      <c r="N411" s="9" t="str">
        <f>if('Point Intercept 1'!O411 = 'Point Intercept 2'!N412, 'Point Intercept 1'!O411, "ERROR")</f>
        <v/>
      </c>
      <c r="O411" s="9" t="str">
        <f>if('Point Intercept 1'!P411 = 'Point Intercept 2'!O412, 'Point Intercept 1'!P411, "ERROR")</f>
        <v/>
      </c>
    </row>
    <row r="412">
      <c r="A412" s="9">
        <f>if('Point Intercept 1'!A412 = 'Point Intercept 2'!A412, 'Point Intercept 1'!A412, "ERROR")</f>
        <v>5</v>
      </c>
      <c r="B412" s="9">
        <f>if('Point Intercept 1'!B412 = 'Point Intercept 2'!B412, 'Point Intercept 1'!B412, "ERROR")</f>
        <v>2025</v>
      </c>
      <c r="C412" s="14">
        <f>if('Point Intercept 1'!C412 = 'Point Intercept 2'!C412, 'Point Intercept 1'!C412, "ERROR")</f>
        <v>45755</v>
      </c>
      <c r="D412" s="9" t="str">
        <f>if('Point Intercept 1'!D412 = 'Point Intercept 2'!D412, 'Point Intercept 1'!D412, "ERROR")</f>
        <v>TL, JC</v>
      </c>
      <c r="E412" s="9" t="str">
        <f>if('Point Intercept 1'!E412 = 'Point Intercept 2'!E412, 'Point Intercept 1'!E412, "ERROR")</f>
        <v>VB</v>
      </c>
      <c r="F412" s="9">
        <f>if('Point Intercept 1'!F412 = 'Point Intercept 2'!F412, 'Point Intercept 1'!F412, "ERROR")</f>
        <v>3</v>
      </c>
      <c r="G412" s="9" t="str">
        <f>if('Point Intercept 1'!G412 = 'Point Intercept 2'!G412, 'Point Intercept 1'!G412, "ERROR")</f>
        <v>SS</v>
      </c>
      <c r="H412" s="9">
        <f>if('Point Intercept 1'!I412 = 'Point Intercept 2'!I412, 'Point Intercept 1'!I412, "ERROR")</f>
        <v>3</v>
      </c>
      <c r="I412" s="9">
        <f>if('Point Intercept 1'!H412 = 'Point Intercept 2'!H412, 'Point Intercept 1'!H412, "ERROR")</f>
        <v>1</v>
      </c>
      <c r="J412" s="9">
        <f>if('Point Intercept 1'!J412 = 'Point Intercept 2'!J412, 'Point Intercept 1'!J412, "ERROR")</f>
        <v>1.5</v>
      </c>
      <c r="K412" s="9" t="str">
        <f>if('Point Intercept 1'!K412 = 'Point Intercept 2'!K412, 'Point Intercept 1'!K412, "ERROR")</f>
        <v>ANAARV</v>
      </c>
      <c r="L412" s="9" t="str">
        <f>if('Point Intercept 1'!L412 = 'Point Intercept 2'!L412, 'Point Intercept 1'!L412, "ERROR")</f>
        <v>Anagallis arvensis</v>
      </c>
      <c r="M412" s="9" t="str">
        <f>if('Point Intercept 1'!N412 = 'Point Intercept 2'!M413, 'Point Intercept 1'!N412, "ERROR")</f>
        <v/>
      </c>
      <c r="N412" s="9" t="str">
        <f>if('Point Intercept 1'!O412 = 'Point Intercept 2'!N413, 'Point Intercept 1'!O412, "ERROR")</f>
        <v/>
      </c>
      <c r="O412" s="9" t="str">
        <f>if('Point Intercept 1'!P412 = 'Point Intercept 2'!O413, 'Point Intercept 1'!P412, "ERROR")</f>
        <v/>
      </c>
    </row>
    <row r="413">
      <c r="A413" s="9">
        <f>if('Point Intercept 1'!A413 = 'Point Intercept 2'!A413, 'Point Intercept 1'!A413, "ERROR")</f>
        <v>5</v>
      </c>
      <c r="B413" s="9">
        <f>if('Point Intercept 1'!B413 = 'Point Intercept 2'!B413, 'Point Intercept 1'!B413, "ERROR")</f>
        <v>2025</v>
      </c>
      <c r="C413" s="14">
        <f>if('Point Intercept 1'!C413 = 'Point Intercept 2'!C413, 'Point Intercept 1'!C413, "ERROR")</f>
        <v>45755</v>
      </c>
      <c r="D413" s="9" t="str">
        <f>if('Point Intercept 1'!D413 = 'Point Intercept 2'!D413, 'Point Intercept 1'!D413, "ERROR")</f>
        <v>TL, JC</v>
      </c>
      <c r="E413" s="9" t="str">
        <f>if('Point Intercept 1'!E413 = 'Point Intercept 2'!E413, 'Point Intercept 1'!E413, "ERROR")</f>
        <v>VB</v>
      </c>
      <c r="F413" s="9">
        <f>if('Point Intercept 1'!F413 = 'Point Intercept 2'!F413, 'Point Intercept 1'!F413, "ERROR")</f>
        <v>3</v>
      </c>
      <c r="G413" s="9" t="str">
        <f>if('Point Intercept 1'!G413 = 'Point Intercept 2'!G413, 'Point Intercept 1'!G413, "ERROR")</f>
        <v>SS</v>
      </c>
      <c r="H413" s="9">
        <f>if('Point Intercept 1'!I413 = 'Point Intercept 2'!I413, 'Point Intercept 1'!I413, "ERROR")</f>
        <v>3</v>
      </c>
      <c r="I413" s="9">
        <f>if('Point Intercept 1'!H413 = 'Point Intercept 2'!H413, 'Point Intercept 1'!H413, "ERROR")</f>
        <v>1</v>
      </c>
      <c r="J413" s="9">
        <f>if('Point Intercept 1'!J413 = 'Point Intercept 2'!J413, 'Point Intercept 1'!J413, "ERROR")</f>
        <v>1.5</v>
      </c>
      <c r="K413" s="9" t="str">
        <f>if('Point Intercept 1'!K413 = 'Point Intercept 2'!K413, 'Point Intercept 1'!K413, "ERROR")</f>
        <v>FESMYU</v>
      </c>
      <c r="L413" s="9" t="str">
        <f>if('Point Intercept 1'!L413 = 'Point Intercept 2'!L413, 'Point Intercept 1'!L413, "ERROR")</f>
        <v>Festuca myuros</v>
      </c>
      <c r="M413" s="9" t="str">
        <f>if('Point Intercept 1'!N413 = 'Point Intercept 2'!M414, 'Point Intercept 1'!N413, "ERROR")</f>
        <v/>
      </c>
      <c r="N413" s="9" t="str">
        <f>if('Point Intercept 1'!O413 = 'Point Intercept 2'!N414, 'Point Intercept 1'!O413, "ERROR")</f>
        <v/>
      </c>
      <c r="O413" s="9" t="str">
        <f>if('Point Intercept 1'!P413 = 'Point Intercept 2'!O414, 'Point Intercept 1'!P413, "ERROR")</f>
        <v/>
      </c>
    </row>
    <row r="414">
      <c r="A414" s="9">
        <f>if('Point Intercept 1'!A414 = 'Point Intercept 2'!A414, 'Point Intercept 1'!A414, "ERROR")</f>
        <v>5</v>
      </c>
      <c r="B414" s="9">
        <f>if('Point Intercept 1'!B414 = 'Point Intercept 2'!B414, 'Point Intercept 1'!B414, "ERROR")</f>
        <v>2025</v>
      </c>
      <c r="C414" s="14">
        <f>if('Point Intercept 1'!C414 = 'Point Intercept 2'!C414, 'Point Intercept 1'!C414, "ERROR")</f>
        <v>45755</v>
      </c>
      <c r="D414" s="9" t="str">
        <f>if('Point Intercept 1'!D414 = 'Point Intercept 2'!D414, 'Point Intercept 1'!D414, "ERROR")</f>
        <v>TL, JC</v>
      </c>
      <c r="E414" s="9" t="str">
        <f>if('Point Intercept 1'!E414 = 'Point Intercept 2'!E414, 'Point Intercept 1'!E414, "ERROR")</f>
        <v>VB</v>
      </c>
      <c r="F414" s="9">
        <f>if('Point Intercept 1'!F414 = 'Point Intercept 2'!F414, 'Point Intercept 1'!F414, "ERROR")</f>
        <v>3</v>
      </c>
      <c r="G414" s="9" t="str">
        <f>if('Point Intercept 1'!G414 = 'Point Intercept 2'!G414, 'Point Intercept 1'!G414, "ERROR")</f>
        <v>SS</v>
      </c>
      <c r="H414" s="9">
        <f>if('Point Intercept 1'!I414 = 'Point Intercept 2'!I414, 'Point Intercept 1'!I414, "ERROR")</f>
        <v>4</v>
      </c>
      <c r="I414" s="9">
        <f>if('Point Intercept 1'!H414 = 'Point Intercept 2'!H414, 'Point Intercept 1'!H414, "ERROR")</f>
        <v>1</v>
      </c>
      <c r="J414" s="9">
        <f>if('Point Intercept 1'!J414 = 'Point Intercept 2'!J414, 'Point Intercept 1'!J414, "ERROR")</f>
        <v>2</v>
      </c>
      <c r="K414" s="9" t="str">
        <f>if('Point Intercept 1'!K414 = 'Point Intercept 2'!K414, 'Point Intercept 1'!K414, "ERROR")</f>
        <v>L</v>
      </c>
      <c r="L414" s="9" t="str">
        <f>if('Point Intercept 1'!L414 = 'Point Intercept 2'!L414, 'Point Intercept 1'!L414, "ERROR")</f>
        <v>Litter</v>
      </c>
      <c r="M414" s="9" t="str">
        <f>if('Point Intercept 1'!N414 = 'Point Intercept 2'!M415, 'Point Intercept 1'!N414, "ERROR")</f>
        <v/>
      </c>
      <c r="N414" s="9" t="str">
        <f>if('Point Intercept 1'!O414 = 'Point Intercept 2'!N415, 'Point Intercept 1'!O414, "ERROR")</f>
        <v/>
      </c>
      <c r="O414" s="9" t="str">
        <f>if('Point Intercept 1'!P414 = 'Point Intercept 2'!O415, 'Point Intercept 1'!P414, "ERROR")</f>
        <v/>
      </c>
    </row>
    <row r="415">
      <c r="A415" s="9">
        <f>if('Point Intercept 1'!A415 = 'Point Intercept 2'!A415, 'Point Intercept 1'!A415, "ERROR")</f>
        <v>5</v>
      </c>
      <c r="B415" s="9">
        <f>if('Point Intercept 1'!B415 = 'Point Intercept 2'!B415, 'Point Intercept 1'!B415, "ERROR")</f>
        <v>2025</v>
      </c>
      <c r="C415" s="14">
        <f>if('Point Intercept 1'!C415 = 'Point Intercept 2'!C415, 'Point Intercept 1'!C415, "ERROR")</f>
        <v>45755</v>
      </c>
      <c r="D415" s="9" t="str">
        <f>if('Point Intercept 1'!D415 = 'Point Intercept 2'!D415, 'Point Intercept 1'!D415, "ERROR")</f>
        <v>TL, JC</v>
      </c>
      <c r="E415" s="9" t="str">
        <f>if('Point Intercept 1'!E415 = 'Point Intercept 2'!E415, 'Point Intercept 1'!E415, "ERROR")</f>
        <v>VB</v>
      </c>
      <c r="F415" s="9">
        <f>if('Point Intercept 1'!F415 = 'Point Intercept 2'!F415, 'Point Intercept 1'!F415, "ERROR")</f>
        <v>3</v>
      </c>
      <c r="G415" s="9" t="str">
        <f>if('Point Intercept 1'!G415 = 'Point Intercept 2'!G415, 'Point Intercept 1'!G415, "ERROR")</f>
        <v>SS</v>
      </c>
      <c r="H415" s="9">
        <f>if('Point Intercept 1'!I415 = 'Point Intercept 2'!I415, 'Point Intercept 1'!I415, "ERROR")</f>
        <v>4</v>
      </c>
      <c r="I415" s="9">
        <f>if('Point Intercept 1'!H415 = 'Point Intercept 2'!H415, 'Point Intercept 1'!H415, "ERROR")</f>
        <v>1</v>
      </c>
      <c r="J415" s="9">
        <f>if('Point Intercept 1'!J415 = 'Point Intercept 2'!J415, 'Point Intercept 1'!J415, "ERROR")</f>
        <v>2</v>
      </c>
      <c r="K415" s="9" t="str">
        <f>if('Point Intercept 1'!K415 = 'Point Intercept 2'!K415, 'Point Intercept 1'!K415, "ERROR")</f>
        <v>MEDPOL</v>
      </c>
      <c r="L415" s="9" t="str">
        <f>if('Point Intercept 1'!L415 = 'Point Intercept 2'!L415, 'Point Intercept 1'!L415, "ERROR")</f>
        <v>Medicago polymorpha</v>
      </c>
      <c r="M415" s="9" t="str">
        <f>if('Point Intercept 1'!N415 = 'Point Intercept 2'!M416, 'Point Intercept 1'!N415, "ERROR")</f>
        <v/>
      </c>
      <c r="N415" s="9" t="str">
        <f>if('Point Intercept 1'!O415 = 'Point Intercept 2'!N416, 'Point Intercept 1'!O415, "ERROR")</f>
        <v/>
      </c>
      <c r="O415" s="9" t="str">
        <f>if('Point Intercept 1'!P415 = 'Point Intercept 2'!O416, 'Point Intercept 1'!P415, "ERROR")</f>
        <v/>
      </c>
    </row>
    <row r="416">
      <c r="A416" s="9">
        <f>if('Point Intercept 1'!A416 = 'Point Intercept 2'!A416, 'Point Intercept 1'!A416, "ERROR")</f>
        <v>5</v>
      </c>
      <c r="B416" s="9">
        <f>if('Point Intercept 1'!B416 = 'Point Intercept 2'!B416, 'Point Intercept 1'!B416, "ERROR")</f>
        <v>2025</v>
      </c>
      <c r="C416" s="14">
        <f>if('Point Intercept 1'!C416 = 'Point Intercept 2'!C416, 'Point Intercept 1'!C416, "ERROR")</f>
        <v>45755</v>
      </c>
      <c r="D416" s="9" t="str">
        <f>if('Point Intercept 1'!D416 = 'Point Intercept 2'!D416, 'Point Intercept 1'!D416, "ERROR")</f>
        <v>TL, JC</v>
      </c>
      <c r="E416" s="9" t="str">
        <f>if('Point Intercept 1'!E416 = 'Point Intercept 2'!E416, 'Point Intercept 1'!E416, "ERROR")</f>
        <v>VB</v>
      </c>
      <c r="F416" s="9">
        <f>if('Point Intercept 1'!F416 = 'Point Intercept 2'!F416, 'Point Intercept 1'!F416, "ERROR")</f>
        <v>3</v>
      </c>
      <c r="G416" s="9" t="str">
        <f>if('Point Intercept 1'!G416 = 'Point Intercept 2'!G416, 'Point Intercept 1'!G416, "ERROR")</f>
        <v>SS</v>
      </c>
      <c r="H416" s="9">
        <f>if('Point Intercept 1'!I416 = 'Point Intercept 2'!I416, 'Point Intercept 1'!I416, "ERROR")</f>
        <v>4</v>
      </c>
      <c r="I416" s="9">
        <f>if('Point Intercept 1'!H416 = 'Point Intercept 2'!H416, 'Point Intercept 1'!H416, "ERROR")</f>
        <v>1</v>
      </c>
      <c r="J416" s="9">
        <f>if('Point Intercept 1'!J416 = 'Point Intercept 2'!J416, 'Point Intercept 1'!J416, "ERROR")</f>
        <v>2</v>
      </c>
      <c r="K416" s="9" t="str">
        <f>if('Point Intercept 1'!K416 = 'Point Intercept 2'!K416, 'Point Intercept 1'!K416, "ERROR")</f>
        <v>FESMYU</v>
      </c>
      <c r="L416" s="9" t="str">
        <f>if('Point Intercept 1'!L416 = 'Point Intercept 2'!L416, 'Point Intercept 1'!L416, "ERROR")</f>
        <v>Festuca myuros</v>
      </c>
      <c r="M416" s="9" t="str">
        <f>if('Point Intercept 1'!N416 = 'Point Intercept 2'!M417, 'Point Intercept 1'!N416, "ERROR")</f>
        <v/>
      </c>
      <c r="N416" s="9" t="str">
        <f>if('Point Intercept 1'!O416 = 'Point Intercept 2'!N417, 'Point Intercept 1'!O416, "ERROR")</f>
        <v/>
      </c>
      <c r="O416" s="9" t="str">
        <f>if('Point Intercept 1'!P416 = 'Point Intercept 2'!O417, 'Point Intercept 1'!P416, "ERROR")</f>
        <v/>
      </c>
    </row>
    <row r="417">
      <c r="A417" s="9">
        <f>if('Point Intercept 1'!A417 = 'Point Intercept 2'!A417, 'Point Intercept 1'!A417, "ERROR")</f>
        <v>5</v>
      </c>
      <c r="B417" s="9">
        <f>if('Point Intercept 1'!B417 = 'Point Intercept 2'!B417, 'Point Intercept 1'!B417, "ERROR")</f>
        <v>2025</v>
      </c>
      <c r="C417" s="14">
        <f>if('Point Intercept 1'!C417 = 'Point Intercept 2'!C417, 'Point Intercept 1'!C417, "ERROR")</f>
        <v>45755</v>
      </c>
      <c r="D417" s="9" t="str">
        <f>if('Point Intercept 1'!D417 = 'Point Intercept 2'!D417, 'Point Intercept 1'!D417, "ERROR")</f>
        <v>TL, JC</v>
      </c>
      <c r="E417" s="9" t="str">
        <f>if('Point Intercept 1'!E417 = 'Point Intercept 2'!E417, 'Point Intercept 1'!E417, "ERROR")</f>
        <v>VB</v>
      </c>
      <c r="F417" s="9">
        <f>if('Point Intercept 1'!F417 = 'Point Intercept 2'!F417, 'Point Intercept 1'!F417, "ERROR")</f>
        <v>3</v>
      </c>
      <c r="G417" s="9" t="str">
        <f>if('Point Intercept 1'!G417 = 'Point Intercept 2'!G417, 'Point Intercept 1'!G417, "ERROR")</f>
        <v>SS</v>
      </c>
      <c r="H417" s="9">
        <f>if('Point Intercept 1'!I417 = 'Point Intercept 2'!I417, 'Point Intercept 1'!I417, "ERROR")</f>
        <v>4</v>
      </c>
      <c r="I417" s="9">
        <f>if('Point Intercept 1'!H417 = 'Point Intercept 2'!H417, 'Point Intercept 1'!H417, "ERROR")</f>
        <v>1</v>
      </c>
      <c r="J417" s="9">
        <f>if('Point Intercept 1'!J417 = 'Point Intercept 2'!J417, 'Point Intercept 1'!J417, "ERROR")</f>
        <v>2</v>
      </c>
      <c r="K417" s="9" t="str">
        <f>if('Point Intercept 1'!K417 = 'Point Intercept 2'!K417, 'Point Intercept 1'!K417, "ERROR")</f>
        <v>BRANIG</v>
      </c>
      <c r="L417" s="9" t="str">
        <f>if('Point Intercept 1'!L417 = 'Point Intercept 2'!L417, 'Point Intercept 1'!L417, "ERROR")</f>
        <v>Brassica nigra</v>
      </c>
      <c r="M417" s="9" t="str">
        <f>if('Point Intercept 1'!N417 = 'Point Intercept 2'!M418, 'Point Intercept 1'!N417, "ERROR")</f>
        <v/>
      </c>
      <c r="N417" s="9" t="str">
        <f>if('Point Intercept 1'!O417 = 'Point Intercept 2'!N418, 'Point Intercept 1'!O417, "ERROR")</f>
        <v/>
      </c>
      <c r="O417" s="9" t="str">
        <f>if('Point Intercept 1'!P417 = 'Point Intercept 2'!O418, 'Point Intercept 1'!P417, "ERROR")</f>
        <v/>
      </c>
    </row>
    <row r="418">
      <c r="A418" s="9">
        <f>if('Point Intercept 1'!A418 = 'Point Intercept 2'!A418, 'Point Intercept 1'!A418, "ERROR")</f>
        <v>5</v>
      </c>
      <c r="B418" s="9">
        <f>if('Point Intercept 1'!B418 = 'Point Intercept 2'!B418, 'Point Intercept 1'!B418, "ERROR")</f>
        <v>2025</v>
      </c>
      <c r="C418" s="14">
        <f>if('Point Intercept 1'!C418 = 'Point Intercept 2'!C418, 'Point Intercept 1'!C418, "ERROR")</f>
        <v>45755</v>
      </c>
      <c r="D418" s="9" t="str">
        <f>if('Point Intercept 1'!D418 = 'Point Intercept 2'!D418, 'Point Intercept 1'!D418, "ERROR")</f>
        <v>TL, JC</v>
      </c>
      <c r="E418" s="9" t="str">
        <f>if('Point Intercept 1'!E418 = 'Point Intercept 2'!E418, 'Point Intercept 1'!E418, "ERROR")</f>
        <v>VB</v>
      </c>
      <c r="F418" s="9">
        <f>if('Point Intercept 1'!F418 = 'Point Intercept 2'!F418, 'Point Intercept 1'!F418, "ERROR")</f>
        <v>3</v>
      </c>
      <c r="G418" s="9" t="str">
        <f>if('Point Intercept 1'!G418 = 'Point Intercept 2'!G418, 'Point Intercept 1'!G418, "ERROR")</f>
        <v>SS</v>
      </c>
      <c r="H418" s="9">
        <f>if('Point Intercept 1'!I418 = 'Point Intercept 2'!I418, 'Point Intercept 1'!I418, "ERROR")</f>
        <v>5</v>
      </c>
      <c r="I418" s="9">
        <f>if('Point Intercept 1'!H418 = 'Point Intercept 2'!H418, 'Point Intercept 1'!H418, "ERROR")</f>
        <v>1</v>
      </c>
      <c r="J418" s="9">
        <f>if('Point Intercept 1'!J418 = 'Point Intercept 2'!J418, 'Point Intercept 1'!J418, "ERROR")</f>
        <v>3</v>
      </c>
      <c r="K418" s="9" t="str">
        <f>if('Point Intercept 1'!K418 = 'Point Intercept 2'!K418, 'Point Intercept 1'!K418, "ERROR")</f>
        <v>L</v>
      </c>
      <c r="L418" s="9" t="str">
        <f>if('Point Intercept 1'!L418 = 'Point Intercept 2'!L418, 'Point Intercept 1'!L418, "ERROR")</f>
        <v>Litter</v>
      </c>
      <c r="M418" s="9" t="str">
        <f>if('Point Intercept 1'!N418 = 'Point Intercept 2'!M419, 'Point Intercept 1'!N418, "ERROR")</f>
        <v/>
      </c>
      <c r="N418" s="9" t="str">
        <f>if('Point Intercept 1'!O418 = 'Point Intercept 2'!N419, 'Point Intercept 1'!O418, "ERROR")</f>
        <v/>
      </c>
      <c r="O418" s="9" t="str">
        <f>if('Point Intercept 1'!P418 = 'Point Intercept 2'!O419, 'Point Intercept 1'!P418, "ERROR")</f>
        <v/>
      </c>
    </row>
    <row r="419">
      <c r="A419" s="9">
        <f>if('Point Intercept 1'!A419 = 'Point Intercept 2'!A419, 'Point Intercept 1'!A419, "ERROR")</f>
        <v>5</v>
      </c>
      <c r="B419" s="9">
        <f>if('Point Intercept 1'!B419 = 'Point Intercept 2'!B419, 'Point Intercept 1'!B419, "ERROR")</f>
        <v>2025</v>
      </c>
      <c r="C419" s="14">
        <f>if('Point Intercept 1'!C419 = 'Point Intercept 2'!C419, 'Point Intercept 1'!C419, "ERROR")</f>
        <v>45755</v>
      </c>
      <c r="D419" s="9" t="str">
        <f>if('Point Intercept 1'!D419 = 'Point Intercept 2'!D419, 'Point Intercept 1'!D419, "ERROR")</f>
        <v>TL, JC</v>
      </c>
      <c r="E419" s="9" t="str">
        <f>if('Point Intercept 1'!E419 = 'Point Intercept 2'!E419, 'Point Intercept 1'!E419, "ERROR")</f>
        <v>VB</v>
      </c>
      <c r="F419" s="9">
        <f>if('Point Intercept 1'!F419 = 'Point Intercept 2'!F419, 'Point Intercept 1'!F419, "ERROR")</f>
        <v>3</v>
      </c>
      <c r="G419" s="9" t="str">
        <f>if('Point Intercept 1'!G419 = 'Point Intercept 2'!G419, 'Point Intercept 1'!G419, "ERROR")</f>
        <v>SS</v>
      </c>
      <c r="H419" s="9">
        <f>if('Point Intercept 1'!I419 = 'Point Intercept 2'!I419, 'Point Intercept 1'!I419, "ERROR")</f>
        <v>5</v>
      </c>
      <c r="I419" s="9">
        <f>if('Point Intercept 1'!H419 = 'Point Intercept 2'!H419, 'Point Intercept 1'!H419, "ERROR")</f>
        <v>1</v>
      </c>
      <c r="J419" s="9">
        <f>if('Point Intercept 1'!J419 = 'Point Intercept 2'!J419, 'Point Intercept 1'!J419, "ERROR")</f>
        <v>3</v>
      </c>
      <c r="K419" s="9" t="str">
        <f>if('Point Intercept 1'!K419 = 'Point Intercept 2'!K419, 'Point Intercept 1'!K419, "ERROR")</f>
        <v>ANAARV</v>
      </c>
      <c r="L419" s="9" t="str">
        <f>if('Point Intercept 1'!L419 = 'Point Intercept 2'!L419, 'Point Intercept 1'!L419, "ERROR")</f>
        <v>Anagallis arvensis</v>
      </c>
      <c r="M419" s="9" t="str">
        <f>if('Point Intercept 1'!N419 = 'Point Intercept 2'!M420, 'Point Intercept 1'!N419, "ERROR")</f>
        <v/>
      </c>
      <c r="N419" s="9" t="str">
        <f>if('Point Intercept 1'!O419 = 'Point Intercept 2'!N420, 'Point Intercept 1'!O419, "ERROR")</f>
        <v/>
      </c>
      <c r="O419" s="9" t="str">
        <f>if('Point Intercept 1'!P419 = 'Point Intercept 2'!O420, 'Point Intercept 1'!P419, "ERROR")</f>
        <v/>
      </c>
    </row>
    <row r="420">
      <c r="A420" s="9">
        <f>if('Point Intercept 1'!A420 = 'Point Intercept 2'!A420, 'Point Intercept 1'!A420, "ERROR")</f>
        <v>5</v>
      </c>
      <c r="B420" s="9">
        <f>if('Point Intercept 1'!B420 = 'Point Intercept 2'!B420, 'Point Intercept 1'!B420, "ERROR")</f>
        <v>2025</v>
      </c>
      <c r="C420" s="14">
        <f>if('Point Intercept 1'!C420 = 'Point Intercept 2'!C420, 'Point Intercept 1'!C420, "ERROR")</f>
        <v>45755</v>
      </c>
      <c r="D420" s="9" t="str">
        <f>if('Point Intercept 1'!D420 = 'Point Intercept 2'!D420, 'Point Intercept 1'!D420, "ERROR")</f>
        <v>TL, JC</v>
      </c>
      <c r="E420" s="9" t="str">
        <f>if('Point Intercept 1'!E420 = 'Point Intercept 2'!E420, 'Point Intercept 1'!E420, "ERROR")</f>
        <v>VB</v>
      </c>
      <c r="F420" s="9">
        <f>if('Point Intercept 1'!F420 = 'Point Intercept 2'!F420, 'Point Intercept 1'!F420, "ERROR")</f>
        <v>3</v>
      </c>
      <c r="G420" s="9" t="str">
        <f>if('Point Intercept 1'!G420 = 'Point Intercept 2'!G420, 'Point Intercept 1'!G420, "ERROR")</f>
        <v>SS</v>
      </c>
      <c r="H420" s="9">
        <f>if('Point Intercept 1'!I420 = 'Point Intercept 2'!I420, 'Point Intercept 1'!I420, "ERROR")</f>
        <v>5</v>
      </c>
      <c r="I420" s="9">
        <f>if('Point Intercept 1'!H420 = 'Point Intercept 2'!H420, 'Point Intercept 1'!H420, "ERROR")</f>
        <v>1</v>
      </c>
      <c r="J420" s="9">
        <f>if('Point Intercept 1'!J420 = 'Point Intercept 2'!J420, 'Point Intercept 1'!J420, "ERROR")</f>
        <v>3</v>
      </c>
      <c r="K420" s="9" t="str">
        <f>if('Point Intercept 1'!K420 = 'Point Intercept 2'!K420, 'Point Intercept 1'!K420, "ERROR")</f>
        <v>MEDPOL</v>
      </c>
      <c r="L420" s="9" t="str">
        <f>if('Point Intercept 1'!L420 = 'Point Intercept 2'!L420, 'Point Intercept 1'!L420, "ERROR")</f>
        <v>Medicago polymorpha</v>
      </c>
      <c r="M420" s="9" t="str">
        <f>if('Point Intercept 1'!N420 = 'Point Intercept 2'!M421, 'Point Intercept 1'!N420, "ERROR")</f>
        <v/>
      </c>
      <c r="N420" s="9" t="str">
        <f>if('Point Intercept 1'!O420 = 'Point Intercept 2'!N421, 'Point Intercept 1'!O420, "ERROR")</f>
        <v/>
      </c>
      <c r="O420" s="9" t="str">
        <f>if('Point Intercept 1'!P420 = 'Point Intercept 2'!O421, 'Point Intercept 1'!P420, "ERROR")</f>
        <v/>
      </c>
    </row>
    <row r="421">
      <c r="A421" s="9">
        <f>if('Point Intercept 1'!A421 = 'Point Intercept 2'!A421, 'Point Intercept 1'!A421, "ERROR")</f>
        <v>5</v>
      </c>
      <c r="B421" s="9">
        <f>if('Point Intercept 1'!B421 = 'Point Intercept 2'!B421, 'Point Intercept 1'!B421, "ERROR")</f>
        <v>2025</v>
      </c>
      <c r="C421" s="14">
        <f>if('Point Intercept 1'!C421 = 'Point Intercept 2'!C421, 'Point Intercept 1'!C421, "ERROR")</f>
        <v>45755</v>
      </c>
      <c r="D421" s="9" t="str">
        <f>if('Point Intercept 1'!D421 = 'Point Intercept 2'!D421, 'Point Intercept 1'!D421, "ERROR")</f>
        <v>TL, JC</v>
      </c>
      <c r="E421" s="9" t="str">
        <f>if('Point Intercept 1'!E421 = 'Point Intercept 2'!E421, 'Point Intercept 1'!E421, "ERROR")</f>
        <v>VB</v>
      </c>
      <c r="F421" s="9">
        <f>if('Point Intercept 1'!F421 = 'Point Intercept 2'!F421, 'Point Intercept 1'!F421, "ERROR")</f>
        <v>3</v>
      </c>
      <c r="G421" s="9" t="str">
        <f>if('Point Intercept 1'!G421 = 'Point Intercept 2'!G421, 'Point Intercept 1'!G421, "ERROR")</f>
        <v>SS</v>
      </c>
      <c r="H421" s="9">
        <f>if('Point Intercept 1'!I421 = 'Point Intercept 2'!I421, 'Point Intercept 1'!I421, "ERROR")</f>
        <v>5</v>
      </c>
      <c r="I421" s="9">
        <f>if('Point Intercept 1'!H421 = 'Point Intercept 2'!H421, 'Point Intercept 1'!H421, "ERROR")</f>
        <v>1</v>
      </c>
      <c r="J421" s="9">
        <f>if('Point Intercept 1'!J421 = 'Point Intercept 2'!J421, 'Point Intercept 1'!J421, "ERROR")</f>
        <v>3</v>
      </c>
      <c r="K421" s="9" t="str">
        <f>if('Point Intercept 1'!K421 = 'Point Intercept 2'!K421, 'Point Intercept 1'!K421, "ERROR")</f>
        <v>CENMEL</v>
      </c>
      <c r="L421" s="9" t="str">
        <f>if('Point Intercept 1'!L421 = 'Point Intercept 2'!L421, 'Point Intercept 1'!L421, "ERROR")</f>
        <v>Centaurea melitensis</v>
      </c>
      <c r="M421" s="9" t="str">
        <f>if('Point Intercept 1'!N421 = 'Point Intercept 2'!M422, 'Point Intercept 1'!N421, "ERROR")</f>
        <v/>
      </c>
      <c r="N421" s="9" t="str">
        <f>if('Point Intercept 1'!O421 = 'Point Intercept 2'!N422, 'Point Intercept 1'!O421, "ERROR")</f>
        <v/>
      </c>
      <c r="O421" s="9" t="str">
        <f>if('Point Intercept 1'!P421 = 'Point Intercept 2'!O422, 'Point Intercept 1'!P421, "ERROR")</f>
        <v/>
      </c>
    </row>
    <row r="422">
      <c r="A422" s="9">
        <f>if('Point Intercept 1'!A422 = 'Point Intercept 2'!A422, 'Point Intercept 1'!A422, "ERROR")</f>
        <v>5</v>
      </c>
      <c r="B422" s="9">
        <f>if('Point Intercept 1'!B422 = 'Point Intercept 2'!B422, 'Point Intercept 1'!B422, "ERROR")</f>
        <v>2025</v>
      </c>
      <c r="C422" s="14">
        <f>if('Point Intercept 1'!C422 = 'Point Intercept 2'!C422, 'Point Intercept 1'!C422, "ERROR")</f>
        <v>45755</v>
      </c>
      <c r="D422" s="9" t="str">
        <f>if('Point Intercept 1'!D422 = 'Point Intercept 2'!D422, 'Point Intercept 1'!D422, "ERROR")</f>
        <v>TL, JC</v>
      </c>
      <c r="E422" s="9" t="str">
        <f>if('Point Intercept 1'!E422 = 'Point Intercept 2'!E422, 'Point Intercept 1'!E422, "ERROR")</f>
        <v>VB</v>
      </c>
      <c r="F422" s="9">
        <f>if('Point Intercept 1'!F422 = 'Point Intercept 2'!F422, 'Point Intercept 1'!F422, "ERROR")</f>
        <v>3</v>
      </c>
      <c r="G422" s="9" t="str">
        <f>if('Point Intercept 1'!G422 = 'Point Intercept 2'!G422, 'Point Intercept 1'!G422, "ERROR")</f>
        <v>SS</v>
      </c>
      <c r="H422" s="9">
        <f>if('Point Intercept 1'!I422 = 'Point Intercept 2'!I422, 'Point Intercept 1'!I422, "ERROR")</f>
        <v>6</v>
      </c>
      <c r="I422" s="9">
        <f>if('Point Intercept 1'!H422 = 'Point Intercept 2'!H422, 'Point Intercept 1'!H422, "ERROR")</f>
        <v>1</v>
      </c>
      <c r="J422" s="9">
        <f>if('Point Intercept 1'!J422 = 'Point Intercept 2'!J422, 'Point Intercept 1'!J422, "ERROR")</f>
        <v>3.5</v>
      </c>
      <c r="K422" s="9" t="str">
        <f>if('Point Intercept 1'!K422 = 'Point Intercept 2'!K422, 'Point Intercept 1'!K422, "ERROR")</f>
        <v>L</v>
      </c>
      <c r="L422" s="9" t="str">
        <f>if('Point Intercept 1'!L422 = 'Point Intercept 2'!L422, 'Point Intercept 1'!L422, "ERROR")</f>
        <v>Litter</v>
      </c>
      <c r="M422" s="9" t="str">
        <f>if('Point Intercept 1'!N422 = 'Point Intercept 2'!M423, 'Point Intercept 1'!N422, "ERROR")</f>
        <v/>
      </c>
      <c r="N422" s="9" t="str">
        <f>if('Point Intercept 1'!O422 = 'Point Intercept 2'!N423, 'Point Intercept 1'!O422, "ERROR")</f>
        <v/>
      </c>
      <c r="O422" s="9" t="str">
        <f>if('Point Intercept 1'!P422 = 'Point Intercept 2'!O423, 'Point Intercept 1'!P422, "ERROR")</f>
        <v/>
      </c>
    </row>
    <row r="423">
      <c r="A423" s="9">
        <f>if('Point Intercept 1'!A423 = 'Point Intercept 2'!A423, 'Point Intercept 1'!A423, "ERROR")</f>
        <v>5</v>
      </c>
      <c r="B423" s="9">
        <f>if('Point Intercept 1'!B423 = 'Point Intercept 2'!B423, 'Point Intercept 1'!B423, "ERROR")</f>
        <v>2025</v>
      </c>
      <c r="C423" s="14">
        <f>if('Point Intercept 1'!C423 = 'Point Intercept 2'!C423, 'Point Intercept 1'!C423, "ERROR")</f>
        <v>45755</v>
      </c>
      <c r="D423" s="9" t="str">
        <f>if('Point Intercept 1'!D423 = 'Point Intercept 2'!D423, 'Point Intercept 1'!D423, "ERROR")</f>
        <v>TL, JC</v>
      </c>
      <c r="E423" s="9" t="str">
        <f>if('Point Intercept 1'!E423 = 'Point Intercept 2'!E423, 'Point Intercept 1'!E423, "ERROR")</f>
        <v>VB</v>
      </c>
      <c r="F423" s="9">
        <f>if('Point Intercept 1'!F423 = 'Point Intercept 2'!F423, 'Point Intercept 1'!F423, "ERROR")</f>
        <v>3</v>
      </c>
      <c r="G423" s="9" t="str">
        <f>if('Point Intercept 1'!G423 = 'Point Intercept 2'!G423, 'Point Intercept 1'!G423, "ERROR")</f>
        <v>SS</v>
      </c>
      <c r="H423" s="9">
        <f>if('Point Intercept 1'!I423 = 'Point Intercept 2'!I423, 'Point Intercept 1'!I423, "ERROR")</f>
        <v>6</v>
      </c>
      <c r="I423" s="9">
        <f>if('Point Intercept 1'!H423 = 'Point Intercept 2'!H423, 'Point Intercept 1'!H423, "ERROR")</f>
        <v>1</v>
      </c>
      <c r="J423" s="9">
        <f>if('Point Intercept 1'!J423 = 'Point Intercept 2'!J423, 'Point Intercept 1'!J423, "ERROR")</f>
        <v>3.5</v>
      </c>
      <c r="K423" s="9" t="str">
        <f>if('Point Intercept 1'!K423 = 'Point Intercept 2'!K423, 'Point Intercept 1'!K423, "ERROR")</f>
        <v>MEDPOL</v>
      </c>
      <c r="L423" s="9" t="str">
        <f>if('Point Intercept 1'!L423 = 'Point Intercept 2'!L423, 'Point Intercept 1'!L423, "ERROR")</f>
        <v>Medicago polymorpha</v>
      </c>
      <c r="M423" s="9" t="str">
        <f>if('Point Intercept 1'!N423 = 'Point Intercept 2'!M424, 'Point Intercept 1'!N423, "ERROR")</f>
        <v/>
      </c>
      <c r="N423" s="9" t="str">
        <f>if('Point Intercept 1'!O423 = 'Point Intercept 2'!N424, 'Point Intercept 1'!O423, "ERROR")</f>
        <v/>
      </c>
      <c r="O423" s="9" t="str">
        <f>if('Point Intercept 1'!P423 = 'Point Intercept 2'!O424, 'Point Intercept 1'!P423, "ERROR")</f>
        <v/>
      </c>
    </row>
    <row r="424">
      <c r="A424" s="9">
        <f>if('Point Intercept 1'!A424 = 'Point Intercept 2'!A424, 'Point Intercept 1'!A424, "ERROR")</f>
        <v>5</v>
      </c>
      <c r="B424" s="9">
        <f>if('Point Intercept 1'!B424 = 'Point Intercept 2'!B424, 'Point Intercept 1'!B424, "ERROR")</f>
        <v>2025</v>
      </c>
      <c r="C424" s="14">
        <f>if('Point Intercept 1'!C424 = 'Point Intercept 2'!C424, 'Point Intercept 1'!C424, "ERROR")</f>
        <v>45755</v>
      </c>
      <c r="D424" s="9" t="str">
        <f>if('Point Intercept 1'!D424 = 'Point Intercept 2'!D424, 'Point Intercept 1'!D424, "ERROR")</f>
        <v>TL, JC</v>
      </c>
      <c r="E424" s="9" t="str">
        <f>if('Point Intercept 1'!E424 = 'Point Intercept 2'!E424, 'Point Intercept 1'!E424, "ERROR")</f>
        <v>VB</v>
      </c>
      <c r="F424" s="9">
        <f>if('Point Intercept 1'!F424 = 'Point Intercept 2'!F424, 'Point Intercept 1'!F424, "ERROR")</f>
        <v>3</v>
      </c>
      <c r="G424" s="9" t="str">
        <f>if('Point Intercept 1'!G424 = 'Point Intercept 2'!G424, 'Point Intercept 1'!G424, "ERROR")</f>
        <v>SS</v>
      </c>
      <c r="H424" s="9">
        <f>if('Point Intercept 1'!I424 = 'Point Intercept 2'!I424, 'Point Intercept 1'!I424, "ERROR")</f>
        <v>6</v>
      </c>
      <c r="I424" s="9">
        <f>if('Point Intercept 1'!H424 = 'Point Intercept 2'!H424, 'Point Intercept 1'!H424, "ERROR")</f>
        <v>1</v>
      </c>
      <c r="J424" s="9">
        <f>if('Point Intercept 1'!J424 = 'Point Intercept 2'!J424, 'Point Intercept 1'!J424, "ERROR")</f>
        <v>3.5</v>
      </c>
      <c r="K424" s="9" t="str">
        <f>if('Point Intercept 1'!K424 = 'Point Intercept 2'!K424, 'Point Intercept 1'!K424, "ERROR")</f>
        <v>FESMYU</v>
      </c>
      <c r="L424" s="9" t="str">
        <f>if('Point Intercept 1'!L424 = 'Point Intercept 2'!L424, 'Point Intercept 1'!L424, "ERROR")</f>
        <v>Festuca myuros</v>
      </c>
      <c r="M424" s="9" t="str">
        <f>if('Point Intercept 1'!N424 = 'Point Intercept 2'!M425, 'Point Intercept 1'!N424, "ERROR")</f>
        <v/>
      </c>
      <c r="N424" s="9" t="str">
        <f>if('Point Intercept 1'!O424 = 'Point Intercept 2'!N425, 'Point Intercept 1'!O424, "ERROR")</f>
        <v/>
      </c>
      <c r="O424" s="9" t="str">
        <f>if('Point Intercept 1'!P424 = 'Point Intercept 2'!O425, 'Point Intercept 1'!P424, "ERROR")</f>
        <v/>
      </c>
    </row>
    <row r="425">
      <c r="A425" s="9">
        <f>if('Point Intercept 1'!A425 = 'Point Intercept 2'!A425, 'Point Intercept 1'!A425, "ERROR")</f>
        <v>5</v>
      </c>
      <c r="B425" s="9">
        <f>if('Point Intercept 1'!B425 = 'Point Intercept 2'!B425, 'Point Intercept 1'!B425, "ERROR")</f>
        <v>2025</v>
      </c>
      <c r="C425" s="14">
        <f>if('Point Intercept 1'!C425 = 'Point Intercept 2'!C425, 'Point Intercept 1'!C425, "ERROR")</f>
        <v>45755</v>
      </c>
      <c r="D425" s="9" t="str">
        <f>if('Point Intercept 1'!D425 = 'Point Intercept 2'!D425, 'Point Intercept 1'!D425, "ERROR")</f>
        <v>TL, JC</v>
      </c>
      <c r="E425" s="9" t="str">
        <f>if('Point Intercept 1'!E425 = 'Point Intercept 2'!E425, 'Point Intercept 1'!E425, "ERROR")</f>
        <v>VB</v>
      </c>
      <c r="F425" s="9">
        <f>if('Point Intercept 1'!F425 = 'Point Intercept 2'!F425, 'Point Intercept 1'!F425, "ERROR")</f>
        <v>3</v>
      </c>
      <c r="G425" s="9" t="str">
        <f>if('Point Intercept 1'!G425 = 'Point Intercept 2'!G425, 'Point Intercept 1'!G425, "ERROR")</f>
        <v>SS</v>
      </c>
      <c r="H425" s="9">
        <f>if('Point Intercept 1'!I425 = 'Point Intercept 2'!I425, 'Point Intercept 1'!I425, "ERROR")</f>
        <v>6</v>
      </c>
      <c r="I425" s="9">
        <f>if('Point Intercept 1'!H425 = 'Point Intercept 2'!H425, 'Point Intercept 1'!H425, "ERROR")</f>
        <v>1</v>
      </c>
      <c r="J425" s="9">
        <f>if('Point Intercept 1'!J425 = 'Point Intercept 2'!J425, 'Point Intercept 1'!J425, "ERROR")</f>
        <v>3.5</v>
      </c>
      <c r="K425" s="9" t="str">
        <f>if('Point Intercept 1'!K425 = 'Point Intercept 2'!K425, 'Point Intercept 1'!K425, "ERROR")</f>
        <v>CENMEL</v>
      </c>
      <c r="L425" s="9" t="str">
        <f>if('Point Intercept 1'!L425 = 'Point Intercept 2'!L425, 'Point Intercept 1'!L425, "ERROR")</f>
        <v>Centaurea melitensis</v>
      </c>
      <c r="M425" s="9" t="str">
        <f>if('Point Intercept 1'!N425 = 'Point Intercept 2'!M426, 'Point Intercept 1'!N425, "ERROR")</f>
        <v/>
      </c>
      <c r="N425" s="9" t="str">
        <f>if('Point Intercept 1'!O425 = 'Point Intercept 2'!N426, 'Point Intercept 1'!O425, "ERROR")</f>
        <v/>
      </c>
      <c r="O425" s="9" t="str">
        <f>if('Point Intercept 1'!P425 = 'Point Intercept 2'!O426, 'Point Intercept 1'!P425, "ERROR")</f>
        <v/>
      </c>
    </row>
    <row r="426">
      <c r="A426" s="9">
        <f>if('Point Intercept 1'!A426 = 'Point Intercept 2'!A426, 'Point Intercept 1'!A426, "ERROR")</f>
        <v>5</v>
      </c>
      <c r="B426" s="9">
        <f>if('Point Intercept 1'!B426 = 'Point Intercept 2'!B426, 'Point Intercept 1'!B426, "ERROR")</f>
        <v>2025</v>
      </c>
      <c r="C426" s="14">
        <f>if('Point Intercept 1'!C426 = 'Point Intercept 2'!C426, 'Point Intercept 1'!C426, "ERROR")</f>
        <v>45755</v>
      </c>
      <c r="D426" s="9" t="str">
        <f>if('Point Intercept 1'!D426 = 'Point Intercept 2'!D426, 'Point Intercept 1'!D426, "ERROR")</f>
        <v>TL, JC</v>
      </c>
      <c r="E426" s="9" t="str">
        <f>if('Point Intercept 1'!E426 = 'Point Intercept 2'!E426, 'Point Intercept 1'!E426, "ERROR")</f>
        <v>VB</v>
      </c>
      <c r="F426" s="9">
        <f>if('Point Intercept 1'!F426 = 'Point Intercept 2'!F426, 'Point Intercept 1'!F426, "ERROR")</f>
        <v>3</v>
      </c>
      <c r="G426" s="9" t="str">
        <f>if('Point Intercept 1'!G426 = 'Point Intercept 2'!G426, 'Point Intercept 1'!G426, "ERROR")</f>
        <v>SS</v>
      </c>
      <c r="H426" s="9">
        <f>if('Point Intercept 1'!I426 = 'Point Intercept 2'!I426, 'Point Intercept 1'!I426, "ERROR")</f>
        <v>6</v>
      </c>
      <c r="I426" s="9">
        <f>if('Point Intercept 1'!H426 = 'Point Intercept 2'!H426, 'Point Intercept 1'!H426, "ERROR")</f>
        <v>1</v>
      </c>
      <c r="J426" s="9">
        <f>if('Point Intercept 1'!J426 = 'Point Intercept 2'!J426, 'Point Intercept 1'!J426, "ERROR")</f>
        <v>3.5</v>
      </c>
      <c r="K426" s="9" t="str">
        <f>if('Point Intercept 1'!K426 = 'Point Intercept 2'!K426, 'Point Intercept 1'!K426, "ERROR")</f>
        <v>SONASP</v>
      </c>
      <c r="L426" s="9" t="str">
        <f>if('Point Intercept 1'!L426 = 'Point Intercept 2'!L426, 'Point Intercept 1'!L426, "ERROR")</f>
        <v>Sonchus asper</v>
      </c>
      <c r="M426" s="9" t="str">
        <f>if('Point Intercept 1'!N426 = 'Point Intercept 2'!M427, 'Point Intercept 1'!N426, "ERROR")</f>
        <v/>
      </c>
      <c r="N426" s="9" t="str">
        <f>if('Point Intercept 1'!O426 = 'Point Intercept 2'!N427, 'Point Intercept 1'!O426, "ERROR")</f>
        <v/>
      </c>
      <c r="O426" s="9" t="str">
        <f>if('Point Intercept 1'!P426 = 'Point Intercept 2'!O427, 'Point Intercept 1'!P426, "ERROR")</f>
        <v/>
      </c>
    </row>
    <row r="427">
      <c r="A427" s="9">
        <f>if('Point Intercept 1'!A427 = 'Point Intercept 2'!A427, 'Point Intercept 1'!A427, "ERROR")</f>
        <v>5</v>
      </c>
      <c r="B427" s="9">
        <f>if('Point Intercept 1'!B427 = 'Point Intercept 2'!B427, 'Point Intercept 1'!B427, "ERROR")</f>
        <v>2025</v>
      </c>
      <c r="C427" s="14">
        <f>if('Point Intercept 1'!C427 = 'Point Intercept 2'!C427, 'Point Intercept 1'!C427, "ERROR")</f>
        <v>45755</v>
      </c>
      <c r="D427" s="9" t="str">
        <f>if('Point Intercept 1'!D427 = 'Point Intercept 2'!D427, 'Point Intercept 1'!D427, "ERROR")</f>
        <v>TL, JC</v>
      </c>
      <c r="E427" s="9" t="str">
        <f>if('Point Intercept 1'!E427 = 'Point Intercept 2'!E427, 'Point Intercept 1'!E427, "ERROR")</f>
        <v>VB</v>
      </c>
      <c r="F427" s="9">
        <f>if('Point Intercept 1'!F427 = 'Point Intercept 2'!F427, 'Point Intercept 1'!F427, "ERROR")</f>
        <v>3</v>
      </c>
      <c r="G427" s="9" t="str">
        <f>if('Point Intercept 1'!G427 = 'Point Intercept 2'!G427, 'Point Intercept 1'!G427, "ERROR")</f>
        <v>SS</v>
      </c>
      <c r="H427" s="9">
        <f>if('Point Intercept 1'!I427 = 'Point Intercept 2'!I427, 'Point Intercept 1'!I427, "ERROR")</f>
        <v>7</v>
      </c>
      <c r="I427" s="9">
        <f>if('Point Intercept 1'!H427 = 'Point Intercept 2'!H427, 'Point Intercept 1'!H427, "ERROR")</f>
        <v>1</v>
      </c>
      <c r="J427" s="9">
        <f>if('Point Intercept 1'!J427 = 'Point Intercept 2'!J427, 'Point Intercept 1'!J427, "ERROR")</f>
        <v>4</v>
      </c>
      <c r="K427" s="9" t="str">
        <f>if('Point Intercept 1'!K427 = 'Point Intercept 2'!K427, 'Point Intercept 1'!K427, "ERROR")</f>
        <v>L</v>
      </c>
      <c r="L427" s="9" t="str">
        <f>if('Point Intercept 1'!L427 = 'Point Intercept 2'!L427, 'Point Intercept 1'!L427, "ERROR")</f>
        <v>Litter</v>
      </c>
      <c r="M427" s="9" t="str">
        <f>if('Point Intercept 1'!N427 = 'Point Intercept 2'!M428, 'Point Intercept 1'!N427, "ERROR")</f>
        <v/>
      </c>
      <c r="N427" s="9" t="str">
        <f>if('Point Intercept 1'!O427 = 'Point Intercept 2'!N428, 'Point Intercept 1'!O427, "ERROR")</f>
        <v/>
      </c>
      <c r="O427" s="9" t="str">
        <f>if('Point Intercept 1'!P427 = 'Point Intercept 2'!O428, 'Point Intercept 1'!P427, "ERROR")</f>
        <v/>
      </c>
    </row>
    <row r="428">
      <c r="A428" s="9">
        <f>if('Point Intercept 1'!A428 = 'Point Intercept 2'!A428, 'Point Intercept 1'!A428, "ERROR")</f>
        <v>5</v>
      </c>
      <c r="B428" s="9">
        <f>if('Point Intercept 1'!B428 = 'Point Intercept 2'!B428, 'Point Intercept 1'!B428, "ERROR")</f>
        <v>2025</v>
      </c>
      <c r="C428" s="14">
        <f>if('Point Intercept 1'!C428 = 'Point Intercept 2'!C428, 'Point Intercept 1'!C428, "ERROR")</f>
        <v>45755</v>
      </c>
      <c r="D428" s="9" t="str">
        <f>if('Point Intercept 1'!D428 = 'Point Intercept 2'!D428, 'Point Intercept 1'!D428, "ERROR")</f>
        <v>TL, JC</v>
      </c>
      <c r="E428" s="9" t="str">
        <f>if('Point Intercept 1'!E428 = 'Point Intercept 2'!E428, 'Point Intercept 1'!E428, "ERROR")</f>
        <v>VB</v>
      </c>
      <c r="F428" s="9">
        <f>if('Point Intercept 1'!F428 = 'Point Intercept 2'!F428, 'Point Intercept 1'!F428, "ERROR")</f>
        <v>3</v>
      </c>
      <c r="G428" s="9" t="str">
        <f>if('Point Intercept 1'!G428 = 'Point Intercept 2'!G428, 'Point Intercept 1'!G428, "ERROR")</f>
        <v>SS</v>
      </c>
      <c r="H428" s="9">
        <f>if('Point Intercept 1'!I428 = 'Point Intercept 2'!I428, 'Point Intercept 1'!I428, "ERROR")</f>
        <v>7</v>
      </c>
      <c r="I428" s="9">
        <f>if('Point Intercept 1'!H428 = 'Point Intercept 2'!H428, 'Point Intercept 1'!H428, "ERROR")</f>
        <v>1</v>
      </c>
      <c r="J428" s="9">
        <f>if('Point Intercept 1'!J428 = 'Point Intercept 2'!J428, 'Point Intercept 1'!J428, "ERROR")</f>
        <v>4</v>
      </c>
      <c r="K428" s="9" t="str">
        <f>if('Point Intercept 1'!K428 = 'Point Intercept 2'!K428, 'Point Intercept 1'!K428, "ERROR")</f>
        <v>MEDPOL</v>
      </c>
      <c r="L428" s="9" t="str">
        <f>if('Point Intercept 1'!L428 = 'Point Intercept 2'!L428, 'Point Intercept 1'!L428, "ERROR")</f>
        <v>Medicago polymorpha</v>
      </c>
      <c r="M428" s="9" t="str">
        <f>if('Point Intercept 1'!N428 = 'Point Intercept 2'!M429, 'Point Intercept 1'!N428, "ERROR")</f>
        <v/>
      </c>
      <c r="N428" s="9" t="str">
        <f>if('Point Intercept 1'!O428 = 'Point Intercept 2'!N429, 'Point Intercept 1'!O428, "ERROR")</f>
        <v/>
      </c>
      <c r="O428" s="9" t="str">
        <f>if('Point Intercept 1'!P428 = 'Point Intercept 2'!O429, 'Point Intercept 1'!P428, "ERROR")</f>
        <v/>
      </c>
    </row>
    <row r="429">
      <c r="A429" s="9">
        <f>if('Point Intercept 1'!A429 = 'Point Intercept 2'!A429, 'Point Intercept 1'!A429, "ERROR")</f>
        <v>5</v>
      </c>
      <c r="B429" s="9">
        <f>if('Point Intercept 1'!B429 = 'Point Intercept 2'!B429, 'Point Intercept 1'!B429, "ERROR")</f>
        <v>2025</v>
      </c>
      <c r="C429" s="14">
        <f>if('Point Intercept 1'!C429 = 'Point Intercept 2'!C429, 'Point Intercept 1'!C429, "ERROR")</f>
        <v>45755</v>
      </c>
      <c r="D429" s="9" t="str">
        <f>if('Point Intercept 1'!D429 = 'Point Intercept 2'!D429, 'Point Intercept 1'!D429, "ERROR")</f>
        <v>TL, JC</v>
      </c>
      <c r="E429" s="9" t="str">
        <f>if('Point Intercept 1'!E429 = 'Point Intercept 2'!E429, 'Point Intercept 1'!E429, "ERROR")</f>
        <v>VB</v>
      </c>
      <c r="F429" s="9">
        <f>if('Point Intercept 1'!F429 = 'Point Intercept 2'!F429, 'Point Intercept 1'!F429, "ERROR")</f>
        <v>3</v>
      </c>
      <c r="G429" s="9" t="str">
        <f>if('Point Intercept 1'!G429 = 'Point Intercept 2'!G429, 'Point Intercept 1'!G429, "ERROR")</f>
        <v>SS</v>
      </c>
      <c r="H429" s="9">
        <f>if('Point Intercept 1'!I429 = 'Point Intercept 2'!I429, 'Point Intercept 1'!I429, "ERROR")</f>
        <v>7</v>
      </c>
      <c r="I429" s="9">
        <f>if('Point Intercept 1'!H429 = 'Point Intercept 2'!H429, 'Point Intercept 1'!H429, "ERROR")</f>
        <v>1</v>
      </c>
      <c r="J429" s="9">
        <f>if('Point Intercept 1'!J429 = 'Point Intercept 2'!J429, 'Point Intercept 1'!J429, "ERROR")</f>
        <v>4</v>
      </c>
      <c r="K429" s="9" t="str">
        <f>if('Point Intercept 1'!K429 = 'Point Intercept 2'!K429, 'Point Intercept 1'!K429, "ERROR")</f>
        <v>CENMEL</v>
      </c>
      <c r="L429" s="9" t="str">
        <f>if('Point Intercept 1'!L429 = 'Point Intercept 2'!L429, 'Point Intercept 1'!L429, "ERROR")</f>
        <v>Centaurea melitensis</v>
      </c>
      <c r="M429" s="9" t="str">
        <f>if('Point Intercept 1'!N429 = 'Point Intercept 2'!M430, 'Point Intercept 1'!N429, "ERROR")</f>
        <v/>
      </c>
      <c r="N429" s="9" t="str">
        <f>if('Point Intercept 1'!O429 = 'Point Intercept 2'!N430, 'Point Intercept 1'!O429, "ERROR")</f>
        <v/>
      </c>
      <c r="O429" s="9" t="str">
        <f>if('Point Intercept 1'!P429 = 'Point Intercept 2'!O430, 'Point Intercept 1'!P429, "ERROR")</f>
        <v/>
      </c>
    </row>
    <row r="430">
      <c r="A430" s="9">
        <f>if('Point Intercept 1'!A430 = 'Point Intercept 2'!A430, 'Point Intercept 1'!A430, "ERROR")</f>
        <v>5</v>
      </c>
      <c r="B430" s="9">
        <f>if('Point Intercept 1'!B430 = 'Point Intercept 2'!B430, 'Point Intercept 1'!B430, "ERROR")</f>
        <v>2025</v>
      </c>
      <c r="C430" s="14">
        <f>if('Point Intercept 1'!C430 = 'Point Intercept 2'!C430, 'Point Intercept 1'!C430, "ERROR")</f>
        <v>45755</v>
      </c>
      <c r="D430" s="9" t="str">
        <f>if('Point Intercept 1'!D430 = 'Point Intercept 2'!D430, 'Point Intercept 1'!D430, "ERROR")</f>
        <v>TL, JC</v>
      </c>
      <c r="E430" s="9" t="str">
        <f>if('Point Intercept 1'!E430 = 'Point Intercept 2'!E430, 'Point Intercept 1'!E430, "ERROR")</f>
        <v>VB</v>
      </c>
      <c r="F430" s="9">
        <f>if('Point Intercept 1'!F430 = 'Point Intercept 2'!F430, 'Point Intercept 1'!F430, "ERROR")</f>
        <v>3</v>
      </c>
      <c r="G430" s="9" t="str">
        <f>if('Point Intercept 1'!G430 = 'Point Intercept 2'!G430, 'Point Intercept 1'!G430, "ERROR")</f>
        <v>SS</v>
      </c>
      <c r="H430" s="9">
        <f>if('Point Intercept 1'!I430 = 'Point Intercept 2'!I430, 'Point Intercept 1'!I430, "ERROR")</f>
        <v>7</v>
      </c>
      <c r="I430" s="9">
        <f>if('Point Intercept 1'!H430 = 'Point Intercept 2'!H430, 'Point Intercept 1'!H430, "ERROR")</f>
        <v>1</v>
      </c>
      <c r="J430" s="9">
        <f>if('Point Intercept 1'!J430 = 'Point Intercept 2'!J430, 'Point Intercept 1'!J430, "ERROR")</f>
        <v>4</v>
      </c>
      <c r="K430" s="9" t="str">
        <f>if('Point Intercept 1'!K430 = 'Point Intercept 2'!K430, 'Point Intercept 1'!K430, "ERROR")</f>
        <v>FESMYU</v>
      </c>
      <c r="L430" s="9" t="str">
        <f>if('Point Intercept 1'!L430 = 'Point Intercept 2'!L430, 'Point Intercept 1'!L430, "ERROR")</f>
        <v>Festuca myuros</v>
      </c>
      <c r="M430" s="9" t="str">
        <f>if('Point Intercept 1'!N430 = 'Point Intercept 2'!M431, 'Point Intercept 1'!N430, "ERROR")</f>
        <v/>
      </c>
      <c r="N430" s="9" t="str">
        <f>if('Point Intercept 1'!O430 = 'Point Intercept 2'!N431, 'Point Intercept 1'!O430, "ERROR")</f>
        <v/>
      </c>
      <c r="O430" s="9" t="str">
        <f>if('Point Intercept 1'!P430 = 'Point Intercept 2'!O431, 'Point Intercept 1'!P430, "ERROR")</f>
        <v/>
      </c>
    </row>
    <row r="431">
      <c r="A431" s="9">
        <f>if('Point Intercept 1'!A431 = 'Point Intercept 2'!A431, 'Point Intercept 1'!A431, "ERROR")</f>
        <v>5</v>
      </c>
      <c r="B431" s="9">
        <f>if('Point Intercept 1'!B431 = 'Point Intercept 2'!B431, 'Point Intercept 1'!B431, "ERROR")</f>
        <v>2025</v>
      </c>
      <c r="C431" s="14">
        <f>if('Point Intercept 1'!C431 = 'Point Intercept 2'!C431, 'Point Intercept 1'!C431, "ERROR")</f>
        <v>45755</v>
      </c>
      <c r="D431" s="9" t="str">
        <f>if('Point Intercept 1'!D431 = 'Point Intercept 2'!D431, 'Point Intercept 1'!D431, "ERROR")</f>
        <v>TL, JC</v>
      </c>
      <c r="E431" s="9" t="str">
        <f>if('Point Intercept 1'!E431 = 'Point Intercept 2'!E431, 'Point Intercept 1'!E431, "ERROR")</f>
        <v>VB</v>
      </c>
      <c r="F431" s="9">
        <f>if('Point Intercept 1'!F431 = 'Point Intercept 2'!F431, 'Point Intercept 1'!F431, "ERROR")</f>
        <v>3</v>
      </c>
      <c r="G431" s="9" t="str">
        <f>if('Point Intercept 1'!G431 = 'Point Intercept 2'!G431, 'Point Intercept 1'!G431, "ERROR")</f>
        <v>SS</v>
      </c>
      <c r="H431" s="9">
        <f>if('Point Intercept 1'!I431 = 'Point Intercept 2'!I431, 'Point Intercept 1'!I431, "ERROR")</f>
        <v>8</v>
      </c>
      <c r="I431" s="9">
        <f>if('Point Intercept 1'!H431 = 'Point Intercept 2'!H431, 'Point Intercept 1'!H431, "ERROR")</f>
        <v>1</v>
      </c>
      <c r="J431" s="9">
        <f>if('Point Intercept 1'!J431 = 'Point Intercept 2'!J431, 'Point Intercept 1'!J431, "ERROR")</f>
        <v>5</v>
      </c>
      <c r="K431" s="9" t="str">
        <f>if('Point Intercept 1'!K431 = 'Point Intercept 2'!K431, 'Point Intercept 1'!K431, "ERROR")</f>
        <v>L</v>
      </c>
      <c r="L431" s="9" t="str">
        <f>if('Point Intercept 1'!L431 = 'Point Intercept 2'!L431, 'Point Intercept 1'!L431, "ERROR")</f>
        <v>Litter</v>
      </c>
      <c r="M431" s="9" t="str">
        <f>if('Point Intercept 1'!N431 = 'Point Intercept 2'!M432, 'Point Intercept 1'!N431, "ERROR")</f>
        <v/>
      </c>
      <c r="N431" s="9" t="str">
        <f>if('Point Intercept 1'!O431 = 'Point Intercept 2'!N432, 'Point Intercept 1'!O431, "ERROR")</f>
        <v/>
      </c>
      <c r="O431" s="9" t="str">
        <f>if('Point Intercept 1'!P431 = 'Point Intercept 2'!O432, 'Point Intercept 1'!P431, "ERROR")</f>
        <v/>
      </c>
    </row>
    <row r="432">
      <c r="A432" s="9">
        <f>if('Point Intercept 1'!A432 = 'Point Intercept 2'!A432, 'Point Intercept 1'!A432, "ERROR")</f>
        <v>5</v>
      </c>
      <c r="B432" s="9">
        <f>if('Point Intercept 1'!B432 = 'Point Intercept 2'!B432, 'Point Intercept 1'!B432, "ERROR")</f>
        <v>2025</v>
      </c>
      <c r="C432" s="14">
        <f>if('Point Intercept 1'!C432 = 'Point Intercept 2'!C432, 'Point Intercept 1'!C432, "ERROR")</f>
        <v>45755</v>
      </c>
      <c r="D432" s="9" t="str">
        <f>if('Point Intercept 1'!D432 = 'Point Intercept 2'!D432, 'Point Intercept 1'!D432, "ERROR")</f>
        <v>TL, JC</v>
      </c>
      <c r="E432" s="9" t="str">
        <f>if('Point Intercept 1'!E432 = 'Point Intercept 2'!E432, 'Point Intercept 1'!E432, "ERROR")</f>
        <v>VB</v>
      </c>
      <c r="F432" s="9">
        <f>if('Point Intercept 1'!F432 = 'Point Intercept 2'!F432, 'Point Intercept 1'!F432, "ERROR")</f>
        <v>3</v>
      </c>
      <c r="G432" s="9" t="str">
        <f>if('Point Intercept 1'!G432 = 'Point Intercept 2'!G432, 'Point Intercept 1'!G432, "ERROR")</f>
        <v>SS</v>
      </c>
      <c r="H432" s="9">
        <f>if('Point Intercept 1'!I432 = 'Point Intercept 2'!I432, 'Point Intercept 1'!I432, "ERROR")</f>
        <v>8</v>
      </c>
      <c r="I432" s="9">
        <f>if('Point Intercept 1'!H432 = 'Point Intercept 2'!H432, 'Point Intercept 1'!H432, "ERROR")</f>
        <v>1</v>
      </c>
      <c r="J432" s="9">
        <f>if('Point Intercept 1'!J432 = 'Point Intercept 2'!J432, 'Point Intercept 1'!J432, "ERROR")</f>
        <v>5</v>
      </c>
      <c r="K432" s="9" t="str">
        <f>if('Point Intercept 1'!K432 = 'Point Intercept 2'!K432, 'Point Intercept 1'!K432, "ERROR")</f>
        <v>DEIFAS</v>
      </c>
      <c r="L432" s="9" t="str">
        <f>if('Point Intercept 1'!L432 = 'Point Intercept 2'!L432, 'Point Intercept 1'!L432, "ERROR")</f>
        <v>Deinandra fasciculata</v>
      </c>
      <c r="M432" s="9" t="str">
        <f>if('Point Intercept 1'!N432 = 'Point Intercept 2'!M433, 'Point Intercept 1'!N432, "ERROR")</f>
        <v/>
      </c>
      <c r="N432" s="9" t="str">
        <f>if('Point Intercept 1'!O432 = 'Point Intercept 2'!N433, 'Point Intercept 1'!O432, "ERROR")</f>
        <v/>
      </c>
      <c r="O432" s="9" t="str">
        <f>if('Point Intercept 1'!P432 = 'Point Intercept 2'!O433, 'Point Intercept 1'!P432, "ERROR")</f>
        <v/>
      </c>
    </row>
    <row r="433">
      <c r="A433" s="9">
        <f>if('Point Intercept 1'!A433 = 'Point Intercept 2'!A433, 'Point Intercept 1'!A433, "ERROR")</f>
        <v>5</v>
      </c>
      <c r="B433" s="9">
        <f>if('Point Intercept 1'!B433 = 'Point Intercept 2'!B433, 'Point Intercept 1'!B433, "ERROR")</f>
        <v>2025</v>
      </c>
      <c r="C433" s="14">
        <f>if('Point Intercept 1'!C433 = 'Point Intercept 2'!C433, 'Point Intercept 1'!C433, "ERROR")</f>
        <v>45755</v>
      </c>
      <c r="D433" s="9" t="str">
        <f>if('Point Intercept 1'!D433 = 'Point Intercept 2'!D433, 'Point Intercept 1'!D433, "ERROR")</f>
        <v>TL, JC</v>
      </c>
      <c r="E433" s="9" t="str">
        <f>if('Point Intercept 1'!E433 = 'Point Intercept 2'!E433, 'Point Intercept 1'!E433, "ERROR")</f>
        <v>VB</v>
      </c>
      <c r="F433" s="9">
        <f>if('Point Intercept 1'!F433 = 'Point Intercept 2'!F433, 'Point Intercept 1'!F433, "ERROR")</f>
        <v>3</v>
      </c>
      <c r="G433" s="9" t="str">
        <f>if('Point Intercept 1'!G433 = 'Point Intercept 2'!G433, 'Point Intercept 1'!G433, "ERROR")</f>
        <v>SS</v>
      </c>
      <c r="H433" s="9">
        <f>if('Point Intercept 1'!I433 = 'Point Intercept 2'!I433, 'Point Intercept 1'!I433, "ERROR")</f>
        <v>8</v>
      </c>
      <c r="I433" s="9">
        <f>if('Point Intercept 1'!H433 = 'Point Intercept 2'!H433, 'Point Intercept 1'!H433, "ERROR")</f>
        <v>1</v>
      </c>
      <c r="J433" s="9">
        <f>if('Point Intercept 1'!J433 = 'Point Intercept 2'!J433, 'Point Intercept 1'!J433, "ERROR")</f>
        <v>5</v>
      </c>
      <c r="K433" s="9" t="str">
        <f>if('Point Intercept 1'!K433 = 'Point Intercept 2'!K433, 'Point Intercept 1'!K433, "ERROR")</f>
        <v>FESMYU</v>
      </c>
      <c r="L433" s="9" t="str">
        <f>if('Point Intercept 1'!L433 = 'Point Intercept 2'!L433, 'Point Intercept 1'!L433, "ERROR")</f>
        <v>Festuca myuros</v>
      </c>
      <c r="M433" s="9" t="str">
        <f>if('Point Intercept 1'!N433 = 'Point Intercept 2'!M434, 'Point Intercept 1'!N433, "ERROR")</f>
        <v/>
      </c>
      <c r="N433" s="9" t="str">
        <f>if('Point Intercept 1'!O433 = 'Point Intercept 2'!N434, 'Point Intercept 1'!O433, "ERROR")</f>
        <v/>
      </c>
      <c r="O433" s="9" t="str">
        <f>if('Point Intercept 1'!P433 = 'Point Intercept 2'!O434, 'Point Intercept 1'!P433, "ERROR")</f>
        <v/>
      </c>
    </row>
    <row r="434">
      <c r="A434" s="9">
        <f>if('Point Intercept 1'!A434 = 'Point Intercept 2'!A434, 'Point Intercept 1'!A434, "ERROR")</f>
        <v>5</v>
      </c>
      <c r="B434" s="9">
        <f>if('Point Intercept 1'!B434 = 'Point Intercept 2'!B434, 'Point Intercept 1'!B434, "ERROR")</f>
        <v>2025</v>
      </c>
      <c r="C434" s="14">
        <f>if('Point Intercept 1'!C434 = 'Point Intercept 2'!C434, 'Point Intercept 1'!C434, "ERROR")</f>
        <v>45755</v>
      </c>
      <c r="D434" s="9" t="str">
        <f>if('Point Intercept 1'!D434 = 'Point Intercept 2'!D434, 'Point Intercept 1'!D434, "ERROR")</f>
        <v>TL, JC</v>
      </c>
      <c r="E434" s="9" t="str">
        <f>if('Point Intercept 1'!E434 = 'Point Intercept 2'!E434, 'Point Intercept 1'!E434, "ERROR")</f>
        <v>VB</v>
      </c>
      <c r="F434" s="9">
        <f>if('Point Intercept 1'!F434 = 'Point Intercept 2'!F434, 'Point Intercept 1'!F434, "ERROR")</f>
        <v>3</v>
      </c>
      <c r="G434" s="9" t="str">
        <f>if('Point Intercept 1'!G434 = 'Point Intercept 2'!G434, 'Point Intercept 1'!G434, "ERROR")</f>
        <v>SS</v>
      </c>
      <c r="H434" s="9">
        <f>if('Point Intercept 1'!I434 = 'Point Intercept 2'!I434, 'Point Intercept 1'!I434, "ERROR")</f>
        <v>8</v>
      </c>
      <c r="I434" s="9">
        <f>if('Point Intercept 1'!H434 = 'Point Intercept 2'!H434, 'Point Intercept 1'!H434, "ERROR")</f>
        <v>1</v>
      </c>
      <c r="J434" s="9">
        <f>if('Point Intercept 1'!J434 = 'Point Intercept 2'!J434, 'Point Intercept 1'!J434, "ERROR")</f>
        <v>5</v>
      </c>
      <c r="K434" s="9" t="str">
        <f>if('Point Intercept 1'!K434 = 'Point Intercept 2'!K434, 'Point Intercept 1'!K434, "ERROR")</f>
        <v>SONASP</v>
      </c>
      <c r="L434" s="9" t="str">
        <f>if('Point Intercept 1'!L434 = 'Point Intercept 2'!L434, 'Point Intercept 1'!L434, "ERROR")</f>
        <v>Sonchus asper</v>
      </c>
      <c r="M434" s="9" t="str">
        <f>if('Point Intercept 1'!N434 = 'Point Intercept 2'!M435, 'Point Intercept 1'!N434, "ERROR")</f>
        <v/>
      </c>
      <c r="N434" s="9" t="str">
        <f>if('Point Intercept 1'!O434 = 'Point Intercept 2'!N435, 'Point Intercept 1'!O434, "ERROR")</f>
        <v/>
      </c>
      <c r="O434" s="9" t="str">
        <f>if('Point Intercept 1'!P434 = 'Point Intercept 2'!O435, 'Point Intercept 1'!P434, "ERROR")</f>
        <v/>
      </c>
    </row>
    <row r="435">
      <c r="A435" s="9">
        <f>if('Point Intercept 1'!A435 = 'Point Intercept 2'!A435, 'Point Intercept 1'!A435, "ERROR")</f>
        <v>5</v>
      </c>
      <c r="B435" s="9">
        <f>if('Point Intercept 1'!B435 = 'Point Intercept 2'!B435, 'Point Intercept 1'!B435, "ERROR")</f>
        <v>2025</v>
      </c>
      <c r="C435" s="14">
        <f>if('Point Intercept 1'!C435 = 'Point Intercept 2'!C435, 'Point Intercept 1'!C435, "ERROR")</f>
        <v>45755</v>
      </c>
      <c r="D435" s="9" t="str">
        <f>if('Point Intercept 1'!D435 = 'Point Intercept 2'!D435, 'Point Intercept 1'!D435, "ERROR")</f>
        <v>TL, JC</v>
      </c>
      <c r="E435" s="9" t="str">
        <f>if('Point Intercept 1'!E435 = 'Point Intercept 2'!E435, 'Point Intercept 1'!E435, "ERROR")</f>
        <v>VB</v>
      </c>
      <c r="F435" s="9">
        <f>if('Point Intercept 1'!F435 = 'Point Intercept 2'!F435, 'Point Intercept 1'!F435, "ERROR")</f>
        <v>3</v>
      </c>
      <c r="G435" s="9" t="str">
        <f>if('Point Intercept 1'!G435 = 'Point Intercept 2'!G435, 'Point Intercept 1'!G435, "ERROR")</f>
        <v>SS</v>
      </c>
      <c r="H435" s="9">
        <f>if('Point Intercept 1'!I435 = 'Point Intercept 2'!I435, 'Point Intercept 1'!I435, "ERROR")</f>
        <v>8</v>
      </c>
      <c r="I435" s="9">
        <f>if('Point Intercept 1'!H435 = 'Point Intercept 2'!H435, 'Point Intercept 1'!H435, "ERROR")</f>
        <v>1</v>
      </c>
      <c r="J435" s="9">
        <f>if('Point Intercept 1'!J435 = 'Point Intercept 2'!J435, 'Point Intercept 1'!J435, "ERROR")</f>
        <v>5</v>
      </c>
      <c r="K435" s="9" t="str">
        <f>if('Point Intercept 1'!K435 = 'Point Intercept 2'!K435, 'Point Intercept 1'!K435, "ERROR")</f>
        <v>STEDIE</v>
      </c>
      <c r="L435" s="9" t="str">
        <f>if('Point Intercept 1'!L435 = 'Point Intercept 2'!L435, 'Point Intercept 1'!L435, "ERROR")</f>
        <v>Stephanomeria diegensis</v>
      </c>
      <c r="M435" s="9" t="str">
        <f>if('Point Intercept 1'!N435 = 'Point Intercept 2'!M436, 'Point Intercept 1'!N435, "ERROR")</f>
        <v/>
      </c>
      <c r="N435" s="9" t="str">
        <f>if('Point Intercept 1'!O435 = 'Point Intercept 2'!N436, 'Point Intercept 1'!O435, "ERROR")</f>
        <v/>
      </c>
      <c r="O435" s="9" t="str">
        <f>if('Point Intercept 1'!P435 = 'Point Intercept 2'!O436, 'Point Intercept 1'!P435, "ERROR")</f>
        <v/>
      </c>
    </row>
    <row r="436">
      <c r="A436" s="9">
        <f>if('Point Intercept 1'!A436 = 'Point Intercept 2'!A436, 'Point Intercept 1'!A436, "ERROR")</f>
        <v>5</v>
      </c>
      <c r="B436" s="9">
        <f>if('Point Intercept 1'!B436 = 'Point Intercept 2'!B436, 'Point Intercept 1'!B436, "ERROR")</f>
        <v>2025</v>
      </c>
      <c r="C436" s="14">
        <f>if('Point Intercept 1'!C436 = 'Point Intercept 2'!C436, 'Point Intercept 1'!C436, "ERROR")</f>
        <v>45755</v>
      </c>
      <c r="D436" s="9" t="str">
        <f>if('Point Intercept 1'!D436 = 'Point Intercept 2'!D436, 'Point Intercept 1'!D436, "ERROR")</f>
        <v>TL, JC</v>
      </c>
      <c r="E436" s="9" t="str">
        <f>if('Point Intercept 1'!E436 = 'Point Intercept 2'!E436, 'Point Intercept 1'!E436, "ERROR")</f>
        <v>VB</v>
      </c>
      <c r="F436" s="9">
        <f>if('Point Intercept 1'!F436 = 'Point Intercept 2'!F436, 'Point Intercept 1'!F436, "ERROR")</f>
        <v>3</v>
      </c>
      <c r="G436" s="9" t="str">
        <f>if('Point Intercept 1'!G436 = 'Point Intercept 2'!G436, 'Point Intercept 1'!G436, "ERROR")</f>
        <v>SS</v>
      </c>
      <c r="H436" s="9">
        <f>if('Point Intercept 1'!I436 = 'Point Intercept 2'!I436, 'Point Intercept 1'!I436, "ERROR")</f>
        <v>9</v>
      </c>
      <c r="I436" s="9">
        <f>if('Point Intercept 1'!H436 = 'Point Intercept 2'!H436, 'Point Intercept 1'!H436, "ERROR")</f>
        <v>1</v>
      </c>
      <c r="J436" s="9">
        <f>if('Point Intercept 1'!J436 = 'Point Intercept 2'!J436, 'Point Intercept 1'!J436, "ERROR")</f>
        <v>7</v>
      </c>
      <c r="K436" s="9" t="str">
        <f>if('Point Intercept 1'!K436 = 'Point Intercept 2'!K436, 'Point Intercept 1'!K436, "ERROR")</f>
        <v>L</v>
      </c>
      <c r="L436" s="9" t="str">
        <f>if('Point Intercept 1'!L436 = 'Point Intercept 2'!L436, 'Point Intercept 1'!L436, "ERROR")</f>
        <v>Litter</v>
      </c>
      <c r="M436" s="9" t="str">
        <f>if('Point Intercept 1'!N436 = 'Point Intercept 2'!M437, 'Point Intercept 1'!N436, "ERROR")</f>
        <v/>
      </c>
      <c r="N436" s="9" t="str">
        <f>if('Point Intercept 1'!O436 = 'Point Intercept 2'!N437, 'Point Intercept 1'!O436, "ERROR")</f>
        <v/>
      </c>
      <c r="O436" s="9" t="str">
        <f>if('Point Intercept 1'!P436 = 'Point Intercept 2'!O437, 'Point Intercept 1'!P436, "ERROR")</f>
        <v/>
      </c>
    </row>
    <row r="437">
      <c r="A437" s="9">
        <f>if('Point Intercept 1'!A437 = 'Point Intercept 2'!A437, 'Point Intercept 1'!A437, "ERROR")</f>
        <v>5</v>
      </c>
      <c r="B437" s="9">
        <f>if('Point Intercept 1'!B437 = 'Point Intercept 2'!B437, 'Point Intercept 1'!B437, "ERROR")</f>
        <v>2025</v>
      </c>
      <c r="C437" s="14">
        <f>if('Point Intercept 1'!C437 = 'Point Intercept 2'!C437, 'Point Intercept 1'!C437, "ERROR")</f>
        <v>45755</v>
      </c>
      <c r="D437" s="9" t="str">
        <f>if('Point Intercept 1'!D437 = 'Point Intercept 2'!D437, 'Point Intercept 1'!D437, "ERROR")</f>
        <v>TL, JC</v>
      </c>
      <c r="E437" s="9" t="str">
        <f>if('Point Intercept 1'!E437 = 'Point Intercept 2'!E437, 'Point Intercept 1'!E437, "ERROR")</f>
        <v>VB</v>
      </c>
      <c r="F437" s="9">
        <f>if('Point Intercept 1'!F437 = 'Point Intercept 2'!F437, 'Point Intercept 1'!F437, "ERROR")</f>
        <v>3</v>
      </c>
      <c r="G437" s="9" t="str">
        <f>if('Point Intercept 1'!G437 = 'Point Intercept 2'!G437, 'Point Intercept 1'!G437, "ERROR")</f>
        <v>SS</v>
      </c>
      <c r="H437" s="9">
        <f>if('Point Intercept 1'!I437 = 'Point Intercept 2'!I437, 'Point Intercept 1'!I437, "ERROR")</f>
        <v>9</v>
      </c>
      <c r="I437" s="9">
        <f>if('Point Intercept 1'!H437 = 'Point Intercept 2'!H437, 'Point Intercept 1'!H437, "ERROR")</f>
        <v>1</v>
      </c>
      <c r="J437" s="9">
        <f>if('Point Intercept 1'!J437 = 'Point Intercept 2'!J437, 'Point Intercept 1'!J437, "ERROR")</f>
        <v>7</v>
      </c>
      <c r="K437" s="9" t="str">
        <f>if('Point Intercept 1'!K437 = 'Point Intercept 2'!K437, 'Point Intercept 1'!K437, "ERROR")</f>
        <v>ANAARV</v>
      </c>
      <c r="L437" s="9" t="str">
        <f>if('Point Intercept 1'!L437 = 'Point Intercept 2'!L437, 'Point Intercept 1'!L437, "ERROR")</f>
        <v>Anagallis arvensis</v>
      </c>
      <c r="M437" s="9" t="str">
        <f>if('Point Intercept 1'!N437 = 'Point Intercept 2'!M438, 'Point Intercept 1'!N437, "ERROR")</f>
        <v/>
      </c>
      <c r="N437" s="9" t="str">
        <f>if('Point Intercept 1'!O437 = 'Point Intercept 2'!N438, 'Point Intercept 1'!O437, "ERROR")</f>
        <v/>
      </c>
      <c r="O437" s="9" t="str">
        <f>if('Point Intercept 1'!P437 = 'Point Intercept 2'!O438, 'Point Intercept 1'!P437, "ERROR")</f>
        <v/>
      </c>
    </row>
    <row r="438">
      <c r="A438" s="9">
        <f>if('Point Intercept 1'!A438 = 'Point Intercept 2'!A438, 'Point Intercept 1'!A438, "ERROR")</f>
        <v>5</v>
      </c>
      <c r="B438" s="9">
        <f>if('Point Intercept 1'!B438 = 'Point Intercept 2'!B438, 'Point Intercept 1'!B438, "ERROR")</f>
        <v>2025</v>
      </c>
      <c r="C438" s="14">
        <f>if('Point Intercept 1'!C438 = 'Point Intercept 2'!C438, 'Point Intercept 1'!C438, "ERROR")</f>
        <v>45755</v>
      </c>
      <c r="D438" s="9" t="str">
        <f>if('Point Intercept 1'!D438 = 'Point Intercept 2'!D438, 'Point Intercept 1'!D438, "ERROR")</f>
        <v>TL, JC</v>
      </c>
      <c r="E438" s="9" t="str">
        <f>if('Point Intercept 1'!E438 = 'Point Intercept 2'!E438, 'Point Intercept 1'!E438, "ERROR")</f>
        <v>VB</v>
      </c>
      <c r="F438" s="9">
        <f>if('Point Intercept 1'!F438 = 'Point Intercept 2'!F438, 'Point Intercept 1'!F438, "ERROR")</f>
        <v>3</v>
      </c>
      <c r="G438" s="9" t="str">
        <f>if('Point Intercept 1'!G438 = 'Point Intercept 2'!G438, 'Point Intercept 1'!G438, "ERROR")</f>
        <v>SS</v>
      </c>
      <c r="H438" s="9">
        <f>if('Point Intercept 1'!I438 = 'Point Intercept 2'!I438, 'Point Intercept 1'!I438, "ERROR")</f>
        <v>9</v>
      </c>
      <c r="I438" s="9">
        <f>if('Point Intercept 1'!H438 = 'Point Intercept 2'!H438, 'Point Intercept 1'!H438, "ERROR")</f>
        <v>1</v>
      </c>
      <c r="J438" s="9">
        <f>if('Point Intercept 1'!J438 = 'Point Intercept 2'!J438, 'Point Intercept 1'!J438, "ERROR")</f>
        <v>7</v>
      </c>
      <c r="K438" s="9" t="str">
        <f>if('Point Intercept 1'!K438 = 'Point Intercept 2'!K438, 'Point Intercept 1'!K438, "ERROR")</f>
        <v>EROCIC</v>
      </c>
      <c r="L438" s="9" t="str">
        <f>if('Point Intercept 1'!L438 = 'Point Intercept 2'!L438, 'Point Intercept 1'!L438, "ERROR")</f>
        <v>Erodium cicutarium</v>
      </c>
      <c r="M438" s="9" t="str">
        <f>if('Point Intercept 1'!N438 = 'Point Intercept 2'!M439, 'Point Intercept 1'!N438, "ERROR")</f>
        <v/>
      </c>
      <c r="N438" s="9" t="str">
        <f>if('Point Intercept 1'!O438 = 'Point Intercept 2'!N439, 'Point Intercept 1'!O438, "ERROR")</f>
        <v/>
      </c>
      <c r="O438" s="9" t="str">
        <f>if('Point Intercept 1'!P438 = 'Point Intercept 2'!O439, 'Point Intercept 1'!P438, "ERROR")</f>
        <v/>
      </c>
    </row>
    <row r="439">
      <c r="A439" s="9">
        <f>if('Point Intercept 1'!A439 = 'Point Intercept 2'!A439, 'Point Intercept 1'!A439, "ERROR")</f>
        <v>5</v>
      </c>
      <c r="B439" s="9">
        <f>if('Point Intercept 1'!B439 = 'Point Intercept 2'!B439, 'Point Intercept 1'!B439, "ERROR")</f>
        <v>2025</v>
      </c>
      <c r="C439" s="14">
        <f>if('Point Intercept 1'!C439 = 'Point Intercept 2'!C439, 'Point Intercept 1'!C439, "ERROR")</f>
        <v>45755</v>
      </c>
      <c r="D439" s="9" t="str">
        <f>if('Point Intercept 1'!D439 = 'Point Intercept 2'!D439, 'Point Intercept 1'!D439, "ERROR")</f>
        <v>TL, JC</v>
      </c>
      <c r="E439" s="9" t="str">
        <f>if('Point Intercept 1'!E439 = 'Point Intercept 2'!E439, 'Point Intercept 1'!E439, "ERROR")</f>
        <v>VB</v>
      </c>
      <c r="F439" s="9">
        <f>if('Point Intercept 1'!F439 = 'Point Intercept 2'!F439, 'Point Intercept 1'!F439, "ERROR")</f>
        <v>3</v>
      </c>
      <c r="G439" s="9" t="str">
        <f>if('Point Intercept 1'!G439 = 'Point Intercept 2'!G439, 'Point Intercept 1'!G439, "ERROR")</f>
        <v>SS</v>
      </c>
      <c r="H439" s="9">
        <f>if('Point Intercept 1'!I439 = 'Point Intercept 2'!I439, 'Point Intercept 1'!I439, "ERROR")</f>
        <v>10</v>
      </c>
      <c r="I439" s="9">
        <f>if('Point Intercept 1'!H439 = 'Point Intercept 2'!H439, 'Point Intercept 1'!H439, "ERROR")</f>
        <v>1</v>
      </c>
      <c r="J439" s="9">
        <f>if('Point Intercept 1'!J439 = 'Point Intercept 2'!J439, 'Point Intercept 1'!J439, "ERROR")</f>
        <v>8</v>
      </c>
      <c r="K439" s="9" t="str">
        <f>if('Point Intercept 1'!K439 = 'Point Intercept 2'!K439, 'Point Intercept 1'!K439, "ERROR")</f>
        <v>L</v>
      </c>
      <c r="L439" s="9" t="str">
        <f>if('Point Intercept 1'!L439 = 'Point Intercept 2'!L439, 'Point Intercept 1'!L439, "ERROR")</f>
        <v>Litter</v>
      </c>
      <c r="M439" s="9" t="str">
        <f>if('Point Intercept 1'!N439 = 'Point Intercept 2'!M440, 'Point Intercept 1'!N439, "ERROR")</f>
        <v/>
      </c>
      <c r="N439" s="9" t="str">
        <f>if('Point Intercept 1'!O439 = 'Point Intercept 2'!N440, 'Point Intercept 1'!O439, "ERROR")</f>
        <v/>
      </c>
      <c r="O439" s="9" t="str">
        <f>if('Point Intercept 1'!P439 = 'Point Intercept 2'!O440, 'Point Intercept 1'!P439, "ERROR")</f>
        <v/>
      </c>
    </row>
    <row r="440">
      <c r="A440" s="9">
        <f>if('Point Intercept 1'!A440 = 'Point Intercept 2'!A440, 'Point Intercept 1'!A440, "ERROR")</f>
        <v>5</v>
      </c>
      <c r="B440" s="9">
        <f>if('Point Intercept 1'!B440 = 'Point Intercept 2'!B440, 'Point Intercept 1'!B440, "ERROR")</f>
        <v>2025</v>
      </c>
      <c r="C440" s="14">
        <f>if('Point Intercept 1'!C440 = 'Point Intercept 2'!C440, 'Point Intercept 1'!C440, "ERROR")</f>
        <v>45755</v>
      </c>
      <c r="D440" s="9" t="str">
        <f>if('Point Intercept 1'!D440 = 'Point Intercept 2'!D440, 'Point Intercept 1'!D440, "ERROR")</f>
        <v>TL, JC</v>
      </c>
      <c r="E440" s="9" t="str">
        <f>if('Point Intercept 1'!E440 = 'Point Intercept 2'!E440, 'Point Intercept 1'!E440, "ERROR")</f>
        <v>VB</v>
      </c>
      <c r="F440" s="9">
        <f>if('Point Intercept 1'!F440 = 'Point Intercept 2'!F440, 'Point Intercept 1'!F440, "ERROR")</f>
        <v>3</v>
      </c>
      <c r="G440" s="9" t="str">
        <f>if('Point Intercept 1'!G440 = 'Point Intercept 2'!G440, 'Point Intercept 1'!G440, "ERROR")</f>
        <v>SS</v>
      </c>
      <c r="H440" s="9">
        <f>if('Point Intercept 1'!I440 = 'Point Intercept 2'!I440, 'Point Intercept 1'!I440, "ERROR")</f>
        <v>10</v>
      </c>
      <c r="I440" s="9">
        <f>if('Point Intercept 1'!H440 = 'Point Intercept 2'!H440, 'Point Intercept 1'!H440, "ERROR")</f>
        <v>1</v>
      </c>
      <c r="J440" s="9">
        <f>if('Point Intercept 1'!J440 = 'Point Intercept 2'!J440, 'Point Intercept 1'!J440, "ERROR")</f>
        <v>8</v>
      </c>
      <c r="K440" s="9" t="str">
        <f>if('Point Intercept 1'!K440 = 'Point Intercept 2'!K440, 'Point Intercept 1'!K440, "ERROR")</f>
        <v>FESMYU</v>
      </c>
      <c r="L440" s="9" t="str">
        <f>if('Point Intercept 1'!L440 = 'Point Intercept 2'!L440, 'Point Intercept 1'!L440, "ERROR")</f>
        <v>Festuca myuros</v>
      </c>
      <c r="M440" s="9" t="str">
        <f>if('Point Intercept 1'!N440 = 'Point Intercept 2'!M441, 'Point Intercept 1'!N440, "ERROR")</f>
        <v/>
      </c>
      <c r="N440" s="9" t="str">
        <f>if('Point Intercept 1'!O440 = 'Point Intercept 2'!N441, 'Point Intercept 1'!O440, "ERROR")</f>
        <v/>
      </c>
      <c r="O440" s="9" t="str">
        <f>if('Point Intercept 1'!P440 = 'Point Intercept 2'!O441, 'Point Intercept 1'!P440, "ERROR")</f>
        <v/>
      </c>
    </row>
    <row r="441">
      <c r="A441" s="9">
        <f>if('Point Intercept 1'!A441 = 'Point Intercept 2'!A441, 'Point Intercept 1'!A441, "ERROR")</f>
        <v>5</v>
      </c>
      <c r="B441" s="9">
        <f>if('Point Intercept 1'!B441 = 'Point Intercept 2'!B441, 'Point Intercept 1'!B441, "ERROR")</f>
        <v>2025</v>
      </c>
      <c r="C441" s="14">
        <f>if('Point Intercept 1'!C441 = 'Point Intercept 2'!C441, 'Point Intercept 1'!C441, "ERROR")</f>
        <v>45755</v>
      </c>
      <c r="D441" s="9" t="str">
        <f>if('Point Intercept 1'!D441 = 'Point Intercept 2'!D441, 'Point Intercept 1'!D441, "ERROR")</f>
        <v>TL, JC</v>
      </c>
      <c r="E441" s="9" t="str">
        <f>if('Point Intercept 1'!E441 = 'Point Intercept 2'!E441, 'Point Intercept 1'!E441, "ERROR")</f>
        <v>VB</v>
      </c>
      <c r="F441" s="9">
        <f>if('Point Intercept 1'!F441 = 'Point Intercept 2'!F441, 'Point Intercept 1'!F441, "ERROR")</f>
        <v>3</v>
      </c>
      <c r="G441" s="9" t="str">
        <f>if('Point Intercept 1'!G441 = 'Point Intercept 2'!G441, 'Point Intercept 1'!G441, "ERROR")</f>
        <v>SS</v>
      </c>
      <c r="H441" s="9">
        <f>if('Point Intercept 1'!I441 = 'Point Intercept 2'!I441, 'Point Intercept 1'!I441, "ERROR")</f>
        <v>10</v>
      </c>
      <c r="I441" s="9">
        <f>if('Point Intercept 1'!H441 = 'Point Intercept 2'!H441, 'Point Intercept 1'!H441, "ERROR")</f>
        <v>1</v>
      </c>
      <c r="J441" s="9">
        <f>if('Point Intercept 1'!J441 = 'Point Intercept 2'!J441, 'Point Intercept 1'!J441, "ERROR")</f>
        <v>8</v>
      </c>
      <c r="K441" s="9" t="str">
        <f>if('Point Intercept 1'!K441 = 'Point Intercept 2'!K441, 'Point Intercept 1'!K441, "ERROR")</f>
        <v>DEIFAS</v>
      </c>
      <c r="L441" s="9" t="str">
        <f>if('Point Intercept 1'!L441 = 'Point Intercept 2'!L441, 'Point Intercept 1'!L441, "ERROR")</f>
        <v>Deinandra fasciculata</v>
      </c>
      <c r="M441" s="9" t="str">
        <f>if('Point Intercept 1'!N441 = 'Point Intercept 2'!M442, 'Point Intercept 1'!N441, "ERROR")</f>
        <v/>
      </c>
      <c r="N441" s="9" t="str">
        <f>if('Point Intercept 1'!O441 = 'Point Intercept 2'!N442, 'Point Intercept 1'!O441, "ERROR")</f>
        <v/>
      </c>
      <c r="O441" s="9" t="str">
        <f>if('Point Intercept 1'!P441 = 'Point Intercept 2'!O442, 'Point Intercept 1'!P441, "ERROR")</f>
        <v/>
      </c>
    </row>
    <row r="442">
      <c r="A442" s="9">
        <f>if('Point Intercept 1'!A442 = 'Point Intercept 2'!A442, 'Point Intercept 1'!A442, "ERROR")</f>
        <v>5</v>
      </c>
      <c r="B442" s="9">
        <f>if('Point Intercept 1'!B442 = 'Point Intercept 2'!B442, 'Point Intercept 1'!B442, "ERROR")</f>
        <v>2025</v>
      </c>
      <c r="C442" s="14">
        <f>if('Point Intercept 1'!C442 = 'Point Intercept 2'!C442, 'Point Intercept 1'!C442, "ERROR")</f>
        <v>45755</v>
      </c>
      <c r="D442" s="9" t="str">
        <f>if('Point Intercept 1'!D442 = 'Point Intercept 2'!D442, 'Point Intercept 1'!D442, "ERROR")</f>
        <v>TL, JC</v>
      </c>
      <c r="E442" s="9" t="str">
        <f>if('Point Intercept 1'!E442 = 'Point Intercept 2'!E442, 'Point Intercept 1'!E442, "ERROR")</f>
        <v>VB</v>
      </c>
      <c r="F442" s="9">
        <f>if('Point Intercept 1'!F442 = 'Point Intercept 2'!F442, 'Point Intercept 1'!F442, "ERROR")</f>
        <v>3</v>
      </c>
      <c r="G442" s="9" t="str">
        <f>if('Point Intercept 1'!G442 = 'Point Intercept 2'!G442, 'Point Intercept 1'!G442, "ERROR")</f>
        <v>SS</v>
      </c>
      <c r="H442" s="9">
        <f>if('Point Intercept 1'!I442 = 'Point Intercept 2'!I442, 'Point Intercept 1'!I442, "ERROR")</f>
        <v>10</v>
      </c>
      <c r="I442" s="9">
        <f>if('Point Intercept 1'!H442 = 'Point Intercept 2'!H442, 'Point Intercept 1'!H442, "ERROR")</f>
        <v>1</v>
      </c>
      <c r="J442" s="9">
        <f>if('Point Intercept 1'!J442 = 'Point Intercept 2'!J442, 'Point Intercept 1'!J442, "ERROR")</f>
        <v>8</v>
      </c>
      <c r="K442" s="9" t="str">
        <f>if('Point Intercept 1'!K442 = 'Point Intercept 2'!K442, 'Point Intercept 1'!K442, "ERROR")</f>
        <v>EROCIC</v>
      </c>
      <c r="L442" s="9" t="str">
        <f>if('Point Intercept 1'!L442 = 'Point Intercept 2'!L442, 'Point Intercept 1'!L442, "ERROR")</f>
        <v>Erodium cicutarium</v>
      </c>
      <c r="M442" s="9" t="str">
        <f>if('Point Intercept 1'!N442 = 'Point Intercept 2'!M443, 'Point Intercept 1'!N442, "ERROR")</f>
        <v/>
      </c>
      <c r="N442" s="9" t="str">
        <f>if('Point Intercept 1'!O442 = 'Point Intercept 2'!N443, 'Point Intercept 1'!O442, "ERROR")</f>
        <v/>
      </c>
      <c r="O442" s="9" t="str">
        <f>if('Point Intercept 1'!P442 = 'Point Intercept 2'!O443, 'Point Intercept 1'!P442, "ERROR")</f>
        <v/>
      </c>
    </row>
    <row r="443">
      <c r="A443" s="9">
        <f>if('Point Intercept 1'!A443 = 'Point Intercept 2'!A443, 'Point Intercept 1'!A443, "ERROR")</f>
        <v>5</v>
      </c>
      <c r="B443" s="9">
        <f>if('Point Intercept 1'!B443 = 'Point Intercept 2'!B443, 'Point Intercept 1'!B443, "ERROR")</f>
        <v>2025</v>
      </c>
      <c r="C443" s="14">
        <f>if('Point Intercept 1'!C443 = 'Point Intercept 2'!C443, 'Point Intercept 1'!C443, "ERROR")</f>
        <v>45755</v>
      </c>
      <c r="D443" s="9" t="str">
        <f>if('Point Intercept 1'!D443 = 'Point Intercept 2'!D443, 'Point Intercept 1'!D443, "ERROR")</f>
        <v>TL, JC</v>
      </c>
      <c r="E443" s="9" t="str">
        <f>if('Point Intercept 1'!E443 = 'Point Intercept 2'!E443, 'Point Intercept 1'!E443, "ERROR")</f>
        <v>VB</v>
      </c>
      <c r="F443" s="9">
        <f>if('Point Intercept 1'!F443 = 'Point Intercept 2'!F443, 'Point Intercept 1'!F443, "ERROR")</f>
        <v>3</v>
      </c>
      <c r="G443" s="9" t="str">
        <f>if('Point Intercept 1'!G443 = 'Point Intercept 2'!G443, 'Point Intercept 1'!G443, "ERROR")</f>
        <v>SS</v>
      </c>
      <c r="H443" s="9">
        <f>if('Point Intercept 1'!I443 = 'Point Intercept 2'!I443, 'Point Intercept 1'!I443, "ERROR")</f>
        <v>11</v>
      </c>
      <c r="I443" s="9">
        <f>if('Point Intercept 1'!H443 = 'Point Intercept 2'!H443, 'Point Intercept 1'!H443, "ERROR")</f>
        <v>1</v>
      </c>
      <c r="J443" s="9">
        <f>if('Point Intercept 1'!J443 = 'Point Intercept 2'!J443, 'Point Intercept 1'!J443, "ERROR")</f>
        <v>8.5</v>
      </c>
      <c r="K443" s="9" t="str">
        <f>if('Point Intercept 1'!K443 = 'Point Intercept 2'!K443, 'Point Intercept 1'!K443, "ERROR")</f>
        <v>B</v>
      </c>
      <c r="L443" s="9" t="str">
        <f>if('Point Intercept 1'!L443 = 'Point Intercept 2'!L443, 'Point Intercept 1'!L443, "ERROR")</f>
        <v>Bareground</v>
      </c>
      <c r="M443" s="9" t="str">
        <f>if('Point Intercept 1'!N443 = 'Point Intercept 2'!M444, 'Point Intercept 1'!N443, "ERROR")</f>
        <v/>
      </c>
      <c r="N443" s="9" t="str">
        <f>if('Point Intercept 1'!O443 = 'Point Intercept 2'!N444, 'Point Intercept 1'!O443, "ERROR")</f>
        <v/>
      </c>
      <c r="O443" s="9" t="str">
        <f>if('Point Intercept 1'!P443 = 'Point Intercept 2'!O444, 'Point Intercept 1'!P443, "ERROR")</f>
        <v/>
      </c>
    </row>
    <row r="444">
      <c r="A444" s="9">
        <f>if('Point Intercept 1'!A444 = 'Point Intercept 2'!A444, 'Point Intercept 1'!A444, "ERROR")</f>
        <v>5</v>
      </c>
      <c r="B444" s="9">
        <f>if('Point Intercept 1'!B444 = 'Point Intercept 2'!B444, 'Point Intercept 1'!B444, "ERROR")</f>
        <v>2025</v>
      </c>
      <c r="C444" s="14">
        <f>if('Point Intercept 1'!C444 = 'Point Intercept 2'!C444, 'Point Intercept 1'!C444, "ERROR")</f>
        <v>45755</v>
      </c>
      <c r="D444" s="9" t="str">
        <f>if('Point Intercept 1'!D444 = 'Point Intercept 2'!D444, 'Point Intercept 1'!D444, "ERROR")</f>
        <v>TL, JC</v>
      </c>
      <c r="E444" s="9" t="str">
        <f>if('Point Intercept 1'!E444 = 'Point Intercept 2'!E444, 'Point Intercept 1'!E444, "ERROR")</f>
        <v>VB</v>
      </c>
      <c r="F444" s="9">
        <f>if('Point Intercept 1'!F444 = 'Point Intercept 2'!F444, 'Point Intercept 1'!F444, "ERROR")</f>
        <v>3</v>
      </c>
      <c r="G444" s="9" t="str">
        <f>if('Point Intercept 1'!G444 = 'Point Intercept 2'!G444, 'Point Intercept 1'!G444, "ERROR")</f>
        <v>SS</v>
      </c>
      <c r="H444" s="9">
        <f>if('Point Intercept 1'!I444 = 'Point Intercept 2'!I444, 'Point Intercept 1'!I444, "ERROR")</f>
        <v>11</v>
      </c>
      <c r="I444" s="9">
        <f>if('Point Intercept 1'!H444 = 'Point Intercept 2'!H444, 'Point Intercept 1'!H444, "ERROR")</f>
        <v>1</v>
      </c>
      <c r="J444" s="9">
        <f>if('Point Intercept 1'!J444 = 'Point Intercept 2'!J444, 'Point Intercept 1'!J444, "ERROR")</f>
        <v>8.5</v>
      </c>
      <c r="K444" s="9" t="str">
        <f>if('Point Intercept 1'!K444 = 'Point Intercept 2'!K444, 'Point Intercept 1'!K444, "ERROR")</f>
        <v>BRANIG</v>
      </c>
      <c r="L444" s="9" t="str">
        <f>if('Point Intercept 1'!L444 = 'Point Intercept 2'!L444, 'Point Intercept 1'!L444, "ERROR")</f>
        <v>Brassica nigra</v>
      </c>
      <c r="M444" s="9" t="str">
        <f>if('Point Intercept 1'!N444 = 'Point Intercept 2'!M445, 'Point Intercept 1'!N444, "ERROR")</f>
        <v/>
      </c>
      <c r="N444" s="9" t="str">
        <f>if('Point Intercept 1'!O444 = 'Point Intercept 2'!N445, 'Point Intercept 1'!O444, "ERROR")</f>
        <v/>
      </c>
      <c r="O444" s="9" t="str">
        <f>if('Point Intercept 1'!P444 = 'Point Intercept 2'!O445, 'Point Intercept 1'!P444, "ERROR")</f>
        <v/>
      </c>
    </row>
    <row r="445">
      <c r="A445" s="9">
        <f>if('Point Intercept 1'!A445 = 'Point Intercept 2'!A445, 'Point Intercept 1'!A445, "ERROR")</f>
        <v>5</v>
      </c>
      <c r="B445" s="9">
        <f>if('Point Intercept 1'!B445 = 'Point Intercept 2'!B445, 'Point Intercept 1'!B445, "ERROR")</f>
        <v>2025</v>
      </c>
      <c r="C445" s="14">
        <f>if('Point Intercept 1'!C445 = 'Point Intercept 2'!C445, 'Point Intercept 1'!C445, "ERROR")</f>
        <v>45755</v>
      </c>
      <c r="D445" s="9" t="str">
        <f>if('Point Intercept 1'!D445 = 'Point Intercept 2'!D445, 'Point Intercept 1'!D445, "ERROR")</f>
        <v>TL, JC</v>
      </c>
      <c r="E445" s="9" t="str">
        <f>if('Point Intercept 1'!E445 = 'Point Intercept 2'!E445, 'Point Intercept 1'!E445, "ERROR")</f>
        <v>VB</v>
      </c>
      <c r="F445" s="9">
        <f>if('Point Intercept 1'!F445 = 'Point Intercept 2'!F445, 'Point Intercept 1'!F445, "ERROR")</f>
        <v>3</v>
      </c>
      <c r="G445" s="9" t="str">
        <f>if('Point Intercept 1'!G445 = 'Point Intercept 2'!G445, 'Point Intercept 1'!G445, "ERROR")</f>
        <v>SS</v>
      </c>
      <c r="H445" s="9">
        <f>if('Point Intercept 1'!I445 = 'Point Intercept 2'!I445, 'Point Intercept 1'!I445, "ERROR")</f>
        <v>12</v>
      </c>
      <c r="I445" s="9">
        <f>if('Point Intercept 1'!H445 = 'Point Intercept 2'!H445, 'Point Intercept 1'!H445, "ERROR")</f>
        <v>1</v>
      </c>
      <c r="J445" s="9">
        <f>if('Point Intercept 1'!J445 = 'Point Intercept 2'!J445, 'Point Intercept 1'!J445, "ERROR")</f>
        <v>9</v>
      </c>
      <c r="K445" s="9" t="str">
        <f>if('Point Intercept 1'!K445 = 'Point Intercept 2'!K445, 'Point Intercept 1'!K445, "ERROR")</f>
        <v>L</v>
      </c>
      <c r="L445" s="9" t="str">
        <f>if('Point Intercept 1'!L445 = 'Point Intercept 2'!L445, 'Point Intercept 1'!L445, "ERROR")</f>
        <v>Litter</v>
      </c>
      <c r="M445" s="9" t="str">
        <f>if('Point Intercept 1'!N445 = 'Point Intercept 2'!M446, 'Point Intercept 1'!N445, "ERROR")</f>
        <v/>
      </c>
      <c r="N445" s="9" t="str">
        <f>if('Point Intercept 1'!O445 = 'Point Intercept 2'!N446, 'Point Intercept 1'!O445, "ERROR")</f>
        <v/>
      </c>
      <c r="O445" s="9" t="str">
        <f>if('Point Intercept 1'!P445 = 'Point Intercept 2'!O446, 'Point Intercept 1'!P445, "ERROR")</f>
        <v/>
      </c>
    </row>
    <row r="446">
      <c r="A446" s="9">
        <f>if('Point Intercept 1'!A446 = 'Point Intercept 2'!A446, 'Point Intercept 1'!A446, "ERROR")</f>
        <v>5</v>
      </c>
      <c r="B446" s="9">
        <f>if('Point Intercept 1'!B446 = 'Point Intercept 2'!B446, 'Point Intercept 1'!B446, "ERROR")</f>
        <v>2025</v>
      </c>
      <c r="C446" s="14">
        <f>if('Point Intercept 1'!C446 = 'Point Intercept 2'!C446, 'Point Intercept 1'!C446, "ERROR")</f>
        <v>45755</v>
      </c>
      <c r="D446" s="9" t="str">
        <f>if('Point Intercept 1'!D446 = 'Point Intercept 2'!D446, 'Point Intercept 1'!D446, "ERROR")</f>
        <v>TL, JC</v>
      </c>
      <c r="E446" s="9" t="str">
        <f>if('Point Intercept 1'!E446 = 'Point Intercept 2'!E446, 'Point Intercept 1'!E446, "ERROR")</f>
        <v>VB</v>
      </c>
      <c r="F446" s="9">
        <f>if('Point Intercept 1'!F446 = 'Point Intercept 2'!F446, 'Point Intercept 1'!F446, "ERROR")</f>
        <v>3</v>
      </c>
      <c r="G446" s="9" t="str">
        <f>if('Point Intercept 1'!G446 = 'Point Intercept 2'!G446, 'Point Intercept 1'!G446, "ERROR")</f>
        <v>SS</v>
      </c>
      <c r="H446" s="9">
        <f>if('Point Intercept 1'!I446 = 'Point Intercept 2'!I446, 'Point Intercept 1'!I446, "ERROR")</f>
        <v>12</v>
      </c>
      <c r="I446" s="9">
        <f>if('Point Intercept 1'!H446 = 'Point Intercept 2'!H446, 'Point Intercept 1'!H446, "ERROR")</f>
        <v>1</v>
      </c>
      <c r="J446" s="9">
        <f>if('Point Intercept 1'!J446 = 'Point Intercept 2'!J446, 'Point Intercept 1'!J446, "ERROR")</f>
        <v>9</v>
      </c>
      <c r="K446" s="9" t="str">
        <f>if('Point Intercept 1'!K446 = 'Point Intercept 2'!K446, 'Point Intercept 1'!K446, "ERROR")</f>
        <v>SONASP</v>
      </c>
      <c r="L446" s="9" t="str">
        <f>if('Point Intercept 1'!L446 = 'Point Intercept 2'!L446, 'Point Intercept 1'!L446, "ERROR")</f>
        <v>Sonchus asper</v>
      </c>
    </row>
    <row r="447">
      <c r="A447" s="9">
        <f>if('Point Intercept 1'!A447 = 'Point Intercept 2'!A447, 'Point Intercept 1'!A447, "ERROR")</f>
        <v>5</v>
      </c>
      <c r="B447" s="9">
        <f>if('Point Intercept 1'!B447 = 'Point Intercept 2'!B447, 'Point Intercept 1'!B447, "ERROR")</f>
        <v>2025</v>
      </c>
      <c r="C447" s="14">
        <f>if('Point Intercept 1'!C447 = 'Point Intercept 2'!C447, 'Point Intercept 1'!C447, "ERROR")</f>
        <v>45755</v>
      </c>
      <c r="D447" s="9" t="str">
        <f>if('Point Intercept 1'!D447 = 'Point Intercept 2'!D447, 'Point Intercept 1'!D447, "ERROR")</f>
        <v>TL, JC</v>
      </c>
      <c r="E447" s="9" t="str">
        <f>if('Point Intercept 1'!E447 = 'Point Intercept 2'!E447, 'Point Intercept 1'!E447, "ERROR")</f>
        <v>VB</v>
      </c>
      <c r="F447" s="9">
        <f>if('Point Intercept 1'!F447 = 'Point Intercept 2'!F447, 'Point Intercept 1'!F447, "ERROR")</f>
        <v>3</v>
      </c>
      <c r="G447" s="9" t="str">
        <f>if('Point Intercept 1'!G447 = 'Point Intercept 2'!G447, 'Point Intercept 1'!G447, "ERROR")</f>
        <v>SS</v>
      </c>
      <c r="H447" s="9">
        <f>if('Point Intercept 1'!I447 = 'Point Intercept 2'!I447, 'Point Intercept 1'!I447, "ERROR")</f>
        <v>13</v>
      </c>
      <c r="I447" s="9">
        <f>if('Point Intercept 1'!H447 = 'Point Intercept 2'!H447, 'Point Intercept 1'!H447, "ERROR")</f>
        <v>1</v>
      </c>
      <c r="J447" s="9">
        <f>if('Point Intercept 1'!J447 = 'Point Intercept 2'!J447, 'Point Intercept 1'!J447, "ERROR")</f>
        <v>10</v>
      </c>
      <c r="K447" s="9" t="str">
        <f>if('Point Intercept 1'!K447 = 'Point Intercept 2'!K447, 'Point Intercept 1'!K447, "ERROR")</f>
        <v>L</v>
      </c>
      <c r="L447" s="9" t="str">
        <f>if('Point Intercept 1'!L447 = 'Point Intercept 2'!L447, 'Point Intercept 1'!L447, "ERROR")</f>
        <v>Litter</v>
      </c>
    </row>
    <row r="448">
      <c r="A448" s="9">
        <f>if('Point Intercept 1'!A448 = 'Point Intercept 2'!A448, 'Point Intercept 1'!A448, "ERROR")</f>
        <v>5</v>
      </c>
      <c r="B448" s="9">
        <f>if('Point Intercept 1'!B448 = 'Point Intercept 2'!B448, 'Point Intercept 1'!B448, "ERROR")</f>
        <v>2025</v>
      </c>
      <c r="C448" s="14">
        <f>if('Point Intercept 1'!C448 = 'Point Intercept 2'!C448, 'Point Intercept 1'!C448, "ERROR")</f>
        <v>45755</v>
      </c>
      <c r="D448" s="9" t="str">
        <f>if('Point Intercept 1'!D448 = 'Point Intercept 2'!D448, 'Point Intercept 1'!D448, "ERROR")</f>
        <v>TL, JC</v>
      </c>
      <c r="E448" s="9" t="str">
        <f>if('Point Intercept 1'!E448 = 'Point Intercept 2'!E448, 'Point Intercept 1'!E448, "ERROR")</f>
        <v>VB</v>
      </c>
      <c r="F448" s="9">
        <f>if('Point Intercept 1'!F448 = 'Point Intercept 2'!F448, 'Point Intercept 1'!F448, "ERROR")</f>
        <v>3</v>
      </c>
      <c r="G448" s="9" t="str">
        <f>if('Point Intercept 1'!G448 = 'Point Intercept 2'!G448, 'Point Intercept 1'!G448, "ERROR")</f>
        <v>SS</v>
      </c>
      <c r="H448" s="9">
        <f>if('Point Intercept 1'!I448 = 'Point Intercept 2'!I448, 'Point Intercept 1'!I448, "ERROR")</f>
        <v>13</v>
      </c>
      <c r="I448" s="9">
        <f>if('Point Intercept 1'!H448 = 'Point Intercept 2'!H448, 'Point Intercept 1'!H448, "ERROR")</f>
        <v>1</v>
      </c>
      <c r="J448" s="9">
        <f>if('Point Intercept 1'!J448 = 'Point Intercept 2'!J448, 'Point Intercept 1'!J448, "ERROR")</f>
        <v>10</v>
      </c>
      <c r="K448" s="9" t="str">
        <f>if('Point Intercept 1'!K448 = 'Point Intercept 2'!K448, 'Point Intercept 1'!K448, "ERROR")</f>
        <v>SONASP</v>
      </c>
      <c r="L448" s="9" t="str">
        <f>if('Point Intercept 1'!L448 = 'Point Intercept 2'!L448, 'Point Intercept 1'!L448, "ERROR")</f>
        <v>Sonchus asper</v>
      </c>
    </row>
    <row r="449">
      <c r="A449" s="9">
        <f>if('Point Intercept 1'!A449 = 'Point Intercept 2'!A449, 'Point Intercept 1'!A449, "ERROR")</f>
        <v>5</v>
      </c>
      <c r="B449" s="9">
        <f>if('Point Intercept 1'!B449 = 'Point Intercept 2'!B449, 'Point Intercept 1'!B449, "ERROR")</f>
        <v>2025</v>
      </c>
      <c r="C449" s="14">
        <f>if('Point Intercept 1'!C449 = 'Point Intercept 2'!C449, 'Point Intercept 1'!C449, "ERROR")</f>
        <v>45755</v>
      </c>
      <c r="D449" s="9" t="str">
        <f>if('Point Intercept 1'!D449 = 'Point Intercept 2'!D449, 'Point Intercept 1'!D449, "ERROR")</f>
        <v>TL, JC</v>
      </c>
      <c r="E449" s="9" t="str">
        <f>if('Point Intercept 1'!E449 = 'Point Intercept 2'!E449, 'Point Intercept 1'!E449, "ERROR")</f>
        <v>VB</v>
      </c>
      <c r="F449" s="9">
        <f>if('Point Intercept 1'!F449 = 'Point Intercept 2'!F449, 'Point Intercept 1'!F449, "ERROR")</f>
        <v>3</v>
      </c>
      <c r="G449" s="9" t="str">
        <f>if('Point Intercept 1'!G449 = 'Point Intercept 2'!G449, 'Point Intercept 1'!G449, "ERROR")</f>
        <v>SS</v>
      </c>
      <c r="H449" s="9">
        <f>if('Point Intercept 1'!I449 = 'Point Intercept 2'!I449, 'Point Intercept 1'!I449, "ERROR")</f>
        <v>14</v>
      </c>
      <c r="I449" s="9">
        <f>if('Point Intercept 1'!H449 = 'Point Intercept 2'!H449, 'Point Intercept 1'!H449, "ERROR")</f>
        <v>1</v>
      </c>
      <c r="J449" s="9">
        <f>if('Point Intercept 1'!J449 = 'Point Intercept 2'!J449, 'Point Intercept 1'!J449, "ERROR")</f>
        <v>11</v>
      </c>
      <c r="K449" s="9" t="str">
        <f>if('Point Intercept 1'!K449 = 'Point Intercept 2'!K449, 'Point Intercept 1'!K449, "ERROR")</f>
        <v>B</v>
      </c>
      <c r="L449" s="9" t="str">
        <f>if('Point Intercept 1'!L449 = 'Point Intercept 2'!L449, 'Point Intercept 1'!L449, "ERROR")</f>
        <v>Bareground</v>
      </c>
    </row>
    <row r="450">
      <c r="A450" s="9">
        <f>if('Point Intercept 1'!A450 = 'Point Intercept 2'!A450, 'Point Intercept 1'!A450, "ERROR")</f>
        <v>5</v>
      </c>
      <c r="B450" s="9">
        <f>if('Point Intercept 1'!B450 = 'Point Intercept 2'!B450, 'Point Intercept 1'!B450, "ERROR")</f>
        <v>2025</v>
      </c>
      <c r="C450" s="14">
        <f>if('Point Intercept 1'!C450 = 'Point Intercept 2'!C450, 'Point Intercept 1'!C450, "ERROR")</f>
        <v>45755</v>
      </c>
      <c r="D450" s="9" t="str">
        <f>if('Point Intercept 1'!D450 = 'Point Intercept 2'!D450, 'Point Intercept 1'!D450, "ERROR")</f>
        <v>TL, JC</v>
      </c>
      <c r="E450" s="9" t="str">
        <f>if('Point Intercept 1'!E450 = 'Point Intercept 2'!E450, 'Point Intercept 1'!E450, "ERROR")</f>
        <v>VB</v>
      </c>
      <c r="F450" s="9">
        <f>if('Point Intercept 1'!F450 = 'Point Intercept 2'!F450, 'Point Intercept 1'!F450, "ERROR")</f>
        <v>3</v>
      </c>
      <c r="G450" s="9" t="str">
        <f>if('Point Intercept 1'!G450 = 'Point Intercept 2'!G450, 'Point Intercept 1'!G450, "ERROR")</f>
        <v>SS</v>
      </c>
      <c r="H450" s="9">
        <f>if('Point Intercept 1'!I450 = 'Point Intercept 2'!I450, 'Point Intercept 1'!I450, "ERROR")</f>
        <v>15</v>
      </c>
      <c r="I450" s="9">
        <f>if('Point Intercept 1'!H450 = 'Point Intercept 2'!H450, 'Point Intercept 1'!H450, "ERROR")</f>
        <v>1</v>
      </c>
      <c r="J450" s="9">
        <f>if('Point Intercept 1'!J450 = 'Point Intercept 2'!J450, 'Point Intercept 1'!J450, "ERROR")</f>
        <v>12</v>
      </c>
      <c r="K450" s="9" t="str">
        <f>if('Point Intercept 1'!K450 = 'Point Intercept 2'!K450, 'Point Intercept 1'!K450, "ERROR")</f>
        <v>B</v>
      </c>
      <c r="L450" s="9" t="str">
        <f>if('Point Intercept 1'!L450 = 'Point Intercept 2'!L450, 'Point Intercept 1'!L450, "ERROR")</f>
        <v>Bareground</v>
      </c>
    </row>
    <row r="451">
      <c r="A451" s="9">
        <f>if('Point Intercept 1'!A451 = 'Point Intercept 2'!A451, 'Point Intercept 1'!A451, "ERROR")</f>
        <v>5</v>
      </c>
      <c r="B451" s="9">
        <f>if('Point Intercept 1'!B451 = 'Point Intercept 2'!B451, 'Point Intercept 1'!B451, "ERROR")</f>
        <v>2025</v>
      </c>
      <c r="C451" s="14">
        <f>if('Point Intercept 1'!C451 = 'Point Intercept 2'!C451, 'Point Intercept 1'!C451, "ERROR")</f>
        <v>45755</v>
      </c>
      <c r="D451" s="9" t="str">
        <f>if('Point Intercept 1'!D451 = 'Point Intercept 2'!D451, 'Point Intercept 1'!D451, "ERROR")</f>
        <v>TL, JC</v>
      </c>
      <c r="E451" s="9" t="str">
        <f>if('Point Intercept 1'!E451 = 'Point Intercept 2'!E451, 'Point Intercept 1'!E451, "ERROR")</f>
        <v>VB</v>
      </c>
      <c r="F451" s="9">
        <f>if('Point Intercept 1'!F451 = 'Point Intercept 2'!F451, 'Point Intercept 1'!F451, "ERROR")</f>
        <v>3</v>
      </c>
      <c r="G451" s="9" t="str">
        <f>if('Point Intercept 1'!G451 = 'Point Intercept 2'!G451, 'Point Intercept 1'!G451, "ERROR")</f>
        <v>SS</v>
      </c>
      <c r="H451" s="9">
        <f>if('Point Intercept 1'!I451 = 'Point Intercept 2'!I451, 'Point Intercept 1'!I451, "ERROR")</f>
        <v>1</v>
      </c>
      <c r="I451" s="9">
        <f>if('Point Intercept 1'!H451 = 'Point Intercept 2'!H451, 'Point Intercept 1'!H451, "ERROR")</f>
        <v>2</v>
      </c>
      <c r="J451" s="9">
        <f>if('Point Intercept 1'!J451 = 'Point Intercept 2'!J451, 'Point Intercept 1'!J451, "ERROR")</f>
        <v>0</v>
      </c>
      <c r="K451" s="9" t="str">
        <f>if('Point Intercept 1'!K451 = 'Point Intercept 2'!K451, 'Point Intercept 1'!K451, "ERROR")</f>
        <v>L</v>
      </c>
      <c r="L451" s="9" t="str">
        <f>if('Point Intercept 1'!L451 = 'Point Intercept 2'!L451, 'Point Intercept 1'!L451, "ERROR")</f>
        <v>Litter</v>
      </c>
    </row>
    <row r="452">
      <c r="A452" s="9">
        <f>if('Point Intercept 1'!A452 = 'Point Intercept 2'!A452, 'Point Intercept 1'!A452, "ERROR")</f>
        <v>5</v>
      </c>
      <c r="B452" s="9">
        <f>if('Point Intercept 1'!B452 = 'Point Intercept 2'!B452, 'Point Intercept 1'!B452, "ERROR")</f>
        <v>2025</v>
      </c>
      <c r="C452" s="14">
        <f>if('Point Intercept 1'!C452 = 'Point Intercept 2'!C452, 'Point Intercept 1'!C452, "ERROR")</f>
        <v>45755</v>
      </c>
      <c r="D452" s="9" t="str">
        <f>if('Point Intercept 1'!D452 = 'Point Intercept 2'!D452, 'Point Intercept 1'!D452, "ERROR")</f>
        <v>TL, JC</v>
      </c>
      <c r="E452" s="9" t="str">
        <f>if('Point Intercept 1'!E452 = 'Point Intercept 2'!E452, 'Point Intercept 1'!E452, "ERROR")</f>
        <v>VB</v>
      </c>
      <c r="F452" s="9">
        <f>if('Point Intercept 1'!F452 = 'Point Intercept 2'!F452, 'Point Intercept 1'!F452, "ERROR")</f>
        <v>3</v>
      </c>
      <c r="G452" s="9" t="str">
        <f>if('Point Intercept 1'!G452 = 'Point Intercept 2'!G452, 'Point Intercept 1'!G452, "ERROR")</f>
        <v>SS</v>
      </c>
      <c r="H452" s="9">
        <f>if('Point Intercept 1'!I452 = 'Point Intercept 2'!I452, 'Point Intercept 1'!I452, "ERROR")</f>
        <v>1</v>
      </c>
      <c r="I452" s="9">
        <f>if('Point Intercept 1'!H452 = 'Point Intercept 2'!H452, 'Point Intercept 1'!H452, "ERROR")</f>
        <v>2</v>
      </c>
      <c r="J452" s="9">
        <f>if('Point Intercept 1'!J452 = 'Point Intercept 2'!J452, 'Point Intercept 1'!J452, "ERROR")</f>
        <v>0</v>
      </c>
      <c r="K452" s="9" t="str">
        <f>if('Point Intercept 1'!K452 = 'Point Intercept 2'!K452, 'Point Intercept 1'!K452, "ERROR")</f>
        <v>CYLPRO</v>
      </c>
      <c r="L452" s="9" t="str">
        <f>if('Point Intercept 1'!L452 = 'Point Intercept 2'!L452, 'Point Intercept 1'!L452, "ERROR")</f>
        <v>Cylindropuntia prolifera</v>
      </c>
    </row>
    <row r="453">
      <c r="A453" s="9">
        <f>if('Point Intercept 1'!A453 = 'Point Intercept 2'!A453, 'Point Intercept 1'!A453, "ERROR")</f>
        <v>5</v>
      </c>
      <c r="B453" s="9">
        <f>if('Point Intercept 1'!B453 = 'Point Intercept 2'!B453, 'Point Intercept 1'!B453, "ERROR")</f>
        <v>2025</v>
      </c>
      <c r="C453" s="14">
        <f>if('Point Intercept 1'!C453 = 'Point Intercept 2'!C453, 'Point Intercept 1'!C453, "ERROR")</f>
        <v>45755</v>
      </c>
      <c r="D453" s="9" t="str">
        <f>if('Point Intercept 1'!D453 = 'Point Intercept 2'!D453, 'Point Intercept 1'!D453, "ERROR")</f>
        <v>TL, JC</v>
      </c>
      <c r="E453" s="9" t="str">
        <f>if('Point Intercept 1'!E453 = 'Point Intercept 2'!E453, 'Point Intercept 1'!E453, "ERROR")</f>
        <v>VB</v>
      </c>
      <c r="F453" s="9">
        <f>if('Point Intercept 1'!F453 = 'Point Intercept 2'!F453, 'Point Intercept 1'!F453, "ERROR")</f>
        <v>3</v>
      </c>
      <c r="G453" s="9" t="str">
        <f>if('Point Intercept 1'!G453 = 'Point Intercept 2'!G453, 'Point Intercept 1'!G453, "ERROR")</f>
        <v>SS</v>
      </c>
      <c r="H453" s="9">
        <f>if('Point Intercept 1'!I453 = 'Point Intercept 2'!I453, 'Point Intercept 1'!I453, "ERROR")</f>
        <v>1</v>
      </c>
      <c r="I453" s="9">
        <f>if('Point Intercept 1'!H453 = 'Point Intercept 2'!H453, 'Point Intercept 1'!H453, "ERROR")</f>
        <v>2</v>
      </c>
      <c r="J453" s="9">
        <f>if('Point Intercept 1'!J453 = 'Point Intercept 2'!J453, 'Point Intercept 1'!J453, "ERROR")</f>
        <v>0</v>
      </c>
      <c r="K453" s="9" t="str">
        <f>if('Point Intercept 1'!K453 = 'Point Intercept 2'!K453, 'Point Intercept 1'!K453, "ERROR")</f>
        <v>MEDPOL</v>
      </c>
      <c r="L453" s="9" t="str">
        <f>if('Point Intercept 1'!L453 = 'Point Intercept 2'!L453, 'Point Intercept 1'!L453, "ERROR")</f>
        <v>Medicago polymorpha</v>
      </c>
    </row>
    <row r="454">
      <c r="A454" s="9">
        <f>if('Point Intercept 1'!A454 = 'Point Intercept 2'!A454, 'Point Intercept 1'!A454, "ERROR")</f>
        <v>5</v>
      </c>
      <c r="B454" s="9">
        <f>if('Point Intercept 1'!B454 = 'Point Intercept 2'!B454, 'Point Intercept 1'!B454, "ERROR")</f>
        <v>2025</v>
      </c>
      <c r="C454" s="14">
        <f>if('Point Intercept 1'!C454 = 'Point Intercept 2'!C454, 'Point Intercept 1'!C454, "ERROR")</f>
        <v>45755</v>
      </c>
      <c r="D454" s="9" t="str">
        <f>if('Point Intercept 1'!D454 = 'Point Intercept 2'!D454, 'Point Intercept 1'!D454, "ERROR")</f>
        <v>TL, JC</v>
      </c>
      <c r="E454" s="9" t="str">
        <f>if('Point Intercept 1'!E454 = 'Point Intercept 2'!E454, 'Point Intercept 1'!E454, "ERROR")</f>
        <v>VB</v>
      </c>
      <c r="F454" s="9">
        <f>if('Point Intercept 1'!F454 = 'Point Intercept 2'!F454, 'Point Intercept 1'!F454, "ERROR")</f>
        <v>3</v>
      </c>
      <c r="G454" s="9" t="str">
        <f>if('Point Intercept 1'!G454 = 'Point Intercept 2'!G454, 'Point Intercept 1'!G454, "ERROR")</f>
        <v>SS</v>
      </c>
      <c r="H454" s="9">
        <f>if('Point Intercept 1'!I454 = 'Point Intercept 2'!I454, 'Point Intercept 1'!I454, "ERROR")</f>
        <v>1</v>
      </c>
      <c r="I454" s="9">
        <f>if('Point Intercept 1'!H454 = 'Point Intercept 2'!H454, 'Point Intercept 1'!H454, "ERROR")</f>
        <v>2</v>
      </c>
      <c r="J454" s="9">
        <f>if('Point Intercept 1'!J454 = 'Point Intercept 2'!J454, 'Point Intercept 1'!J454, "ERROR")</f>
        <v>0</v>
      </c>
      <c r="K454" s="9" t="str">
        <f>if('Point Intercept 1'!K454 = 'Point Intercept 2'!K454, 'Point Intercept 1'!K454, "ERROR")</f>
        <v>FESMYU</v>
      </c>
      <c r="L454" s="9" t="str">
        <f>if('Point Intercept 1'!L454 = 'Point Intercept 2'!L454, 'Point Intercept 1'!L454, "ERROR")</f>
        <v>Festuca myuros</v>
      </c>
    </row>
    <row r="455">
      <c r="A455" s="9">
        <f>if('Point Intercept 1'!A455 = 'Point Intercept 2'!A455, 'Point Intercept 1'!A455, "ERROR")</f>
        <v>5</v>
      </c>
      <c r="B455" s="9">
        <f>if('Point Intercept 1'!B455 = 'Point Intercept 2'!B455, 'Point Intercept 1'!B455, "ERROR")</f>
        <v>2025</v>
      </c>
      <c r="C455" s="14">
        <f>if('Point Intercept 1'!C455 = 'Point Intercept 2'!C455, 'Point Intercept 1'!C455, "ERROR")</f>
        <v>45755</v>
      </c>
      <c r="D455" s="9" t="str">
        <f>if('Point Intercept 1'!D455 = 'Point Intercept 2'!D455, 'Point Intercept 1'!D455, "ERROR")</f>
        <v>TL, JC</v>
      </c>
      <c r="E455" s="9" t="str">
        <f>if('Point Intercept 1'!E455 = 'Point Intercept 2'!E455, 'Point Intercept 1'!E455, "ERROR")</f>
        <v>VB</v>
      </c>
      <c r="F455" s="9">
        <f>if('Point Intercept 1'!F455 = 'Point Intercept 2'!F455, 'Point Intercept 1'!F455, "ERROR")</f>
        <v>3</v>
      </c>
      <c r="G455" s="9" t="str">
        <f>if('Point Intercept 1'!G455 = 'Point Intercept 2'!G455, 'Point Intercept 1'!G455, "ERROR")</f>
        <v>SS</v>
      </c>
      <c r="H455" s="9">
        <f>if('Point Intercept 1'!I455 = 'Point Intercept 2'!I455, 'Point Intercept 1'!I455, "ERROR")</f>
        <v>1</v>
      </c>
      <c r="I455" s="9">
        <f>if('Point Intercept 1'!H455 = 'Point Intercept 2'!H455, 'Point Intercept 1'!H455, "ERROR")</f>
        <v>2</v>
      </c>
      <c r="J455" s="9">
        <f>if('Point Intercept 1'!J455 = 'Point Intercept 2'!J455, 'Point Intercept 1'!J455, "ERROR")</f>
        <v>0</v>
      </c>
      <c r="K455" s="9" t="str">
        <f>if('Point Intercept 1'!K455 = 'Point Intercept 2'!K455, 'Point Intercept 1'!K455, "ERROR")</f>
        <v>SONOLE</v>
      </c>
      <c r="L455" s="9" t="str">
        <f>if('Point Intercept 1'!L455 = 'Point Intercept 2'!L455, 'Point Intercept 1'!L455, "ERROR")</f>
        <v>Sonchus oleraceus</v>
      </c>
    </row>
    <row r="456">
      <c r="A456" s="9">
        <f>if('Point Intercept 1'!A456 = 'Point Intercept 2'!A456, 'Point Intercept 1'!A456, "ERROR")</f>
        <v>5</v>
      </c>
      <c r="B456" s="9">
        <f>if('Point Intercept 1'!B456 = 'Point Intercept 2'!B456, 'Point Intercept 1'!B456, "ERROR")</f>
        <v>2025</v>
      </c>
      <c r="C456" s="14">
        <f>if('Point Intercept 1'!C456 = 'Point Intercept 2'!C456, 'Point Intercept 1'!C456, "ERROR")</f>
        <v>45755</v>
      </c>
      <c r="D456" s="9" t="str">
        <f>if('Point Intercept 1'!D456 = 'Point Intercept 2'!D456, 'Point Intercept 1'!D456, "ERROR")</f>
        <v>TL, JC</v>
      </c>
      <c r="E456" s="9" t="str">
        <f>if('Point Intercept 1'!E456 = 'Point Intercept 2'!E456, 'Point Intercept 1'!E456, "ERROR")</f>
        <v>VB</v>
      </c>
      <c r="F456" s="9">
        <f>if('Point Intercept 1'!F456 = 'Point Intercept 2'!F456, 'Point Intercept 1'!F456, "ERROR")</f>
        <v>3</v>
      </c>
      <c r="G456" s="9" t="str">
        <f>if('Point Intercept 1'!G456 = 'Point Intercept 2'!G456, 'Point Intercept 1'!G456, "ERROR")</f>
        <v>SS</v>
      </c>
      <c r="H456" s="9">
        <f>if('Point Intercept 1'!I456 = 'Point Intercept 2'!I456, 'Point Intercept 1'!I456, "ERROR")</f>
        <v>2</v>
      </c>
      <c r="I456" s="9">
        <f>if('Point Intercept 1'!H456 = 'Point Intercept 2'!H456, 'Point Intercept 1'!H456, "ERROR")</f>
        <v>2</v>
      </c>
      <c r="J456" s="9">
        <f>if('Point Intercept 1'!J456 = 'Point Intercept 2'!J456, 'Point Intercept 1'!J456, "ERROR")</f>
        <v>1</v>
      </c>
      <c r="K456" s="9" t="str">
        <f>if('Point Intercept 1'!K456 = 'Point Intercept 2'!K456, 'Point Intercept 1'!K456, "ERROR")</f>
        <v>L</v>
      </c>
      <c r="L456" s="9" t="str">
        <f>if('Point Intercept 1'!L456 = 'Point Intercept 2'!L456, 'Point Intercept 1'!L456, "ERROR")</f>
        <v>Litter</v>
      </c>
    </row>
    <row r="457">
      <c r="A457" s="9">
        <f>if('Point Intercept 1'!A457 = 'Point Intercept 2'!A457, 'Point Intercept 1'!A457, "ERROR")</f>
        <v>5</v>
      </c>
      <c r="B457" s="9">
        <f>if('Point Intercept 1'!B457 = 'Point Intercept 2'!B457, 'Point Intercept 1'!B457, "ERROR")</f>
        <v>2025</v>
      </c>
      <c r="C457" s="14">
        <f>if('Point Intercept 1'!C457 = 'Point Intercept 2'!C457, 'Point Intercept 1'!C457, "ERROR")</f>
        <v>45755</v>
      </c>
      <c r="D457" s="9" t="str">
        <f>if('Point Intercept 1'!D457 = 'Point Intercept 2'!D457, 'Point Intercept 1'!D457, "ERROR")</f>
        <v>TL, JC</v>
      </c>
      <c r="E457" s="9" t="str">
        <f>if('Point Intercept 1'!E457 = 'Point Intercept 2'!E457, 'Point Intercept 1'!E457, "ERROR")</f>
        <v>VB</v>
      </c>
      <c r="F457" s="9">
        <f>if('Point Intercept 1'!F457 = 'Point Intercept 2'!F457, 'Point Intercept 1'!F457, "ERROR")</f>
        <v>3</v>
      </c>
      <c r="G457" s="9" t="str">
        <f>if('Point Intercept 1'!G457 = 'Point Intercept 2'!G457, 'Point Intercept 1'!G457, "ERROR")</f>
        <v>SS</v>
      </c>
      <c r="H457" s="9">
        <f>if('Point Intercept 1'!I457 = 'Point Intercept 2'!I457, 'Point Intercept 1'!I457, "ERROR")</f>
        <v>2</v>
      </c>
      <c r="I457" s="9">
        <f>if('Point Intercept 1'!H457 = 'Point Intercept 2'!H457, 'Point Intercept 1'!H457, "ERROR")</f>
        <v>2</v>
      </c>
      <c r="J457" s="9">
        <f>if('Point Intercept 1'!J457 = 'Point Intercept 2'!J457, 'Point Intercept 1'!J457, "ERROR")</f>
        <v>1</v>
      </c>
      <c r="K457" s="9" t="str">
        <f>if('Point Intercept 1'!K457 = 'Point Intercept 2'!K457, 'Point Intercept 1'!K457, "ERROR")</f>
        <v>SONOLE</v>
      </c>
      <c r="L457" s="9" t="str">
        <f>if('Point Intercept 1'!L457 = 'Point Intercept 2'!L457, 'Point Intercept 1'!L457, "ERROR")</f>
        <v>Sonchus oleraceus</v>
      </c>
    </row>
    <row r="458">
      <c r="A458" s="9">
        <f>if('Point Intercept 1'!A458 = 'Point Intercept 2'!A458, 'Point Intercept 1'!A458, "ERROR")</f>
        <v>5</v>
      </c>
      <c r="B458" s="9">
        <f>if('Point Intercept 1'!B458 = 'Point Intercept 2'!B458, 'Point Intercept 1'!B458, "ERROR")</f>
        <v>2025</v>
      </c>
      <c r="C458" s="14">
        <f>if('Point Intercept 1'!C458 = 'Point Intercept 2'!C458, 'Point Intercept 1'!C458, "ERROR")</f>
        <v>45755</v>
      </c>
      <c r="D458" s="9" t="str">
        <f>if('Point Intercept 1'!D458 = 'Point Intercept 2'!D458, 'Point Intercept 1'!D458, "ERROR")</f>
        <v>TL, JC</v>
      </c>
      <c r="E458" s="9" t="str">
        <f>if('Point Intercept 1'!E458 = 'Point Intercept 2'!E458, 'Point Intercept 1'!E458, "ERROR")</f>
        <v>VB</v>
      </c>
      <c r="F458" s="9">
        <f>if('Point Intercept 1'!F458 = 'Point Intercept 2'!F458, 'Point Intercept 1'!F458, "ERROR")</f>
        <v>3</v>
      </c>
      <c r="G458" s="9" t="str">
        <f>if('Point Intercept 1'!G458 = 'Point Intercept 2'!G458, 'Point Intercept 1'!G458, "ERROR")</f>
        <v>SS</v>
      </c>
      <c r="H458" s="9">
        <f>if('Point Intercept 1'!I458 = 'Point Intercept 2'!I458, 'Point Intercept 1'!I458, "ERROR")</f>
        <v>2</v>
      </c>
      <c r="I458" s="9">
        <f>if('Point Intercept 1'!H458 = 'Point Intercept 2'!H458, 'Point Intercept 1'!H458, "ERROR")</f>
        <v>2</v>
      </c>
      <c r="J458" s="9">
        <f>if('Point Intercept 1'!J458 = 'Point Intercept 2'!J458, 'Point Intercept 1'!J458, "ERROR")</f>
        <v>1</v>
      </c>
      <c r="K458" s="9" t="str">
        <f>if('Point Intercept 1'!K458 = 'Point Intercept 2'!K458, 'Point Intercept 1'!K458, "ERROR")</f>
        <v>MEDPOL</v>
      </c>
      <c r="L458" s="9" t="str">
        <f>if('Point Intercept 1'!L458 = 'Point Intercept 2'!L458, 'Point Intercept 1'!L458, "ERROR")</f>
        <v>Medicago polymorpha</v>
      </c>
    </row>
    <row r="459">
      <c r="A459" s="9">
        <f>if('Point Intercept 1'!A459 = 'Point Intercept 2'!A459, 'Point Intercept 1'!A459, "ERROR")</f>
        <v>5</v>
      </c>
      <c r="B459" s="9">
        <f>if('Point Intercept 1'!B459 = 'Point Intercept 2'!B459, 'Point Intercept 1'!B459, "ERROR")</f>
        <v>2025</v>
      </c>
      <c r="C459" s="14">
        <f>if('Point Intercept 1'!C459 = 'Point Intercept 2'!C459, 'Point Intercept 1'!C459, "ERROR")</f>
        <v>45755</v>
      </c>
      <c r="D459" s="9" t="str">
        <f>if('Point Intercept 1'!D459 = 'Point Intercept 2'!D459, 'Point Intercept 1'!D459, "ERROR")</f>
        <v>TL, JC</v>
      </c>
      <c r="E459" s="9" t="str">
        <f>if('Point Intercept 1'!E459 = 'Point Intercept 2'!E459, 'Point Intercept 1'!E459, "ERROR")</f>
        <v>VB</v>
      </c>
      <c r="F459" s="9">
        <f>if('Point Intercept 1'!F459 = 'Point Intercept 2'!F459, 'Point Intercept 1'!F459, "ERROR")</f>
        <v>3</v>
      </c>
      <c r="G459" s="9" t="str">
        <f>if('Point Intercept 1'!G459 = 'Point Intercept 2'!G459, 'Point Intercept 1'!G459, "ERROR")</f>
        <v>SS</v>
      </c>
      <c r="H459" s="9">
        <f>if('Point Intercept 1'!I459 = 'Point Intercept 2'!I459, 'Point Intercept 1'!I459, "ERROR")</f>
        <v>3</v>
      </c>
      <c r="I459" s="9">
        <f>if('Point Intercept 1'!H459 = 'Point Intercept 2'!H459, 'Point Intercept 1'!H459, "ERROR")</f>
        <v>2</v>
      </c>
      <c r="J459" s="9">
        <f>if('Point Intercept 1'!J459 = 'Point Intercept 2'!J459, 'Point Intercept 1'!J459, "ERROR")</f>
        <v>1.5</v>
      </c>
      <c r="K459" s="9" t="str">
        <f>if('Point Intercept 1'!K459 = 'Point Intercept 2'!K459, 'Point Intercept 1'!K459, "ERROR")</f>
        <v>L</v>
      </c>
      <c r="L459" s="9" t="str">
        <f>if('Point Intercept 1'!L459 = 'Point Intercept 2'!L459, 'Point Intercept 1'!L459, "ERROR")</f>
        <v>Litter</v>
      </c>
    </row>
    <row r="460">
      <c r="A460" s="9">
        <f>if('Point Intercept 1'!A460 = 'Point Intercept 2'!A460, 'Point Intercept 1'!A460, "ERROR")</f>
        <v>5</v>
      </c>
      <c r="B460" s="9">
        <f>if('Point Intercept 1'!B460 = 'Point Intercept 2'!B460, 'Point Intercept 1'!B460, "ERROR")</f>
        <v>2025</v>
      </c>
      <c r="C460" s="14">
        <f>if('Point Intercept 1'!C460 = 'Point Intercept 2'!C460, 'Point Intercept 1'!C460, "ERROR")</f>
        <v>45755</v>
      </c>
      <c r="D460" s="9" t="str">
        <f>if('Point Intercept 1'!D460 = 'Point Intercept 2'!D460, 'Point Intercept 1'!D460, "ERROR")</f>
        <v>TL, JC</v>
      </c>
      <c r="E460" s="9" t="str">
        <f>if('Point Intercept 1'!E460 = 'Point Intercept 2'!E460, 'Point Intercept 1'!E460, "ERROR")</f>
        <v>VB</v>
      </c>
      <c r="F460" s="9">
        <f>if('Point Intercept 1'!F460 = 'Point Intercept 2'!F460, 'Point Intercept 1'!F460, "ERROR")</f>
        <v>3</v>
      </c>
      <c r="G460" s="9" t="str">
        <f>if('Point Intercept 1'!G460 = 'Point Intercept 2'!G460, 'Point Intercept 1'!G460, "ERROR")</f>
        <v>SS</v>
      </c>
      <c r="H460" s="9">
        <f>if('Point Intercept 1'!I460 = 'Point Intercept 2'!I460, 'Point Intercept 1'!I460, "ERROR")</f>
        <v>3</v>
      </c>
      <c r="I460" s="9">
        <f>if('Point Intercept 1'!H460 = 'Point Intercept 2'!H460, 'Point Intercept 1'!H460, "ERROR")</f>
        <v>2</v>
      </c>
      <c r="J460" s="9">
        <f>if('Point Intercept 1'!J460 = 'Point Intercept 2'!J460, 'Point Intercept 1'!J460, "ERROR")</f>
        <v>1.5</v>
      </c>
      <c r="K460" s="9" t="str">
        <f>if('Point Intercept 1'!K460 = 'Point Intercept 2'!K460, 'Point Intercept 1'!K460, "ERROR")</f>
        <v>ANAARV</v>
      </c>
      <c r="L460" s="9" t="str">
        <f>if('Point Intercept 1'!L460 = 'Point Intercept 2'!L460, 'Point Intercept 1'!L460, "ERROR")</f>
        <v>Anagallis arvensis</v>
      </c>
    </row>
    <row r="461">
      <c r="A461" s="9">
        <f>if('Point Intercept 1'!A461 = 'Point Intercept 2'!A461, 'Point Intercept 1'!A461, "ERROR")</f>
        <v>5</v>
      </c>
      <c r="B461" s="9">
        <f>if('Point Intercept 1'!B461 = 'Point Intercept 2'!B461, 'Point Intercept 1'!B461, "ERROR")</f>
        <v>2025</v>
      </c>
      <c r="C461" s="14">
        <f>if('Point Intercept 1'!C461 = 'Point Intercept 2'!C461, 'Point Intercept 1'!C461, "ERROR")</f>
        <v>45755</v>
      </c>
      <c r="D461" s="9" t="str">
        <f>if('Point Intercept 1'!D461 = 'Point Intercept 2'!D461, 'Point Intercept 1'!D461, "ERROR")</f>
        <v>TL, JC</v>
      </c>
      <c r="E461" s="9" t="str">
        <f>if('Point Intercept 1'!E461 = 'Point Intercept 2'!E461, 'Point Intercept 1'!E461, "ERROR")</f>
        <v>VB</v>
      </c>
      <c r="F461" s="9">
        <f>if('Point Intercept 1'!F461 = 'Point Intercept 2'!F461, 'Point Intercept 1'!F461, "ERROR")</f>
        <v>3</v>
      </c>
      <c r="G461" s="9" t="str">
        <f>if('Point Intercept 1'!G461 = 'Point Intercept 2'!G461, 'Point Intercept 1'!G461, "ERROR")</f>
        <v>SS</v>
      </c>
      <c r="H461" s="9">
        <f>if('Point Intercept 1'!I461 = 'Point Intercept 2'!I461, 'Point Intercept 1'!I461, "ERROR")</f>
        <v>3</v>
      </c>
      <c r="I461" s="9">
        <f>if('Point Intercept 1'!H461 = 'Point Intercept 2'!H461, 'Point Intercept 1'!H461, "ERROR")</f>
        <v>2</v>
      </c>
      <c r="J461" s="9">
        <f>if('Point Intercept 1'!J461 = 'Point Intercept 2'!J461, 'Point Intercept 1'!J461, "ERROR")</f>
        <v>1.5</v>
      </c>
      <c r="K461" s="9" t="str">
        <f>if('Point Intercept 1'!K461 = 'Point Intercept 2'!K461, 'Point Intercept 1'!K461, "ERROR")</f>
        <v>CYLPRO</v>
      </c>
      <c r="L461" s="9" t="str">
        <f>if('Point Intercept 1'!L461 = 'Point Intercept 2'!L461, 'Point Intercept 1'!L461, "ERROR")</f>
        <v>Cylindropuntia prolifera</v>
      </c>
    </row>
    <row r="462">
      <c r="A462" s="9">
        <f>if('Point Intercept 1'!A462 = 'Point Intercept 2'!A462, 'Point Intercept 1'!A462, "ERROR")</f>
        <v>5</v>
      </c>
      <c r="B462" s="9">
        <f>if('Point Intercept 1'!B462 = 'Point Intercept 2'!B462, 'Point Intercept 1'!B462, "ERROR")</f>
        <v>2025</v>
      </c>
      <c r="C462" s="14">
        <f>if('Point Intercept 1'!C462 = 'Point Intercept 2'!C462, 'Point Intercept 1'!C462, "ERROR")</f>
        <v>45755</v>
      </c>
      <c r="D462" s="9" t="str">
        <f>if('Point Intercept 1'!D462 = 'Point Intercept 2'!D462, 'Point Intercept 1'!D462, "ERROR")</f>
        <v>TL, JC</v>
      </c>
      <c r="E462" s="9" t="str">
        <f>if('Point Intercept 1'!E462 = 'Point Intercept 2'!E462, 'Point Intercept 1'!E462, "ERROR")</f>
        <v>VB</v>
      </c>
      <c r="F462" s="9">
        <f>if('Point Intercept 1'!F462 = 'Point Intercept 2'!F462, 'Point Intercept 1'!F462, "ERROR")</f>
        <v>3</v>
      </c>
      <c r="G462" s="9" t="str">
        <f>if('Point Intercept 1'!G462 = 'Point Intercept 2'!G462, 'Point Intercept 1'!G462, "ERROR")</f>
        <v>SS</v>
      </c>
      <c r="H462" s="9">
        <f>if('Point Intercept 1'!I462 = 'Point Intercept 2'!I462, 'Point Intercept 1'!I462, "ERROR")</f>
        <v>3</v>
      </c>
      <c r="I462" s="9">
        <f>if('Point Intercept 1'!H462 = 'Point Intercept 2'!H462, 'Point Intercept 1'!H462, "ERROR")</f>
        <v>2</v>
      </c>
      <c r="J462" s="9">
        <f>if('Point Intercept 1'!J462 = 'Point Intercept 2'!J462, 'Point Intercept 1'!J462, "ERROR")</f>
        <v>1.5</v>
      </c>
      <c r="K462" s="9" t="str">
        <f>if('Point Intercept 1'!K462 = 'Point Intercept 2'!K462, 'Point Intercept 1'!K462, "ERROR")</f>
        <v>SONASP</v>
      </c>
      <c r="L462" s="9" t="str">
        <f>if('Point Intercept 1'!L462 = 'Point Intercept 2'!L462, 'Point Intercept 1'!L462, "ERROR")</f>
        <v>Sonchus asper</v>
      </c>
    </row>
    <row r="463">
      <c r="A463" s="9">
        <f>if('Point Intercept 1'!A463 = 'Point Intercept 2'!A463, 'Point Intercept 1'!A463, "ERROR")</f>
        <v>5</v>
      </c>
      <c r="B463" s="9">
        <f>if('Point Intercept 1'!B463 = 'Point Intercept 2'!B463, 'Point Intercept 1'!B463, "ERROR")</f>
        <v>2025</v>
      </c>
      <c r="C463" s="14">
        <f>if('Point Intercept 1'!C463 = 'Point Intercept 2'!C463, 'Point Intercept 1'!C463, "ERROR")</f>
        <v>45755</v>
      </c>
      <c r="D463" s="9" t="str">
        <f>if('Point Intercept 1'!D463 = 'Point Intercept 2'!D463, 'Point Intercept 1'!D463, "ERROR")</f>
        <v>TL, JC</v>
      </c>
      <c r="E463" s="9" t="str">
        <f>if('Point Intercept 1'!E463 = 'Point Intercept 2'!E463, 'Point Intercept 1'!E463, "ERROR")</f>
        <v>VB</v>
      </c>
      <c r="F463" s="9">
        <f>if('Point Intercept 1'!F463 = 'Point Intercept 2'!F463, 'Point Intercept 1'!F463, "ERROR")</f>
        <v>3</v>
      </c>
      <c r="G463" s="9" t="str">
        <f>if('Point Intercept 1'!G463 = 'Point Intercept 2'!G463, 'Point Intercept 1'!G463, "ERROR")</f>
        <v>SS</v>
      </c>
      <c r="H463" s="9">
        <f>if('Point Intercept 1'!I463 = 'Point Intercept 2'!I463, 'Point Intercept 1'!I463, "ERROR")</f>
        <v>3</v>
      </c>
      <c r="I463" s="9">
        <f>if('Point Intercept 1'!H463 = 'Point Intercept 2'!H463, 'Point Intercept 1'!H463, "ERROR")</f>
        <v>2</v>
      </c>
      <c r="J463" s="9">
        <f>if('Point Intercept 1'!J463 = 'Point Intercept 2'!J463, 'Point Intercept 1'!J463, "ERROR")</f>
        <v>1.5</v>
      </c>
      <c r="K463" s="9" t="str">
        <f>if('Point Intercept 1'!K463 = 'Point Intercept 2'!K463, 'Point Intercept 1'!K463, "ERROR")</f>
        <v>FESMYU</v>
      </c>
      <c r="L463" s="9" t="str">
        <f>if('Point Intercept 1'!L463 = 'Point Intercept 2'!L463, 'Point Intercept 1'!L463, "ERROR")</f>
        <v>Festuca myuros</v>
      </c>
    </row>
    <row r="464">
      <c r="A464" s="9">
        <f>if('Point Intercept 1'!A464 = 'Point Intercept 2'!A464, 'Point Intercept 1'!A464, "ERROR")</f>
        <v>5</v>
      </c>
      <c r="B464" s="9">
        <f>if('Point Intercept 1'!B464 = 'Point Intercept 2'!B464, 'Point Intercept 1'!B464, "ERROR")</f>
        <v>2025</v>
      </c>
      <c r="C464" s="14">
        <f>if('Point Intercept 1'!C464 = 'Point Intercept 2'!C464, 'Point Intercept 1'!C464, "ERROR")</f>
        <v>45755</v>
      </c>
      <c r="D464" s="9" t="str">
        <f>if('Point Intercept 1'!D464 = 'Point Intercept 2'!D464, 'Point Intercept 1'!D464, "ERROR")</f>
        <v>TL, JC</v>
      </c>
      <c r="E464" s="9" t="str">
        <f>if('Point Intercept 1'!E464 = 'Point Intercept 2'!E464, 'Point Intercept 1'!E464, "ERROR")</f>
        <v>VB</v>
      </c>
      <c r="F464" s="9">
        <f>if('Point Intercept 1'!F464 = 'Point Intercept 2'!F464, 'Point Intercept 1'!F464, "ERROR")</f>
        <v>3</v>
      </c>
      <c r="G464" s="9" t="str">
        <f>if('Point Intercept 1'!G464 = 'Point Intercept 2'!G464, 'Point Intercept 1'!G464, "ERROR")</f>
        <v>SS</v>
      </c>
      <c r="H464" s="9">
        <f>if('Point Intercept 1'!I464 = 'Point Intercept 2'!I464, 'Point Intercept 1'!I464, "ERROR")</f>
        <v>4</v>
      </c>
      <c r="I464" s="9">
        <f>if('Point Intercept 1'!H464 = 'Point Intercept 2'!H464, 'Point Intercept 1'!H464, "ERROR")</f>
        <v>2</v>
      </c>
      <c r="J464" s="9">
        <f>if('Point Intercept 1'!J464 = 'Point Intercept 2'!J464, 'Point Intercept 1'!J464, "ERROR")</f>
        <v>2</v>
      </c>
      <c r="K464" s="9" t="str">
        <f>if('Point Intercept 1'!K464 = 'Point Intercept 2'!K464, 'Point Intercept 1'!K464, "ERROR")</f>
        <v>L</v>
      </c>
      <c r="L464" s="9" t="str">
        <f>if('Point Intercept 1'!L464 = 'Point Intercept 2'!L464, 'Point Intercept 1'!L464, "ERROR")</f>
        <v>Litter</v>
      </c>
    </row>
    <row r="465">
      <c r="A465" s="9">
        <f>if('Point Intercept 1'!A465 = 'Point Intercept 2'!A465, 'Point Intercept 1'!A465, "ERROR")</f>
        <v>5</v>
      </c>
      <c r="B465" s="9">
        <f>if('Point Intercept 1'!B465 = 'Point Intercept 2'!B465, 'Point Intercept 1'!B465, "ERROR")</f>
        <v>2025</v>
      </c>
      <c r="C465" s="14">
        <f>if('Point Intercept 1'!C465 = 'Point Intercept 2'!C465, 'Point Intercept 1'!C465, "ERROR")</f>
        <v>45755</v>
      </c>
      <c r="D465" s="9" t="str">
        <f>if('Point Intercept 1'!D465 = 'Point Intercept 2'!D465, 'Point Intercept 1'!D465, "ERROR")</f>
        <v>TL, JC</v>
      </c>
      <c r="E465" s="9" t="str">
        <f>if('Point Intercept 1'!E465 = 'Point Intercept 2'!E465, 'Point Intercept 1'!E465, "ERROR")</f>
        <v>VB</v>
      </c>
      <c r="F465" s="9">
        <f>if('Point Intercept 1'!F465 = 'Point Intercept 2'!F465, 'Point Intercept 1'!F465, "ERROR")</f>
        <v>3</v>
      </c>
      <c r="G465" s="9" t="str">
        <f>if('Point Intercept 1'!G465 = 'Point Intercept 2'!G465, 'Point Intercept 1'!G465, "ERROR")</f>
        <v>SS</v>
      </c>
      <c r="H465" s="9">
        <f>if('Point Intercept 1'!I465 = 'Point Intercept 2'!I465, 'Point Intercept 1'!I465, "ERROR")</f>
        <v>4</v>
      </c>
      <c r="I465" s="9">
        <f>if('Point Intercept 1'!H465 = 'Point Intercept 2'!H465, 'Point Intercept 1'!H465, "ERROR")</f>
        <v>2</v>
      </c>
      <c r="J465" s="9">
        <f>if('Point Intercept 1'!J465 = 'Point Intercept 2'!J465, 'Point Intercept 1'!J465, "ERROR")</f>
        <v>2</v>
      </c>
      <c r="K465" s="9" t="str">
        <f>if('Point Intercept 1'!K465 = 'Point Intercept 2'!K465, 'Point Intercept 1'!K465, "ERROR")</f>
        <v>MEDPOL</v>
      </c>
      <c r="L465" s="9" t="str">
        <f>if('Point Intercept 1'!L465 = 'Point Intercept 2'!L465, 'Point Intercept 1'!L465, "ERROR")</f>
        <v>Medicago polymorpha</v>
      </c>
    </row>
    <row r="466">
      <c r="A466" s="9">
        <f>if('Point Intercept 1'!A466 = 'Point Intercept 2'!A466, 'Point Intercept 1'!A466, "ERROR")</f>
        <v>5</v>
      </c>
      <c r="B466" s="9">
        <f>if('Point Intercept 1'!B466 = 'Point Intercept 2'!B466, 'Point Intercept 1'!B466, "ERROR")</f>
        <v>2025</v>
      </c>
      <c r="C466" s="14">
        <f>if('Point Intercept 1'!C466 = 'Point Intercept 2'!C466, 'Point Intercept 1'!C466, "ERROR")</f>
        <v>45755</v>
      </c>
      <c r="D466" s="9" t="str">
        <f>if('Point Intercept 1'!D466 = 'Point Intercept 2'!D466, 'Point Intercept 1'!D466, "ERROR")</f>
        <v>TL, JC</v>
      </c>
      <c r="E466" s="9" t="str">
        <f>if('Point Intercept 1'!E466 = 'Point Intercept 2'!E466, 'Point Intercept 1'!E466, "ERROR")</f>
        <v>VB</v>
      </c>
      <c r="F466" s="9">
        <f>if('Point Intercept 1'!F466 = 'Point Intercept 2'!F466, 'Point Intercept 1'!F466, "ERROR")</f>
        <v>3</v>
      </c>
      <c r="G466" s="9" t="str">
        <f>if('Point Intercept 1'!G466 = 'Point Intercept 2'!G466, 'Point Intercept 1'!G466, "ERROR")</f>
        <v>SS</v>
      </c>
      <c r="H466" s="9">
        <f>if('Point Intercept 1'!I466 = 'Point Intercept 2'!I466, 'Point Intercept 1'!I466, "ERROR")</f>
        <v>4</v>
      </c>
      <c r="I466" s="9">
        <f>if('Point Intercept 1'!H466 = 'Point Intercept 2'!H466, 'Point Intercept 1'!H466, "ERROR")</f>
        <v>2</v>
      </c>
      <c r="J466" s="9">
        <f>if('Point Intercept 1'!J466 = 'Point Intercept 2'!J466, 'Point Intercept 1'!J466, "ERROR")</f>
        <v>2</v>
      </c>
      <c r="K466" s="9" t="str">
        <f>if('Point Intercept 1'!K466 = 'Point Intercept 2'!K466, 'Point Intercept 1'!K466, "ERROR")</f>
        <v>DEIFAS</v>
      </c>
      <c r="L466" s="9" t="str">
        <f>if('Point Intercept 1'!L466 = 'Point Intercept 2'!L466, 'Point Intercept 1'!L466, "ERROR")</f>
        <v>Deinandra fasciculata</v>
      </c>
    </row>
    <row r="467">
      <c r="A467" s="9">
        <f>if('Point Intercept 1'!A467 = 'Point Intercept 2'!A467, 'Point Intercept 1'!A467, "ERROR")</f>
        <v>5</v>
      </c>
      <c r="B467" s="9">
        <f>if('Point Intercept 1'!B467 = 'Point Intercept 2'!B467, 'Point Intercept 1'!B467, "ERROR")</f>
        <v>2025</v>
      </c>
      <c r="C467" s="14">
        <f>if('Point Intercept 1'!C467 = 'Point Intercept 2'!C467, 'Point Intercept 1'!C467, "ERROR")</f>
        <v>45755</v>
      </c>
      <c r="D467" s="9" t="str">
        <f>if('Point Intercept 1'!D467 = 'Point Intercept 2'!D467, 'Point Intercept 1'!D467, "ERROR")</f>
        <v>TL, JC</v>
      </c>
      <c r="E467" s="9" t="str">
        <f>if('Point Intercept 1'!E467 = 'Point Intercept 2'!E467, 'Point Intercept 1'!E467, "ERROR")</f>
        <v>VB</v>
      </c>
      <c r="F467" s="9">
        <f>if('Point Intercept 1'!F467 = 'Point Intercept 2'!F467, 'Point Intercept 1'!F467, "ERROR")</f>
        <v>3</v>
      </c>
      <c r="G467" s="9" t="str">
        <f>if('Point Intercept 1'!G467 = 'Point Intercept 2'!G467, 'Point Intercept 1'!G467, "ERROR")</f>
        <v>SS</v>
      </c>
      <c r="H467" s="9">
        <f>if('Point Intercept 1'!I467 = 'Point Intercept 2'!I467, 'Point Intercept 1'!I467, "ERROR")</f>
        <v>4</v>
      </c>
      <c r="I467" s="9">
        <f>if('Point Intercept 1'!H467 = 'Point Intercept 2'!H467, 'Point Intercept 1'!H467, "ERROR")</f>
        <v>2</v>
      </c>
      <c r="J467" s="9">
        <f>if('Point Intercept 1'!J467 = 'Point Intercept 2'!J467, 'Point Intercept 1'!J467, "ERROR")</f>
        <v>2</v>
      </c>
      <c r="K467" s="9" t="str">
        <f>if('Point Intercept 1'!K467 = 'Point Intercept 2'!K467, 'Point Intercept 1'!K467, "ERROR")</f>
        <v>FESMYU</v>
      </c>
      <c r="L467" s="9" t="str">
        <f>if('Point Intercept 1'!L467 = 'Point Intercept 2'!L467, 'Point Intercept 1'!L467, "ERROR")</f>
        <v>Festuca myuros</v>
      </c>
    </row>
    <row r="468">
      <c r="A468" s="9">
        <f>if('Point Intercept 1'!A468 = 'Point Intercept 2'!A468, 'Point Intercept 1'!A468, "ERROR")</f>
        <v>5</v>
      </c>
      <c r="B468" s="9">
        <f>if('Point Intercept 1'!B468 = 'Point Intercept 2'!B468, 'Point Intercept 1'!B468, "ERROR")</f>
        <v>2025</v>
      </c>
      <c r="C468" s="14">
        <f>if('Point Intercept 1'!C468 = 'Point Intercept 2'!C468, 'Point Intercept 1'!C468, "ERROR")</f>
        <v>45755</v>
      </c>
      <c r="D468" s="9" t="str">
        <f>if('Point Intercept 1'!D468 = 'Point Intercept 2'!D468, 'Point Intercept 1'!D468, "ERROR")</f>
        <v>TL, JC</v>
      </c>
      <c r="E468" s="9" t="str">
        <f>if('Point Intercept 1'!E468 = 'Point Intercept 2'!E468, 'Point Intercept 1'!E468, "ERROR")</f>
        <v>VB</v>
      </c>
      <c r="F468" s="9">
        <f>if('Point Intercept 1'!F468 = 'Point Intercept 2'!F468, 'Point Intercept 1'!F468, "ERROR")</f>
        <v>3</v>
      </c>
      <c r="G468" s="9" t="str">
        <f>if('Point Intercept 1'!G468 = 'Point Intercept 2'!G468, 'Point Intercept 1'!G468, "ERROR")</f>
        <v>SS</v>
      </c>
      <c r="H468" s="9">
        <f>if('Point Intercept 1'!I468 = 'Point Intercept 2'!I468, 'Point Intercept 1'!I468, "ERROR")</f>
        <v>5</v>
      </c>
      <c r="I468" s="9">
        <f>if('Point Intercept 1'!H468 = 'Point Intercept 2'!H468, 'Point Intercept 1'!H468, "ERROR")</f>
        <v>2</v>
      </c>
      <c r="J468" s="9">
        <f>if('Point Intercept 1'!J468 = 'Point Intercept 2'!J468, 'Point Intercept 1'!J468, "ERROR")</f>
        <v>3</v>
      </c>
      <c r="K468" s="9" t="str">
        <f>if('Point Intercept 1'!K468 = 'Point Intercept 2'!K468, 'Point Intercept 1'!K468, "ERROR")</f>
        <v>L</v>
      </c>
      <c r="L468" s="9" t="str">
        <f>if('Point Intercept 1'!L468 = 'Point Intercept 2'!L468, 'Point Intercept 1'!L468, "ERROR")</f>
        <v>Litter</v>
      </c>
    </row>
    <row r="469">
      <c r="A469" s="9">
        <f>if('Point Intercept 1'!A469 = 'Point Intercept 2'!A469, 'Point Intercept 1'!A469, "ERROR")</f>
        <v>5</v>
      </c>
      <c r="B469" s="9">
        <f>if('Point Intercept 1'!B469 = 'Point Intercept 2'!B469, 'Point Intercept 1'!B469, "ERROR")</f>
        <v>2025</v>
      </c>
      <c r="C469" s="14">
        <f>if('Point Intercept 1'!C469 = 'Point Intercept 2'!C469, 'Point Intercept 1'!C469, "ERROR")</f>
        <v>45755</v>
      </c>
      <c r="D469" s="9" t="str">
        <f>if('Point Intercept 1'!D469 = 'Point Intercept 2'!D469, 'Point Intercept 1'!D469, "ERROR")</f>
        <v>TL, JC</v>
      </c>
      <c r="E469" s="9" t="str">
        <f>if('Point Intercept 1'!E469 = 'Point Intercept 2'!E469, 'Point Intercept 1'!E469, "ERROR")</f>
        <v>VB</v>
      </c>
      <c r="F469" s="9">
        <f>if('Point Intercept 1'!F469 = 'Point Intercept 2'!F469, 'Point Intercept 1'!F469, "ERROR")</f>
        <v>3</v>
      </c>
      <c r="G469" s="9" t="str">
        <f>if('Point Intercept 1'!G469 = 'Point Intercept 2'!G469, 'Point Intercept 1'!G469, "ERROR")</f>
        <v>SS</v>
      </c>
      <c r="H469" s="9">
        <f>if('Point Intercept 1'!I469 = 'Point Intercept 2'!I469, 'Point Intercept 1'!I469, "ERROR")</f>
        <v>5</v>
      </c>
      <c r="I469" s="9">
        <f>if('Point Intercept 1'!H469 = 'Point Intercept 2'!H469, 'Point Intercept 1'!H469, "ERROR")</f>
        <v>2</v>
      </c>
      <c r="J469" s="9">
        <f>if('Point Intercept 1'!J469 = 'Point Intercept 2'!J469, 'Point Intercept 1'!J469, "ERROR")</f>
        <v>3</v>
      </c>
      <c r="K469" s="9" t="str">
        <f>if('Point Intercept 1'!K469 = 'Point Intercept 2'!K469, 'Point Intercept 1'!K469, "ERROR")</f>
        <v>DAUPUS</v>
      </c>
      <c r="L469" s="9" t="str">
        <f>if('Point Intercept 1'!L469 = 'Point Intercept 2'!L469, 'Point Intercept 1'!L469, "ERROR")</f>
        <v>Daucus pusillus</v>
      </c>
    </row>
    <row r="470">
      <c r="A470" s="9">
        <f>if('Point Intercept 1'!A470 = 'Point Intercept 2'!A470, 'Point Intercept 1'!A470, "ERROR")</f>
        <v>5</v>
      </c>
      <c r="B470" s="9">
        <f>if('Point Intercept 1'!B470 = 'Point Intercept 2'!B470, 'Point Intercept 1'!B470, "ERROR")</f>
        <v>2025</v>
      </c>
      <c r="C470" s="14">
        <f>if('Point Intercept 1'!C470 = 'Point Intercept 2'!C470, 'Point Intercept 1'!C470, "ERROR")</f>
        <v>45755</v>
      </c>
      <c r="D470" s="9" t="str">
        <f>if('Point Intercept 1'!D470 = 'Point Intercept 2'!D470, 'Point Intercept 1'!D470, "ERROR")</f>
        <v>TL, JC</v>
      </c>
      <c r="E470" s="9" t="str">
        <f>if('Point Intercept 1'!E470 = 'Point Intercept 2'!E470, 'Point Intercept 1'!E470, "ERROR")</f>
        <v>VB</v>
      </c>
      <c r="F470" s="9">
        <f>if('Point Intercept 1'!F470 = 'Point Intercept 2'!F470, 'Point Intercept 1'!F470, "ERROR")</f>
        <v>3</v>
      </c>
      <c r="G470" s="9" t="str">
        <f>if('Point Intercept 1'!G470 = 'Point Intercept 2'!G470, 'Point Intercept 1'!G470, "ERROR")</f>
        <v>SS</v>
      </c>
      <c r="H470" s="9">
        <f>if('Point Intercept 1'!I470 = 'Point Intercept 2'!I470, 'Point Intercept 1'!I470, "ERROR")</f>
        <v>5</v>
      </c>
      <c r="I470" s="9">
        <f>if('Point Intercept 1'!H470 = 'Point Intercept 2'!H470, 'Point Intercept 1'!H470, "ERROR")</f>
        <v>2</v>
      </c>
      <c r="J470" s="9">
        <f>if('Point Intercept 1'!J470 = 'Point Intercept 2'!J470, 'Point Intercept 1'!J470, "ERROR")</f>
        <v>3</v>
      </c>
      <c r="K470" s="9" t="str">
        <f>if('Point Intercept 1'!K470 = 'Point Intercept 2'!K470, 'Point Intercept 1'!K470, "ERROR")</f>
        <v>CENMEL</v>
      </c>
      <c r="L470" s="9" t="str">
        <f>if('Point Intercept 1'!L470 = 'Point Intercept 2'!L470, 'Point Intercept 1'!L470, "ERROR")</f>
        <v>Centaurea melitensis</v>
      </c>
    </row>
    <row r="471">
      <c r="A471" s="9">
        <f>if('Point Intercept 1'!A471 = 'Point Intercept 2'!A471, 'Point Intercept 1'!A471, "ERROR")</f>
        <v>5</v>
      </c>
      <c r="B471" s="9">
        <f>if('Point Intercept 1'!B471 = 'Point Intercept 2'!B471, 'Point Intercept 1'!B471, "ERROR")</f>
        <v>2025</v>
      </c>
      <c r="C471" s="14">
        <f>if('Point Intercept 1'!C471 = 'Point Intercept 2'!C471, 'Point Intercept 1'!C471, "ERROR")</f>
        <v>45755</v>
      </c>
      <c r="D471" s="9" t="str">
        <f>if('Point Intercept 1'!D471 = 'Point Intercept 2'!D471, 'Point Intercept 1'!D471, "ERROR")</f>
        <v>TL, JC</v>
      </c>
      <c r="E471" s="9" t="str">
        <f>if('Point Intercept 1'!E471 = 'Point Intercept 2'!E471, 'Point Intercept 1'!E471, "ERROR")</f>
        <v>VB</v>
      </c>
      <c r="F471" s="9">
        <f>if('Point Intercept 1'!F471 = 'Point Intercept 2'!F471, 'Point Intercept 1'!F471, "ERROR")</f>
        <v>3</v>
      </c>
      <c r="G471" s="9" t="str">
        <f>if('Point Intercept 1'!G471 = 'Point Intercept 2'!G471, 'Point Intercept 1'!G471, "ERROR")</f>
        <v>SS</v>
      </c>
      <c r="H471" s="9">
        <f>if('Point Intercept 1'!I471 = 'Point Intercept 2'!I471, 'Point Intercept 1'!I471, "ERROR")</f>
        <v>5</v>
      </c>
      <c r="I471" s="9">
        <f>if('Point Intercept 1'!H471 = 'Point Intercept 2'!H471, 'Point Intercept 1'!H471, "ERROR")</f>
        <v>2</v>
      </c>
      <c r="J471" s="9">
        <f>if('Point Intercept 1'!J471 = 'Point Intercept 2'!J471, 'Point Intercept 1'!J471, "ERROR")</f>
        <v>3</v>
      </c>
      <c r="K471" s="9" t="str">
        <f>if('Point Intercept 1'!K471 = 'Point Intercept 2'!K471, 'Point Intercept 1'!K471, "ERROR")</f>
        <v>CRYMIC</v>
      </c>
      <c r="L471" s="9" t="str">
        <f>if('Point Intercept 1'!L471 = 'Point Intercept 2'!L471, 'Point Intercept 1'!L471, "ERROR")</f>
        <v>Cryptantha micromeres</v>
      </c>
    </row>
    <row r="472">
      <c r="A472" s="9">
        <f>if('Point Intercept 1'!A472 = 'Point Intercept 2'!A472, 'Point Intercept 1'!A472, "ERROR")</f>
        <v>5</v>
      </c>
      <c r="B472" s="9">
        <f>if('Point Intercept 1'!B472 = 'Point Intercept 2'!B472, 'Point Intercept 1'!B472, "ERROR")</f>
        <v>2025</v>
      </c>
      <c r="C472" s="14">
        <f>if('Point Intercept 1'!C472 = 'Point Intercept 2'!C472, 'Point Intercept 1'!C472, "ERROR")</f>
        <v>45755</v>
      </c>
      <c r="D472" s="9" t="str">
        <f>if('Point Intercept 1'!D472 = 'Point Intercept 2'!D472, 'Point Intercept 1'!D472, "ERROR")</f>
        <v>TL, JC</v>
      </c>
      <c r="E472" s="9" t="str">
        <f>if('Point Intercept 1'!E472 = 'Point Intercept 2'!E472, 'Point Intercept 1'!E472, "ERROR")</f>
        <v>VB</v>
      </c>
      <c r="F472" s="9">
        <f>if('Point Intercept 1'!F472 = 'Point Intercept 2'!F472, 'Point Intercept 1'!F472, "ERROR")</f>
        <v>3</v>
      </c>
      <c r="G472" s="9" t="str">
        <f>if('Point Intercept 1'!G472 = 'Point Intercept 2'!G472, 'Point Intercept 1'!G472, "ERROR")</f>
        <v>SS</v>
      </c>
      <c r="H472" s="9">
        <f>if('Point Intercept 1'!I472 = 'Point Intercept 2'!I472, 'Point Intercept 1'!I472, "ERROR")</f>
        <v>6</v>
      </c>
      <c r="I472" s="9">
        <f>if('Point Intercept 1'!H472 = 'Point Intercept 2'!H472, 'Point Intercept 1'!H472, "ERROR")</f>
        <v>2</v>
      </c>
      <c r="J472" s="9">
        <f>if('Point Intercept 1'!J472 = 'Point Intercept 2'!J472, 'Point Intercept 1'!J472, "ERROR")</f>
        <v>3.5</v>
      </c>
      <c r="K472" s="9" t="str">
        <f>if('Point Intercept 1'!K472 = 'Point Intercept 2'!K472, 'Point Intercept 1'!K472, "ERROR")</f>
        <v>L</v>
      </c>
      <c r="L472" s="9" t="str">
        <f>if('Point Intercept 1'!L472 = 'Point Intercept 2'!L472, 'Point Intercept 1'!L472, "ERROR")</f>
        <v>Litter</v>
      </c>
    </row>
    <row r="473">
      <c r="A473" s="9">
        <f>if('Point Intercept 1'!A473 = 'Point Intercept 2'!A473, 'Point Intercept 1'!A473, "ERROR")</f>
        <v>5</v>
      </c>
      <c r="B473" s="9">
        <f>if('Point Intercept 1'!B473 = 'Point Intercept 2'!B473, 'Point Intercept 1'!B473, "ERROR")</f>
        <v>2025</v>
      </c>
      <c r="C473" s="14">
        <f>if('Point Intercept 1'!C473 = 'Point Intercept 2'!C473, 'Point Intercept 1'!C473, "ERROR")</f>
        <v>45755</v>
      </c>
      <c r="D473" s="9" t="str">
        <f>if('Point Intercept 1'!D473 = 'Point Intercept 2'!D473, 'Point Intercept 1'!D473, "ERROR")</f>
        <v>TL, JC</v>
      </c>
      <c r="E473" s="9" t="str">
        <f>if('Point Intercept 1'!E473 = 'Point Intercept 2'!E473, 'Point Intercept 1'!E473, "ERROR")</f>
        <v>VB</v>
      </c>
      <c r="F473" s="9">
        <f>if('Point Intercept 1'!F473 = 'Point Intercept 2'!F473, 'Point Intercept 1'!F473, "ERROR")</f>
        <v>3</v>
      </c>
      <c r="G473" s="9" t="str">
        <f>if('Point Intercept 1'!G473 = 'Point Intercept 2'!G473, 'Point Intercept 1'!G473, "ERROR")</f>
        <v>SS</v>
      </c>
      <c r="H473" s="9">
        <f>if('Point Intercept 1'!I473 = 'Point Intercept 2'!I473, 'Point Intercept 1'!I473, "ERROR")</f>
        <v>6</v>
      </c>
      <c r="I473" s="9">
        <f>if('Point Intercept 1'!H473 = 'Point Intercept 2'!H473, 'Point Intercept 1'!H473, "ERROR")</f>
        <v>2</v>
      </c>
      <c r="J473" s="9">
        <f>if('Point Intercept 1'!J473 = 'Point Intercept 2'!J473, 'Point Intercept 1'!J473, "ERROR")</f>
        <v>3.5</v>
      </c>
      <c r="K473" s="9" t="str">
        <f>if('Point Intercept 1'!K473 = 'Point Intercept 2'!K473, 'Point Intercept 1'!K473, "ERROR")</f>
        <v>ANAARV</v>
      </c>
      <c r="L473" s="9" t="str">
        <f>if('Point Intercept 1'!L473 = 'Point Intercept 2'!L473, 'Point Intercept 1'!L473, "ERROR")</f>
        <v>Anagallis arvensis</v>
      </c>
    </row>
    <row r="474">
      <c r="A474" s="9">
        <f>if('Point Intercept 1'!A474 = 'Point Intercept 2'!A474, 'Point Intercept 1'!A474, "ERROR")</f>
        <v>5</v>
      </c>
      <c r="B474" s="9">
        <f>if('Point Intercept 1'!B474 = 'Point Intercept 2'!B474, 'Point Intercept 1'!B474, "ERROR")</f>
        <v>2025</v>
      </c>
      <c r="C474" s="14">
        <f>if('Point Intercept 1'!C474 = 'Point Intercept 2'!C474, 'Point Intercept 1'!C474, "ERROR")</f>
        <v>45755</v>
      </c>
      <c r="D474" s="9" t="str">
        <f>if('Point Intercept 1'!D474 = 'Point Intercept 2'!D474, 'Point Intercept 1'!D474, "ERROR")</f>
        <v>TL, JC</v>
      </c>
      <c r="E474" s="9" t="str">
        <f>if('Point Intercept 1'!E474 = 'Point Intercept 2'!E474, 'Point Intercept 1'!E474, "ERROR")</f>
        <v>VB</v>
      </c>
      <c r="F474" s="9">
        <f>if('Point Intercept 1'!F474 = 'Point Intercept 2'!F474, 'Point Intercept 1'!F474, "ERROR")</f>
        <v>3</v>
      </c>
      <c r="G474" s="9" t="str">
        <f>if('Point Intercept 1'!G474 = 'Point Intercept 2'!G474, 'Point Intercept 1'!G474, "ERROR")</f>
        <v>SS</v>
      </c>
      <c r="H474" s="9">
        <f>if('Point Intercept 1'!I474 = 'Point Intercept 2'!I474, 'Point Intercept 1'!I474, "ERROR")</f>
        <v>6</v>
      </c>
      <c r="I474" s="9">
        <f>if('Point Intercept 1'!H474 = 'Point Intercept 2'!H474, 'Point Intercept 1'!H474, "ERROR")</f>
        <v>2</v>
      </c>
      <c r="J474" s="9">
        <f>if('Point Intercept 1'!J474 = 'Point Intercept 2'!J474, 'Point Intercept 1'!J474, "ERROR")</f>
        <v>3.5</v>
      </c>
      <c r="K474" s="9" t="str">
        <f>if('Point Intercept 1'!K474 = 'Point Intercept 2'!K474, 'Point Intercept 1'!K474, "ERROR")</f>
        <v>CENMEL</v>
      </c>
      <c r="L474" s="9" t="str">
        <f>if('Point Intercept 1'!L474 = 'Point Intercept 2'!L474, 'Point Intercept 1'!L474, "ERROR")</f>
        <v>Centaurea melitensis</v>
      </c>
    </row>
    <row r="475">
      <c r="A475" s="9">
        <f>if('Point Intercept 1'!A475 = 'Point Intercept 2'!A475, 'Point Intercept 1'!A475, "ERROR")</f>
        <v>5</v>
      </c>
      <c r="B475" s="9">
        <f>if('Point Intercept 1'!B475 = 'Point Intercept 2'!B475, 'Point Intercept 1'!B475, "ERROR")</f>
        <v>2025</v>
      </c>
      <c r="C475" s="14">
        <f>if('Point Intercept 1'!C475 = 'Point Intercept 2'!C475, 'Point Intercept 1'!C475, "ERROR")</f>
        <v>45755</v>
      </c>
      <c r="D475" s="9" t="str">
        <f>if('Point Intercept 1'!D475 = 'Point Intercept 2'!D475, 'Point Intercept 1'!D475, "ERROR")</f>
        <v>TL, JC</v>
      </c>
      <c r="E475" s="9" t="str">
        <f>if('Point Intercept 1'!E475 = 'Point Intercept 2'!E475, 'Point Intercept 1'!E475, "ERROR")</f>
        <v>VB</v>
      </c>
      <c r="F475" s="9">
        <f>if('Point Intercept 1'!F475 = 'Point Intercept 2'!F475, 'Point Intercept 1'!F475, "ERROR")</f>
        <v>3</v>
      </c>
      <c r="G475" s="9" t="str">
        <f>if('Point Intercept 1'!G475 = 'Point Intercept 2'!G475, 'Point Intercept 1'!G475, "ERROR")</f>
        <v>SS</v>
      </c>
      <c r="H475" s="9">
        <f>if('Point Intercept 1'!I475 = 'Point Intercept 2'!I475, 'Point Intercept 1'!I475, "ERROR")</f>
        <v>6</v>
      </c>
      <c r="I475" s="9">
        <f>if('Point Intercept 1'!H475 = 'Point Intercept 2'!H475, 'Point Intercept 1'!H475, "ERROR")</f>
        <v>2</v>
      </c>
      <c r="J475" s="9">
        <f>if('Point Intercept 1'!J475 = 'Point Intercept 2'!J475, 'Point Intercept 1'!J475, "ERROR")</f>
        <v>3.5</v>
      </c>
      <c r="K475" s="9" t="str">
        <f>if('Point Intercept 1'!K475 = 'Point Intercept 2'!K475, 'Point Intercept 1'!K475, "ERROR")</f>
        <v>CRYINT</v>
      </c>
      <c r="L475" s="9" t="str">
        <f>if('Point Intercept 1'!L475 = 'Point Intercept 2'!L475, 'Point Intercept 1'!L475, "ERROR")</f>
        <v>Cryptantha intermedia</v>
      </c>
    </row>
    <row r="476">
      <c r="A476" s="9">
        <f>if('Point Intercept 1'!A476 = 'Point Intercept 2'!A476, 'Point Intercept 1'!A476, "ERROR")</f>
        <v>5</v>
      </c>
      <c r="B476" s="9">
        <f>if('Point Intercept 1'!B476 = 'Point Intercept 2'!B476, 'Point Intercept 1'!B476, "ERROR")</f>
        <v>2025</v>
      </c>
      <c r="C476" s="14">
        <f>if('Point Intercept 1'!C476 = 'Point Intercept 2'!C476, 'Point Intercept 1'!C476, "ERROR")</f>
        <v>45755</v>
      </c>
      <c r="D476" s="9" t="str">
        <f>if('Point Intercept 1'!D476 = 'Point Intercept 2'!D476, 'Point Intercept 1'!D476, "ERROR")</f>
        <v>TL, JC</v>
      </c>
      <c r="E476" s="9" t="str">
        <f>if('Point Intercept 1'!E476 = 'Point Intercept 2'!E476, 'Point Intercept 1'!E476, "ERROR")</f>
        <v>VB</v>
      </c>
      <c r="F476" s="9">
        <f>if('Point Intercept 1'!F476 = 'Point Intercept 2'!F476, 'Point Intercept 1'!F476, "ERROR")</f>
        <v>3</v>
      </c>
      <c r="G476" s="9" t="str">
        <f>if('Point Intercept 1'!G476 = 'Point Intercept 2'!G476, 'Point Intercept 1'!G476, "ERROR")</f>
        <v>SS</v>
      </c>
      <c r="H476" s="9">
        <f>if('Point Intercept 1'!I476 = 'Point Intercept 2'!I476, 'Point Intercept 1'!I476, "ERROR")</f>
        <v>6</v>
      </c>
      <c r="I476" s="9">
        <f>if('Point Intercept 1'!H476 = 'Point Intercept 2'!H476, 'Point Intercept 1'!H476, "ERROR")</f>
        <v>2</v>
      </c>
      <c r="J476" s="9">
        <f>if('Point Intercept 1'!J476 = 'Point Intercept 2'!J476, 'Point Intercept 1'!J476, "ERROR")</f>
        <v>3.5</v>
      </c>
      <c r="K476" s="9" t="str">
        <f>if('Point Intercept 1'!K476 = 'Point Intercept 2'!K476, 'Point Intercept 1'!K476, "ERROR")</f>
        <v>DAUPUS</v>
      </c>
      <c r="L476" s="9" t="str">
        <f>if('Point Intercept 1'!L476 = 'Point Intercept 2'!L476, 'Point Intercept 1'!L476, "ERROR")</f>
        <v>Daucus pusillus</v>
      </c>
    </row>
    <row r="477">
      <c r="A477" s="9">
        <f>if('Point Intercept 1'!A477 = 'Point Intercept 2'!A477, 'Point Intercept 1'!A477, "ERROR")</f>
        <v>5</v>
      </c>
      <c r="B477" s="9">
        <f>if('Point Intercept 1'!B477 = 'Point Intercept 2'!B477, 'Point Intercept 1'!B477, "ERROR")</f>
        <v>2025</v>
      </c>
      <c r="C477" s="14">
        <f>if('Point Intercept 1'!C477 = 'Point Intercept 2'!C477, 'Point Intercept 1'!C477, "ERROR")</f>
        <v>45755</v>
      </c>
      <c r="D477" s="9" t="str">
        <f>if('Point Intercept 1'!D477 = 'Point Intercept 2'!D477, 'Point Intercept 1'!D477, "ERROR")</f>
        <v>TL, JC</v>
      </c>
      <c r="E477" s="9" t="str">
        <f>if('Point Intercept 1'!E477 = 'Point Intercept 2'!E477, 'Point Intercept 1'!E477, "ERROR")</f>
        <v>VB</v>
      </c>
      <c r="F477" s="9">
        <f>if('Point Intercept 1'!F477 = 'Point Intercept 2'!F477, 'Point Intercept 1'!F477, "ERROR")</f>
        <v>3</v>
      </c>
      <c r="G477" s="9" t="str">
        <f>if('Point Intercept 1'!G477 = 'Point Intercept 2'!G477, 'Point Intercept 1'!G477, "ERROR")</f>
        <v>SS</v>
      </c>
      <c r="H477" s="9">
        <f>if('Point Intercept 1'!I477 = 'Point Intercept 2'!I477, 'Point Intercept 1'!I477, "ERROR")</f>
        <v>7</v>
      </c>
      <c r="I477" s="9">
        <f>if('Point Intercept 1'!H477 = 'Point Intercept 2'!H477, 'Point Intercept 1'!H477, "ERROR")</f>
        <v>2</v>
      </c>
      <c r="J477" s="9">
        <f>if('Point Intercept 1'!J477 = 'Point Intercept 2'!J477, 'Point Intercept 1'!J477, "ERROR")</f>
        <v>4</v>
      </c>
      <c r="K477" s="9" t="str">
        <f>if('Point Intercept 1'!K477 = 'Point Intercept 2'!K477, 'Point Intercept 1'!K477, "ERROR")</f>
        <v>L</v>
      </c>
      <c r="L477" s="9" t="str">
        <f>if('Point Intercept 1'!L477 = 'Point Intercept 2'!L477, 'Point Intercept 1'!L477, "ERROR")</f>
        <v>Litter</v>
      </c>
    </row>
    <row r="478">
      <c r="A478" s="9">
        <f>if('Point Intercept 1'!A478 = 'Point Intercept 2'!A478, 'Point Intercept 1'!A478, "ERROR")</f>
        <v>5</v>
      </c>
      <c r="B478" s="9">
        <f>if('Point Intercept 1'!B478 = 'Point Intercept 2'!B478, 'Point Intercept 1'!B478, "ERROR")</f>
        <v>2025</v>
      </c>
      <c r="C478" s="14">
        <f>if('Point Intercept 1'!C478 = 'Point Intercept 2'!C478, 'Point Intercept 1'!C478, "ERROR")</f>
        <v>45755</v>
      </c>
      <c r="D478" s="9" t="str">
        <f>if('Point Intercept 1'!D478 = 'Point Intercept 2'!D478, 'Point Intercept 1'!D478, "ERROR")</f>
        <v>TL, JC</v>
      </c>
      <c r="E478" s="9" t="str">
        <f>if('Point Intercept 1'!E478 = 'Point Intercept 2'!E478, 'Point Intercept 1'!E478, "ERROR")</f>
        <v>VB</v>
      </c>
      <c r="F478" s="9">
        <f>if('Point Intercept 1'!F478 = 'Point Intercept 2'!F478, 'Point Intercept 1'!F478, "ERROR")</f>
        <v>3</v>
      </c>
      <c r="G478" s="9" t="str">
        <f>if('Point Intercept 1'!G478 = 'Point Intercept 2'!G478, 'Point Intercept 1'!G478, "ERROR")</f>
        <v>SS</v>
      </c>
      <c r="H478" s="9">
        <f>if('Point Intercept 1'!I478 = 'Point Intercept 2'!I478, 'Point Intercept 1'!I478, "ERROR")</f>
        <v>7</v>
      </c>
      <c r="I478" s="9">
        <f>if('Point Intercept 1'!H478 = 'Point Intercept 2'!H478, 'Point Intercept 1'!H478, "ERROR")</f>
        <v>2</v>
      </c>
      <c r="J478" s="9">
        <f>if('Point Intercept 1'!J478 = 'Point Intercept 2'!J478, 'Point Intercept 1'!J478, "ERROR")</f>
        <v>4</v>
      </c>
      <c r="K478" s="9" t="str">
        <f>if('Point Intercept 1'!K478 = 'Point Intercept 2'!K478, 'Point Intercept 1'!K478, "ERROR")</f>
        <v>ANAARV</v>
      </c>
      <c r="L478" s="9" t="str">
        <f>if('Point Intercept 1'!L478 = 'Point Intercept 2'!L478, 'Point Intercept 1'!L478, "ERROR")</f>
        <v>Anagallis arvensis</v>
      </c>
    </row>
    <row r="479">
      <c r="A479" s="9">
        <f>if('Point Intercept 1'!A479 = 'Point Intercept 2'!A479, 'Point Intercept 1'!A479, "ERROR")</f>
        <v>5</v>
      </c>
      <c r="B479" s="9">
        <f>if('Point Intercept 1'!B479 = 'Point Intercept 2'!B479, 'Point Intercept 1'!B479, "ERROR")</f>
        <v>2025</v>
      </c>
      <c r="C479" s="14">
        <f>if('Point Intercept 1'!C479 = 'Point Intercept 2'!C479, 'Point Intercept 1'!C479, "ERROR")</f>
        <v>45755</v>
      </c>
      <c r="D479" s="9" t="str">
        <f>if('Point Intercept 1'!D479 = 'Point Intercept 2'!D479, 'Point Intercept 1'!D479, "ERROR")</f>
        <v>TL, JC</v>
      </c>
      <c r="E479" s="9" t="str">
        <f>if('Point Intercept 1'!E479 = 'Point Intercept 2'!E479, 'Point Intercept 1'!E479, "ERROR")</f>
        <v>VB</v>
      </c>
      <c r="F479" s="9">
        <f>if('Point Intercept 1'!F479 = 'Point Intercept 2'!F479, 'Point Intercept 1'!F479, "ERROR")</f>
        <v>3</v>
      </c>
      <c r="G479" s="9" t="str">
        <f>if('Point Intercept 1'!G479 = 'Point Intercept 2'!G479, 'Point Intercept 1'!G479, "ERROR")</f>
        <v>SS</v>
      </c>
      <c r="H479" s="9">
        <f>if('Point Intercept 1'!I479 = 'Point Intercept 2'!I479, 'Point Intercept 1'!I479, "ERROR")</f>
        <v>7</v>
      </c>
      <c r="I479" s="9">
        <f>if('Point Intercept 1'!H479 = 'Point Intercept 2'!H479, 'Point Intercept 1'!H479, "ERROR")</f>
        <v>2</v>
      </c>
      <c r="J479" s="9">
        <f>if('Point Intercept 1'!J479 = 'Point Intercept 2'!J479, 'Point Intercept 1'!J479, "ERROR")</f>
        <v>4</v>
      </c>
      <c r="K479" s="9" t="str">
        <f>if('Point Intercept 1'!K479 = 'Point Intercept 2'!K479, 'Point Intercept 1'!K479, "ERROR")</f>
        <v>MEDPOL</v>
      </c>
      <c r="L479" s="9" t="str">
        <f>if('Point Intercept 1'!L479 = 'Point Intercept 2'!L479, 'Point Intercept 1'!L479, "ERROR")</f>
        <v>Medicago polymorpha</v>
      </c>
    </row>
    <row r="480">
      <c r="A480" s="9">
        <f>if('Point Intercept 1'!A480 = 'Point Intercept 2'!A480, 'Point Intercept 1'!A480, "ERROR")</f>
        <v>5</v>
      </c>
      <c r="B480" s="9">
        <f>if('Point Intercept 1'!B480 = 'Point Intercept 2'!B480, 'Point Intercept 1'!B480, "ERROR")</f>
        <v>2025</v>
      </c>
      <c r="C480" s="14">
        <f>if('Point Intercept 1'!C480 = 'Point Intercept 2'!C480, 'Point Intercept 1'!C480, "ERROR")</f>
        <v>45755</v>
      </c>
      <c r="D480" s="9" t="str">
        <f>if('Point Intercept 1'!D480 = 'Point Intercept 2'!D480, 'Point Intercept 1'!D480, "ERROR")</f>
        <v>TL, JC</v>
      </c>
      <c r="E480" s="9" t="str">
        <f>if('Point Intercept 1'!E480 = 'Point Intercept 2'!E480, 'Point Intercept 1'!E480, "ERROR")</f>
        <v>VB</v>
      </c>
      <c r="F480" s="9">
        <f>if('Point Intercept 1'!F480 = 'Point Intercept 2'!F480, 'Point Intercept 1'!F480, "ERROR")</f>
        <v>3</v>
      </c>
      <c r="G480" s="9" t="str">
        <f>if('Point Intercept 1'!G480 = 'Point Intercept 2'!G480, 'Point Intercept 1'!G480, "ERROR")</f>
        <v>SS</v>
      </c>
      <c r="H480" s="9">
        <f>if('Point Intercept 1'!I480 = 'Point Intercept 2'!I480, 'Point Intercept 1'!I480, "ERROR")</f>
        <v>8</v>
      </c>
      <c r="I480" s="9">
        <f>if('Point Intercept 1'!H480 = 'Point Intercept 2'!H480, 'Point Intercept 1'!H480, "ERROR")</f>
        <v>2</v>
      </c>
      <c r="J480" s="9">
        <f>if('Point Intercept 1'!J480 = 'Point Intercept 2'!J480, 'Point Intercept 1'!J480, "ERROR")</f>
        <v>5</v>
      </c>
      <c r="K480" s="9" t="str">
        <f>if('Point Intercept 1'!K480 = 'Point Intercept 2'!K480, 'Point Intercept 1'!K480, "ERROR")</f>
        <v>L</v>
      </c>
      <c r="L480" s="9" t="str">
        <f>if('Point Intercept 1'!L480 = 'Point Intercept 2'!L480, 'Point Intercept 1'!L480, "ERROR")</f>
        <v>Litter</v>
      </c>
    </row>
    <row r="481">
      <c r="A481" s="9">
        <f>if('Point Intercept 1'!A481 = 'Point Intercept 2'!A481, 'Point Intercept 1'!A481, "ERROR")</f>
        <v>5</v>
      </c>
      <c r="B481" s="9">
        <f>if('Point Intercept 1'!B481 = 'Point Intercept 2'!B481, 'Point Intercept 1'!B481, "ERROR")</f>
        <v>2025</v>
      </c>
      <c r="C481" s="14">
        <f>if('Point Intercept 1'!C481 = 'Point Intercept 2'!C481, 'Point Intercept 1'!C481, "ERROR")</f>
        <v>45755</v>
      </c>
      <c r="D481" s="9" t="str">
        <f>if('Point Intercept 1'!D481 = 'Point Intercept 2'!D481, 'Point Intercept 1'!D481, "ERROR")</f>
        <v>TL, JC</v>
      </c>
      <c r="E481" s="9" t="str">
        <f>if('Point Intercept 1'!E481 = 'Point Intercept 2'!E481, 'Point Intercept 1'!E481, "ERROR")</f>
        <v>VB</v>
      </c>
      <c r="F481" s="9">
        <f>if('Point Intercept 1'!F481 = 'Point Intercept 2'!F481, 'Point Intercept 1'!F481, "ERROR")</f>
        <v>3</v>
      </c>
      <c r="G481" s="9" t="str">
        <f>if('Point Intercept 1'!G481 = 'Point Intercept 2'!G481, 'Point Intercept 1'!G481, "ERROR")</f>
        <v>SS</v>
      </c>
      <c r="H481" s="9">
        <f>if('Point Intercept 1'!I481 = 'Point Intercept 2'!I481, 'Point Intercept 1'!I481, "ERROR")</f>
        <v>8</v>
      </c>
      <c r="I481" s="9">
        <f>if('Point Intercept 1'!H481 = 'Point Intercept 2'!H481, 'Point Intercept 1'!H481, "ERROR")</f>
        <v>2</v>
      </c>
      <c r="J481" s="9">
        <f>if('Point Intercept 1'!J481 = 'Point Intercept 2'!J481, 'Point Intercept 1'!J481, "ERROR")</f>
        <v>5</v>
      </c>
      <c r="K481" s="9" t="str">
        <f>if('Point Intercept 1'!K481 = 'Point Intercept 2'!K481, 'Point Intercept 1'!K481, "ERROR")</f>
        <v>SONASP</v>
      </c>
      <c r="L481" s="9" t="str">
        <f>if('Point Intercept 1'!L481 = 'Point Intercept 2'!L481, 'Point Intercept 1'!L481, "ERROR")</f>
        <v>Sonchus asper</v>
      </c>
    </row>
    <row r="482">
      <c r="A482" s="9">
        <f>if('Point Intercept 1'!A482 = 'Point Intercept 2'!A482, 'Point Intercept 1'!A482, "ERROR")</f>
        <v>5</v>
      </c>
      <c r="B482" s="9">
        <f>if('Point Intercept 1'!B482 = 'Point Intercept 2'!B482, 'Point Intercept 1'!B482, "ERROR")</f>
        <v>2025</v>
      </c>
      <c r="C482" s="14">
        <f>if('Point Intercept 1'!C482 = 'Point Intercept 2'!C482, 'Point Intercept 1'!C482, "ERROR")</f>
        <v>45755</v>
      </c>
      <c r="D482" s="9" t="str">
        <f>if('Point Intercept 1'!D482 = 'Point Intercept 2'!D482, 'Point Intercept 1'!D482, "ERROR")</f>
        <v>TL, JC</v>
      </c>
      <c r="E482" s="9" t="str">
        <f>if('Point Intercept 1'!E482 = 'Point Intercept 2'!E482, 'Point Intercept 1'!E482, "ERROR")</f>
        <v>VB</v>
      </c>
      <c r="F482" s="9">
        <f>if('Point Intercept 1'!F482 = 'Point Intercept 2'!F482, 'Point Intercept 1'!F482, "ERROR")</f>
        <v>3</v>
      </c>
      <c r="G482" s="9" t="str">
        <f>if('Point Intercept 1'!G482 = 'Point Intercept 2'!G482, 'Point Intercept 1'!G482, "ERROR")</f>
        <v>SS</v>
      </c>
      <c r="H482" s="9">
        <f>if('Point Intercept 1'!I482 = 'Point Intercept 2'!I482, 'Point Intercept 1'!I482, "ERROR")</f>
        <v>9</v>
      </c>
      <c r="I482" s="9">
        <f>if('Point Intercept 1'!H482 = 'Point Intercept 2'!H482, 'Point Intercept 1'!H482, "ERROR")</f>
        <v>2</v>
      </c>
      <c r="J482" s="9">
        <f>if('Point Intercept 1'!J482 = 'Point Intercept 2'!J482, 'Point Intercept 1'!J482, "ERROR")</f>
        <v>7</v>
      </c>
      <c r="K482" s="9" t="str">
        <f>if('Point Intercept 1'!K482 = 'Point Intercept 2'!K482, 'Point Intercept 1'!K482, "ERROR")</f>
        <v>L</v>
      </c>
      <c r="L482" s="9" t="str">
        <f>if('Point Intercept 1'!L482 = 'Point Intercept 2'!L482, 'Point Intercept 1'!L482, "ERROR")</f>
        <v>Litter</v>
      </c>
    </row>
    <row r="483">
      <c r="A483" s="9">
        <f>if('Point Intercept 1'!A483 = 'Point Intercept 2'!A483, 'Point Intercept 1'!A483, "ERROR")</f>
        <v>5</v>
      </c>
      <c r="B483" s="9">
        <f>if('Point Intercept 1'!B483 = 'Point Intercept 2'!B483, 'Point Intercept 1'!B483, "ERROR")</f>
        <v>2025</v>
      </c>
      <c r="C483" s="14">
        <f>if('Point Intercept 1'!C483 = 'Point Intercept 2'!C483, 'Point Intercept 1'!C483, "ERROR")</f>
        <v>45755</v>
      </c>
      <c r="D483" s="9" t="str">
        <f>if('Point Intercept 1'!D483 = 'Point Intercept 2'!D483, 'Point Intercept 1'!D483, "ERROR")</f>
        <v>TL, JC</v>
      </c>
      <c r="E483" s="9" t="str">
        <f>if('Point Intercept 1'!E483 = 'Point Intercept 2'!E483, 'Point Intercept 1'!E483, "ERROR")</f>
        <v>VB</v>
      </c>
      <c r="F483" s="9">
        <f>if('Point Intercept 1'!F483 = 'Point Intercept 2'!F483, 'Point Intercept 1'!F483, "ERROR")</f>
        <v>3</v>
      </c>
      <c r="G483" s="9" t="str">
        <f>if('Point Intercept 1'!G483 = 'Point Intercept 2'!G483, 'Point Intercept 1'!G483, "ERROR")</f>
        <v>SS</v>
      </c>
      <c r="H483" s="9">
        <f>if('Point Intercept 1'!I483 = 'Point Intercept 2'!I483, 'Point Intercept 1'!I483, "ERROR")</f>
        <v>9</v>
      </c>
      <c r="I483" s="9">
        <f>if('Point Intercept 1'!H483 = 'Point Intercept 2'!H483, 'Point Intercept 1'!H483, "ERROR")</f>
        <v>2</v>
      </c>
      <c r="J483" s="9">
        <f>if('Point Intercept 1'!J483 = 'Point Intercept 2'!J483, 'Point Intercept 1'!J483, "ERROR")</f>
        <v>7</v>
      </c>
      <c r="K483" s="9" t="str">
        <f>if('Point Intercept 1'!K483 = 'Point Intercept 2'!K483, 'Point Intercept 1'!K483, "ERROR")</f>
        <v>FESMYU</v>
      </c>
      <c r="L483" s="9" t="str">
        <f>if('Point Intercept 1'!L483 = 'Point Intercept 2'!L483, 'Point Intercept 1'!L483, "ERROR")</f>
        <v>Festuca myuros</v>
      </c>
    </row>
    <row r="484">
      <c r="A484" s="9">
        <f>if('Point Intercept 1'!A484 = 'Point Intercept 2'!A484, 'Point Intercept 1'!A484, "ERROR")</f>
        <v>5</v>
      </c>
      <c r="B484" s="9">
        <f>if('Point Intercept 1'!B484 = 'Point Intercept 2'!B484, 'Point Intercept 1'!B484, "ERROR")</f>
        <v>2025</v>
      </c>
      <c r="C484" s="14">
        <f>if('Point Intercept 1'!C484 = 'Point Intercept 2'!C484, 'Point Intercept 1'!C484, "ERROR")</f>
        <v>45755</v>
      </c>
      <c r="D484" s="9" t="str">
        <f>if('Point Intercept 1'!D484 = 'Point Intercept 2'!D484, 'Point Intercept 1'!D484, "ERROR")</f>
        <v>TL, JC</v>
      </c>
      <c r="E484" s="9" t="str">
        <f>if('Point Intercept 1'!E484 = 'Point Intercept 2'!E484, 'Point Intercept 1'!E484, "ERROR")</f>
        <v>VB</v>
      </c>
      <c r="F484" s="9">
        <f>if('Point Intercept 1'!F484 = 'Point Intercept 2'!F484, 'Point Intercept 1'!F484, "ERROR")</f>
        <v>3</v>
      </c>
      <c r="G484" s="9" t="str">
        <f>if('Point Intercept 1'!G484 = 'Point Intercept 2'!G484, 'Point Intercept 1'!G484, "ERROR")</f>
        <v>SS</v>
      </c>
      <c r="H484" s="9">
        <f>if('Point Intercept 1'!I484 = 'Point Intercept 2'!I484, 'Point Intercept 1'!I484, "ERROR")</f>
        <v>9</v>
      </c>
      <c r="I484" s="9">
        <f>if('Point Intercept 1'!H484 = 'Point Intercept 2'!H484, 'Point Intercept 1'!H484, "ERROR")</f>
        <v>2</v>
      </c>
      <c r="J484" s="9">
        <f>if('Point Intercept 1'!J484 = 'Point Intercept 2'!J484, 'Point Intercept 1'!J484, "ERROR")</f>
        <v>7</v>
      </c>
      <c r="K484" s="9" t="str">
        <f>if('Point Intercept 1'!K484 = 'Point Intercept 2'!K484, 'Point Intercept 1'!K484, "ERROR")</f>
        <v>CENMEL</v>
      </c>
      <c r="L484" s="9" t="str">
        <f>if('Point Intercept 1'!L484 = 'Point Intercept 2'!L484, 'Point Intercept 1'!L484, "ERROR")</f>
        <v>Centaurea melitensis</v>
      </c>
    </row>
    <row r="485">
      <c r="A485" s="9">
        <f>if('Point Intercept 1'!A485 = 'Point Intercept 2'!A485, 'Point Intercept 1'!A485, "ERROR")</f>
        <v>5</v>
      </c>
      <c r="B485" s="9">
        <f>if('Point Intercept 1'!B485 = 'Point Intercept 2'!B485, 'Point Intercept 1'!B485, "ERROR")</f>
        <v>2025</v>
      </c>
      <c r="C485" s="14">
        <f>if('Point Intercept 1'!C485 = 'Point Intercept 2'!C485, 'Point Intercept 1'!C485, "ERROR")</f>
        <v>45755</v>
      </c>
      <c r="D485" s="9" t="str">
        <f>if('Point Intercept 1'!D485 = 'Point Intercept 2'!D485, 'Point Intercept 1'!D485, "ERROR")</f>
        <v>TL, JC</v>
      </c>
      <c r="E485" s="9" t="str">
        <f>if('Point Intercept 1'!E485 = 'Point Intercept 2'!E485, 'Point Intercept 1'!E485, "ERROR")</f>
        <v>VB</v>
      </c>
      <c r="F485" s="9">
        <f>if('Point Intercept 1'!F485 = 'Point Intercept 2'!F485, 'Point Intercept 1'!F485, "ERROR")</f>
        <v>3</v>
      </c>
      <c r="G485" s="9" t="str">
        <f>if('Point Intercept 1'!G485 = 'Point Intercept 2'!G485, 'Point Intercept 1'!G485, "ERROR")</f>
        <v>SS</v>
      </c>
      <c r="H485" s="9">
        <f>if('Point Intercept 1'!I485 = 'Point Intercept 2'!I485, 'Point Intercept 1'!I485, "ERROR")</f>
        <v>10</v>
      </c>
      <c r="I485" s="9">
        <f>if('Point Intercept 1'!H485 = 'Point Intercept 2'!H485, 'Point Intercept 1'!H485, "ERROR")</f>
        <v>2</v>
      </c>
      <c r="J485" s="9">
        <f>if('Point Intercept 1'!J485 = 'Point Intercept 2'!J485, 'Point Intercept 1'!J485, "ERROR")</f>
        <v>8</v>
      </c>
      <c r="K485" s="9" t="str">
        <f>if('Point Intercept 1'!K485 = 'Point Intercept 2'!K485, 'Point Intercept 1'!K485, "ERROR")</f>
        <v>B</v>
      </c>
      <c r="L485" s="9" t="str">
        <f>if('Point Intercept 1'!L485 = 'Point Intercept 2'!L485, 'Point Intercept 1'!L485, "ERROR")</f>
        <v>Bareground</v>
      </c>
    </row>
    <row r="486">
      <c r="A486" s="9">
        <f>if('Point Intercept 1'!A486 = 'Point Intercept 2'!A486, 'Point Intercept 1'!A486, "ERROR")</f>
        <v>5</v>
      </c>
      <c r="B486" s="9">
        <f>if('Point Intercept 1'!B486 = 'Point Intercept 2'!B486, 'Point Intercept 1'!B486, "ERROR")</f>
        <v>2025</v>
      </c>
      <c r="C486" s="14">
        <f>if('Point Intercept 1'!C486 = 'Point Intercept 2'!C486, 'Point Intercept 1'!C486, "ERROR")</f>
        <v>45755</v>
      </c>
      <c r="D486" s="9" t="str">
        <f>if('Point Intercept 1'!D486 = 'Point Intercept 2'!D486, 'Point Intercept 1'!D486, "ERROR")</f>
        <v>TL, JC</v>
      </c>
      <c r="E486" s="9" t="str">
        <f>if('Point Intercept 1'!E486 = 'Point Intercept 2'!E486, 'Point Intercept 1'!E486, "ERROR")</f>
        <v>VB</v>
      </c>
      <c r="F486" s="9">
        <f>if('Point Intercept 1'!F486 = 'Point Intercept 2'!F486, 'Point Intercept 1'!F486, "ERROR")</f>
        <v>3</v>
      </c>
      <c r="G486" s="9" t="str">
        <f>if('Point Intercept 1'!G486 = 'Point Intercept 2'!G486, 'Point Intercept 1'!G486, "ERROR")</f>
        <v>SS</v>
      </c>
      <c r="H486" s="9">
        <f>if('Point Intercept 1'!I486 = 'Point Intercept 2'!I486, 'Point Intercept 1'!I486, "ERROR")</f>
        <v>10</v>
      </c>
      <c r="I486" s="9">
        <f>if('Point Intercept 1'!H486 = 'Point Intercept 2'!H486, 'Point Intercept 1'!H486, "ERROR")</f>
        <v>2</v>
      </c>
      <c r="J486" s="9">
        <f>if('Point Intercept 1'!J486 = 'Point Intercept 2'!J486, 'Point Intercept 1'!J486, "ERROR")</f>
        <v>8</v>
      </c>
      <c r="K486" s="9" t="str">
        <f>if('Point Intercept 1'!K486 = 'Point Intercept 2'!K486, 'Point Intercept 1'!K486, "ERROR")</f>
        <v>AMSMEN</v>
      </c>
      <c r="L486" s="9" t="str">
        <f>if('Point Intercept 1'!L486 = 'Point Intercept 2'!L486, 'Point Intercept 1'!L486, "ERROR")</f>
        <v>Amsinckia menziesii</v>
      </c>
    </row>
    <row r="487">
      <c r="A487" s="9">
        <f>if('Point Intercept 1'!A487 = 'Point Intercept 2'!A487, 'Point Intercept 1'!A487, "ERROR")</f>
        <v>5</v>
      </c>
      <c r="B487" s="9">
        <f>if('Point Intercept 1'!B487 = 'Point Intercept 2'!B487, 'Point Intercept 1'!B487, "ERROR")</f>
        <v>2025</v>
      </c>
      <c r="C487" s="14">
        <f>if('Point Intercept 1'!C487 = 'Point Intercept 2'!C487, 'Point Intercept 1'!C487, "ERROR")</f>
        <v>45755</v>
      </c>
      <c r="D487" s="9" t="str">
        <f>if('Point Intercept 1'!D487 = 'Point Intercept 2'!D487, 'Point Intercept 1'!D487, "ERROR")</f>
        <v>TL, JC</v>
      </c>
      <c r="E487" s="9" t="str">
        <f>if('Point Intercept 1'!E487 = 'Point Intercept 2'!E487, 'Point Intercept 1'!E487, "ERROR")</f>
        <v>VB</v>
      </c>
      <c r="F487" s="9">
        <f>if('Point Intercept 1'!F487 = 'Point Intercept 2'!F487, 'Point Intercept 1'!F487, "ERROR")</f>
        <v>3</v>
      </c>
      <c r="G487" s="9" t="str">
        <f>if('Point Intercept 1'!G487 = 'Point Intercept 2'!G487, 'Point Intercept 1'!G487, "ERROR")</f>
        <v>SS</v>
      </c>
      <c r="H487" s="9">
        <f>if('Point Intercept 1'!I487 = 'Point Intercept 2'!I487, 'Point Intercept 1'!I487, "ERROR")</f>
        <v>10</v>
      </c>
      <c r="I487" s="9">
        <f>if('Point Intercept 1'!H487 = 'Point Intercept 2'!H487, 'Point Intercept 1'!H487, "ERROR")</f>
        <v>2</v>
      </c>
      <c r="J487" s="9">
        <f>if('Point Intercept 1'!J487 = 'Point Intercept 2'!J487, 'Point Intercept 1'!J487, "ERROR")</f>
        <v>8</v>
      </c>
      <c r="K487" s="9" t="str">
        <f>if('Point Intercept 1'!K487 = 'Point Intercept 2'!K487, 'Point Intercept 1'!K487, "ERROR")</f>
        <v>FESMYU</v>
      </c>
      <c r="L487" s="9" t="str">
        <f>if('Point Intercept 1'!L487 = 'Point Intercept 2'!L487, 'Point Intercept 1'!L487, "ERROR")</f>
        <v>Festuca myuros</v>
      </c>
    </row>
    <row r="488">
      <c r="A488" s="9">
        <f>if('Point Intercept 1'!A488 = 'Point Intercept 2'!A488, 'Point Intercept 1'!A488, "ERROR")</f>
        <v>5</v>
      </c>
      <c r="B488" s="9">
        <f>if('Point Intercept 1'!B488 = 'Point Intercept 2'!B488, 'Point Intercept 1'!B488, "ERROR")</f>
        <v>2025</v>
      </c>
      <c r="C488" s="14">
        <f>if('Point Intercept 1'!C488 = 'Point Intercept 2'!C488, 'Point Intercept 1'!C488, "ERROR")</f>
        <v>45755</v>
      </c>
      <c r="D488" s="9" t="str">
        <f>if('Point Intercept 1'!D488 = 'Point Intercept 2'!D488, 'Point Intercept 1'!D488, "ERROR")</f>
        <v>TL, JC</v>
      </c>
      <c r="E488" s="9" t="str">
        <f>if('Point Intercept 1'!E488 = 'Point Intercept 2'!E488, 'Point Intercept 1'!E488, "ERROR")</f>
        <v>VB</v>
      </c>
      <c r="F488" s="9">
        <f>if('Point Intercept 1'!F488 = 'Point Intercept 2'!F488, 'Point Intercept 1'!F488, "ERROR")</f>
        <v>3</v>
      </c>
      <c r="G488" s="9" t="str">
        <f>if('Point Intercept 1'!G488 = 'Point Intercept 2'!G488, 'Point Intercept 1'!G488, "ERROR")</f>
        <v>SS</v>
      </c>
      <c r="H488" s="9">
        <f>if('Point Intercept 1'!I488 = 'Point Intercept 2'!I488, 'Point Intercept 1'!I488, "ERROR")</f>
        <v>11</v>
      </c>
      <c r="I488" s="9">
        <f>if('Point Intercept 1'!H488 = 'Point Intercept 2'!H488, 'Point Intercept 1'!H488, "ERROR")</f>
        <v>2</v>
      </c>
      <c r="J488" s="9">
        <f>if('Point Intercept 1'!J488 = 'Point Intercept 2'!J488, 'Point Intercept 1'!J488, "ERROR")</f>
        <v>8.5</v>
      </c>
      <c r="K488" s="9" t="str">
        <f>if('Point Intercept 1'!K488 = 'Point Intercept 2'!K488, 'Point Intercept 1'!K488, "ERROR")</f>
        <v>L</v>
      </c>
      <c r="L488" s="9" t="str">
        <f>if('Point Intercept 1'!L488 = 'Point Intercept 2'!L488, 'Point Intercept 1'!L488, "ERROR")</f>
        <v>Litter</v>
      </c>
    </row>
    <row r="489">
      <c r="A489" s="9">
        <f>if('Point Intercept 1'!A489 = 'Point Intercept 2'!A489, 'Point Intercept 1'!A489, "ERROR")</f>
        <v>5</v>
      </c>
      <c r="B489" s="9">
        <f>if('Point Intercept 1'!B489 = 'Point Intercept 2'!B489, 'Point Intercept 1'!B489, "ERROR")</f>
        <v>2025</v>
      </c>
      <c r="C489" s="14">
        <f>if('Point Intercept 1'!C489 = 'Point Intercept 2'!C489, 'Point Intercept 1'!C489, "ERROR")</f>
        <v>45755</v>
      </c>
      <c r="D489" s="9" t="str">
        <f>if('Point Intercept 1'!D489 = 'Point Intercept 2'!D489, 'Point Intercept 1'!D489, "ERROR")</f>
        <v>TL, JC</v>
      </c>
      <c r="E489" s="9" t="str">
        <f>if('Point Intercept 1'!E489 = 'Point Intercept 2'!E489, 'Point Intercept 1'!E489, "ERROR")</f>
        <v>VB</v>
      </c>
      <c r="F489" s="9">
        <f>if('Point Intercept 1'!F489 = 'Point Intercept 2'!F489, 'Point Intercept 1'!F489, "ERROR")</f>
        <v>3</v>
      </c>
      <c r="G489" s="9" t="str">
        <f>if('Point Intercept 1'!G489 = 'Point Intercept 2'!G489, 'Point Intercept 1'!G489, "ERROR")</f>
        <v>SS</v>
      </c>
      <c r="H489" s="9">
        <f>if('Point Intercept 1'!I489 = 'Point Intercept 2'!I489, 'Point Intercept 1'!I489, "ERROR")</f>
        <v>11</v>
      </c>
      <c r="I489" s="9">
        <f>if('Point Intercept 1'!H489 = 'Point Intercept 2'!H489, 'Point Intercept 1'!H489, "ERROR")</f>
        <v>2</v>
      </c>
      <c r="J489" s="9">
        <f>if('Point Intercept 1'!J489 = 'Point Intercept 2'!J489, 'Point Intercept 1'!J489, "ERROR")</f>
        <v>8.5</v>
      </c>
      <c r="K489" s="9" t="str">
        <f>if('Point Intercept 1'!K489 = 'Point Intercept 2'!K489, 'Point Intercept 1'!K489, "ERROR")</f>
        <v>CENMEL</v>
      </c>
      <c r="L489" s="9" t="str">
        <f>if('Point Intercept 1'!L489 = 'Point Intercept 2'!L489, 'Point Intercept 1'!L489, "ERROR")</f>
        <v>Centaurea melitensis</v>
      </c>
    </row>
    <row r="490">
      <c r="A490" s="9">
        <f>if('Point Intercept 1'!A490 = 'Point Intercept 2'!A490, 'Point Intercept 1'!A490, "ERROR")</f>
        <v>5</v>
      </c>
      <c r="B490" s="9">
        <f>if('Point Intercept 1'!B490 = 'Point Intercept 2'!B490, 'Point Intercept 1'!B490, "ERROR")</f>
        <v>2025</v>
      </c>
      <c r="C490" s="14">
        <f>if('Point Intercept 1'!C490 = 'Point Intercept 2'!C490, 'Point Intercept 1'!C490, "ERROR")</f>
        <v>45755</v>
      </c>
      <c r="D490" s="9" t="str">
        <f>if('Point Intercept 1'!D490 = 'Point Intercept 2'!D490, 'Point Intercept 1'!D490, "ERROR")</f>
        <v>TL, JC</v>
      </c>
      <c r="E490" s="9" t="str">
        <f>if('Point Intercept 1'!E490 = 'Point Intercept 2'!E490, 'Point Intercept 1'!E490, "ERROR")</f>
        <v>VB</v>
      </c>
      <c r="F490" s="9">
        <f>if('Point Intercept 1'!F490 = 'Point Intercept 2'!F490, 'Point Intercept 1'!F490, "ERROR")</f>
        <v>3</v>
      </c>
      <c r="G490" s="9" t="str">
        <f>if('Point Intercept 1'!G490 = 'Point Intercept 2'!G490, 'Point Intercept 1'!G490, "ERROR")</f>
        <v>SS</v>
      </c>
      <c r="H490" s="9">
        <f>if('Point Intercept 1'!I490 = 'Point Intercept 2'!I490, 'Point Intercept 1'!I490, "ERROR")</f>
        <v>12</v>
      </c>
      <c r="I490" s="9">
        <f>if('Point Intercept 1'!H490 = 'Point Intercept 2'!H490, 'Point Intercept 1'!H490, "ERROR")</f>
        <v>2</v>
      </c>
      <c r="J490" s="9">
        <f>if('Point Intercept 1'!J490 = 'Point Intercept 2'!J490, 'Point Intercept 1'!J490, "ERROR")</f>
        <v>9</v>
      </c>
      <c r="K490" s="9" t="str">
        <f>if('Point Intercept 1'!K490 = 'Point Intercept 2'!K490, 'Point Intercept 1'!K490, "ERROR")</f>
        <v>L</v>
      </c>
      <c r="L490" s="9" t="str">
        <f>if('Point Intercept 1'!L490 = 'Point Intercept 2'!L490, 'Point Intercept 1'!L490, "ERROR")</f>
        <v>Litter</v>
      </c>
    </row>
    <row r="491">
      <c r="A491" s="9">
        <f>if('Point Intercept 1'!A491 = 'Point Intercept 2'!A491, 'Point Intercept 1'!A491, "ERROR")</f>
        <v>5</v>
      </c>
      <c r="B491" s="9">
        <f>if('Point Intercept 1'!B491 = 'Point Intercept 2'!B491, 'Point Intercept 1'!B491, "ERROR")</f>
        <v>2025</v>
      </c>
      <c r="C491" s="14">
        <f>if('Point Intercept 1'!C491 = 'Point Intercept 2'!C491, 'Point Intercept 1'!C491, "ERROR")</f>
        <v>45755</v>
      </c>
      <c r="D491" s="9" t="str">
        <f>if('Point Intercept 1'!D491 = 'Point Intercept 2'!D491, 'Point Intercept 1'!D491, "ERROR")</f>
        <v>TL, JC</v>
      </c>
      <c r="E491" s="9" t="str">
        <f>if('Point Intercept 1'!E491 = 'Point Intercept 2'!E491, 'Point Intercept 1'!E491, "ERROR")</f>
        <v>VB</v>
      </c>
      <c r="F491" s="9">
        <f>if('Point Intercept 1'!F491 = 'Point Intercept 2'!F491, 'Point Intercept 1'!F491, "ERROR")</f>
        <v>3</v>
      </c>
      <c r="G491" s="9" t="str">
        <f>if('Point Intercept 1'!G491 = 'Point Intercept 2'!G491, 'Point Intercept 1'!G491, "ERROR")</f>
        <v>SS</v>
      </c>
      <c r="H491" s="9">
        <f>if('Point Intercept 1'!I491 = 'Point Intercept 2'!I491, 'Point Intercept 1'!I491, "ERROR")</f>
        <v>12</v>
      </c>
      <c r="I491" s="9">
        <f>if('Point Intercept 1'!H491 = 'Point Intercept 2'!H491, 'Point Intercept 1'!H491, "ERROR")</f>
        <v>2</v>
      </c>
      <c r="J491" s="9">
        <f>if('Point Intercept 1'!J491 = 'Point Intercept 2'!J491, 'Point Intercept 1'!J491, "ERROR")</f>
        <v>9</v>
      </c>
      <c r="K491" s="9" t="str">
        <f>if('Point Intercept 1'!K491 = 'Point Intercept 2'!K491, 'Point Intercept 1'!K491, "ERROR")</f>
        <v>FESMYU</v>
      </c>
      <c r="L491" s="9" t="str">
        <f>if('Point Intercept 1'!L491 = 'Point Intercept 2'!L491, 'Point Intercept 1'!L491, "ERROR")</f>
        <v>Festuca myuros</v>
      </c>
    </row>
    <row r="492">
      <c r="A492" s="9">
        <f>if('Point Intercept 1'!A492 = 'Point Intercept 2'!A492, 'Point Intercept 1'!A492, "ERROR")</f>
        <v>5</v>
      </c>
      <c r="B492" s="9">
        <f>if('Point Intercept 1'!B492 = 'Point Intercept 2'!B492, 'Point Intercept 1'!B492, "ERROR")</f>
        <v>2025</v>
      </c>
      <c r="C492" s="14">
        <f>if('Point Intercept 1'!C492 = 'Point Intercept 2'!C492, 'Point Intercept 1'!C492, "ERROR")</f>
        <v>45755</v>
      </c>
      <c r="D492" s="9" t="str">
        <f>if('Point Intercept 1'!D492 = 'Point Intercept 2'!D492, 'Point Intercept 1'!D492, "ERROR")</f>
        <v>TL, JC</v>
      </c>
      <c r="E492" s="9" t="str">
        <f>if('Point Intercept 1'!E492 = 'Point Intercept 2'!E492, 'Point Intercept 1'!E492, "ERROR")</f>
        <v>VB</v>
      </c>
      <c r="F492" s="9">
        <f>if('Point Intercept 1'!F492 = 'Point Intercept 2'!F492, 'Point Intercept 1'!F492, "ERROR")</f>
        <v>3</v>
      </c>
      <c r="G492" s="9" t="str">
        <f>if('Point Intercept 1'!G492 = 'Point Intercept 2'!G492, 'Point Intercept 1'!G492, "ERROR")</f>
        <v>SS</v>
      </c>
      <c r="H492" s="9">
        <f>if('Point Intercept 1'!I492 = 'Point Intercept 2'!I492, 'Point Intercept 1'!I492, "ERROR")</f>
        <v>12</v>
      </c>
      <c r="I492" s="9">
        <f>if('Point Intercept 1'!H492 = 'Point Intercept 2'!H492, 'Point Intercept 1'!H492, "ERROR")</f>
        <v>2</v>
      </c>
      <c r="J492" s="9">
        <f>if('Point Intercept 1'!J492 = 'Point Intercept 2'!J492, 'Point Intercept 1'!J492, "ERROR")</f>
        <v>9</v>
      </c>
      <c r="K492" s="9" t="str">
        <f>if('Point Intercept 1'!K492 = 'Point Intercept 2'!K492, 'Point Intercept 1'!K492, "ERROR")</f>
        <v>BRANIG</v>
      </c>
      <c r="L492" s="9" t="str">
        <f>if('Point Intercept 1'!L492 = 'Point Intercept 2'!L492, 'Point Intercept 1'!L492, "ERROR")</f>
        <v>Brassica nigra</v>
      </c>
    </row>
    <row r="493">
      <c r="A493" s="9">
        <f>if('Point Intercept 1'!A493 = 'Point Intercept 2'!A493, 'Point Intercept 1'!A493, "ERROR")</f>
        <v>5</v>
      </c>
      <c r="B493" s="9">
        <f>if('Point Intercept 1'!B493 = 'Point Intercept 2'!B493, 'Point Intercept 1'!B493, "ERROR")</f>
        <v>2025</v>
      </c>
      <c r="C493" s="14">
        <f>if('Point Intercept 1'!C493 = 'Point Intercept 2'!C493, 'Point Intercept 1'!C493, "ERROR")</f>
        <v>45755</v>
      </c>
      <c r="D493" s="9" t="str">
        <f>if('Point Intercept 1'!D493 = 'Point Intercept 2'!D493, 'Point Intercept 1'!D493, "ERROR")</f>
        <v>TL, JC</v>
      </c>
      <c r="E493" s="9" t="str">
        <f>if('Point Intercept 1'!E493 = 'Point Intercept 2'!E493, 'Point Intercept 1'!E493, "ERROR")</f>
        <v>VB</v>
      </c>
      <c r="F493" s="9">
        <f>if('Point Intercept 1'!F493 = 'Point Intercept 2'!F493, 'Point Intercept 1'!F493, "ERROR")</f>
        <v>3</v>
      </c>
      <c r="G493" s="9" t="str">
        <f>if('Point Intercept 1'!G493 = 'Point Intercept 2'!G493, 'Point Intercept 1'!G493, "ERROR")</f>
        <v>SS</v>
      </c>
      <c r="H493" s="9">
        <f>if('Point Intercept 1'!I493 = 'Point Intercept 2'!I493, 'Point Intercept 1'!I493, "ERROR")</f>
        <v>13</v>
      </c>
      <c r="I493" s="9">
        <f>if('Point Intercept 1'!H493 = 'Point Intercept 2'!H493, 'Point Intercept 1'!H493, "ERROR")</f>
        <v>2</v>
      </c>
      <c r="J493" s="9">
        <f>if('Point Intercept 1'!J493 = 'Point Intercept 2'!J493, 'Point Intercept 1'!J493, "ERROR")</f>
        <v>10</v>
      </c>
      <c r="K493" s="9" t="str">
        <f>if('Point Intercept 1'!K493 = 'Point Intercept 2'!K493, 'Point Intercept 1'!K493, "ERROR")</f>
        <v>L</v>
      </c>
      <c r="L493" s="9" t="str">
        <f>if('Point Intercept 1'!L493 = 'Point Intercept 2'!L493, 'Point Intercept 1'!L493, "ERROR")</f>
        <v>Litter</v>
      </c>
    </row>
    <row r="494">
      <c r="A494" s="9">
        <f>if('Point Intercept 1'!A494 = 'Point Intercept 2'!A494, 'Point Intercept 1'!A494, "ERROR")</f>
        <v>5</v>
      </c>
      <c r="B494" s="9">
        <f>if('Point Intercept 1'!B494 = 'Point Intercept 2'!B494, 'Point Intercept 1'!B494, "ERROR")</f>
        <v>2025</v>
      </c>
      <c r="C494" s="14">
        <f>if('Point Intercept 1'!C494 = 'Point Intercept 2'!C494, 'Point Intercept 1'!C494, "ERROR")</f>
        <v>45755</v>
      </c>
      <c r="D494" s="9" t="str">
        <f>if('Point Intercept 1'!D494 = 'Point Intercept 2'!D494, 'Point Intercept 1'!D494, "ERROR")</f>
        <v>TL, JC</v>
      </c>
      <c r="E494" s="9" t="str">
        <f>if('Point Intercept 1'!E494 = 'Point Intercept 2'!E494, 'Point Intercept 1'!E494, "ERROR")</f>
        <v>VB</v>
      </c>
      <c r="F494" s="9">
        <f>if('Point Intercept 1'!F494 = 'Point Intercept 2'!F494, 'Point Intercept 1'!F494, "ERROR")</f>
        <v>3</v>
      </c>
      <c r="G494" s="9" t="str">
        <f>if('Point Intercept 1'!G494 = 'Point Intercept 2'!G494, 'Point Intercept 1'!G494, "ERROR")</f>
        <v>SS</v>
      </c>
      <c r="H494" s="9">
        <f>if('Point Intercept 1'!I494 = 'Point Intercept 2'!I494, 'Point Intercept 1'!I494, "ERROR")</f>
        <v>13</v>
      </c>
      <c r="I494" s="9">
        <f>if('Point Intercept 1'!H494 = 'Point Intercept 2'!H494, 'Point Intercept 1'!H494, "ERROR")</f>
        <v>2</v>
      </c>
      <c r="J494" s="9">
        <f>if('Point Intercept 1'!J494 = 'Point Intercept 2'!J494, 'Point Intercept 1'!J494, "ERROR")</f>
        <v>10</v>
      </c>
      <c r="K494" s="9" t="str">
        <f>if('Point Intercept 1'!K494 = 'Point Intercept 2'!K494, 'Point Intercept 1'!K494, "ERROR")</f>
        <v>FESMYU</v>
      </c>
      <c r="L494" s="9" t="str">
        <f>if('Point Intercept 1'!L494 = 'Point Intercept 2'!L494, 'Point Intercept 1'!L494, "ERROR")</f>
        <v>Festuca myuros</v>
      </c>
    </row>
    <row r="495">
      <c r="A495" s="9">
        <f>if('Point Intercept 1'!A495 = 'Point Intercept 2'!A495, 'Point Intercept 1'!A495, "ERROR")</f>
        <v>5</v>
      </c>
      <c r="B495" s="9">
        <f>if('Point Intercept 1'!B495 = 'Point Intercept 2'!B495, 'Point Intercept 1'!B495, "ERROR")</f>
        <v>2025</v>
      </c>
      <c r="C495" s="14">
        <f>if('Point Intercept 1'!C495 = 'Point Intercept 2'!C495, 'Point Intercept 1'!C495, "ERROR")</f>
        <v>45755</v>
      </c>
      <c r="D495" s="9" t="str">
        <f>if('Point Intercept 1'!D495 = 'Point Intercept 2'!D495, 'Point Intercept 1'!D495, "ERROR")</f>
        <v>TL, JC</v>
      </c>
      <c r="E495" s="9" t="str">
        <f>if('Point Intercept 1'!E495 = 'Point Intercept 2'!E495, 'Point Intercept 1'!E495, "ERROR")</f>
        <v>VB</v>
      </c>
      <c r="F495" s="9">
        <f>if('Point Intercept 1'!F495 = 'Point Intercept 2'!F495, 'Point Intercept 1'!F495, "ERROR")</f>
        <v>3</v>
      </c>
      <c r="G495" s="9" t="str">
        <f>if('Point Intercept 1'!G495 = 'Point Intercept 2'!G495, 'Point Intercept 1'!G495, "ERROR")</f>
        <v>SS</v>
      </c>
      <c r="H495" s="9">
        <f>if('Point Intercept 1'!I495 = 'Point Intercept 2'!I495, 'Point Intercept 1'!I495, "ERROR")</f>
        <v>13</v>
      </c>
      <c r="I495" s="9">
        <f>if('Point Intercept 1'!H495 = 'Point Intercept 2'!H495, 'Point Intercept 1'!H495, "ERROR")</f>
        <v>2</v>
      </c>
      <c r="J495" s="9">
        <f>if('Point Intercept 1'!J495 = 'Point Intercept 2'!J495, 'Point Intercept 1'!J495, "ERROR")</f>
        <v>10</v>
      </c>
      <c r="K495" s="9" t="str">
        <f>if('Point Intercept 1'!K495 = 'Point Intercept 2'!K495, 'Point Intercept 1'!K495, "ERROR")</f>
        <v>CENMEL</v>
      </c>
      <c r="L495" s="9" t="str">
        <f>if('Point Intercept 1'!L495 = 'Point Intercept 2'!L495, 'Point Intercept 1'!L495, "ERROR")</f>
        <v>Centaurea melitensis</v>
      </c>
    </row>
    <row r="496">
      <c r="A496" s="9">
        <f>if('Point Intercept 1'!A496 = 'Point Intercept 2'!A496, 'Point Intercept 1'!A496, "ERROR")</f>
        <v>5</v>
      </c>
      <c r="B496" s="9">
        <f>if('Point Intercept 1'!B496 = 'Point Intercept 2'!B496, 'Point Intercept 1'!B496, "ERROR")</f>
        <v>2025</v>
      </c>
      <c r="C496" s="14">
        <f>if('Point Intercept 1'!C496 = 'Point Intercept 2'!C496, 'Point Intercept 1'!C496, "ERROR")</f>
        <v>45755</v>
      </c>
      <c r="D496" s="9" t="str">
        <f>if('Point Intercept 1'!D496 = 'Point Intercept 2'!D496, 'Point Intercept 1'!D496, "ERROR")</f>
        <v>TL, JC</v>
      </c>
      <c r="E496" s="9" t="str">
        <f>if('Point Intercept 1'!E496 = 'Point Intercept 2'!E496, 'Point Intercept 1'!E496, "ERROR")</f>
        <v>VB</v>
      </c>
      <c r="F496" s="9">
        <f>if('Point Intercept 1'!F496 = 'Point Intercept 2'!F496, 'Point Intercept 1'!F496, "ERROR")</f>
        <v>3</v>
      </c>
      <c r="G496" s="9" t="str">
        <f>if('Point Intercept 1'!G496 = 'Point Intercept 2'!G496, 'Point Intercept 1'!G496, "ERROR")</f>
        <v>SS</v>
      </c>
      <c r="H496" s="9">
        <f>if('Point Intercept 1'!I496 = 'Point Intercept 2'!I496, 'Point Intercept 1'!I496, "ERROR")</f>
        <v>14</v>
      </c>
      <c r="I496" s="9">
        <f>if('Point Intercept 1'!H496 = 'Point Intercept 2'!H496, 'Point Intercept 1'!H496, "ERROR")</f>
        <v>2</v>
      </c>
      <c r="J496" s="9">
        <f>if('Point Intercept 1'!J496 = 'Point Intercept 2'!J496, 'Point Intercept 1'!J496, "ERROR")</f>
        <v>11</v>
      </c>
      <c r="K496" s="9" t="str">
        <f>if('Point Intercept 1'!K496 = 'Point Intercept 2'!K496, 'Point Intercept 1'!K496, "ERROR")</f>
        <v>L</v>
      </c>
      <c r="L496" s="9" t="str">
        <f>if('Point Intercept 1'!L496 = 'Point Intercept 2'!L496, 'Point Intercept 1'!L496, "ERROR")</f>
        <v>Litter</v>
      </c>
    </row>
    <row r="497">
      <c r="A497" s="9">
        <f>if('Point Intercept 1'!A497 = 'Point Intercept 2'!A497, 'Point Intercept 1'!A497, "ERROR")</f>
        <v>5</v>
      </c>
      <c r="B497" s="9">
        <f>if('Point Intercept 1'!B497 = 'Point Intercept 2'!B497, 'Point Intercept 1'!B497, "ERROR")</f>
        <v>2025</v>
      </c>
      <c r="C497" s="14">
        <f>if('Point Intercept 1'!C497 = 'Point Intercept 2'!C497, 'Point Intercept 1'!C497, "ERROR")</f>
        <v>45755</v>
      </c>
      <c r="D497" s="9" t="str">
        <f>if('Point Intercept 1'!D497 = 'Point Intercept 2'!D497, 'Point Intercept 1'!D497, "ERROR")</f>
        <v>TL, JC</v>
      </c>
      <c r="E497" s="9" t="str">
        <f>if('Point Intercept 1'!E497 = 'Point Intercept 2'!E497, 'Point Intercept 1'!E497, "ERROR")</f>
        <v>VB</v>
      </c>
      <c r="F497" s="9">
        <f>if('Point Intercept 1'!F497 = 'Point Intercept 2'!F497, 'Point Intercept 1'!F497, "ERROR")</f>
        <v>3</v>
      </c>
      <c r="G497" s="9" t="str">
        <f>if('Point Intercept 1'!G497 = 'Point Intercept 2'!G497, 'Point Intercept 1'!G497, "ERROR")</f>
        <v>SS</v>
      </c>
      <c r="H497" s="9">
        <f>if('Point Intercept 1'!I497 = 'Point Intercept 2'!I497, 'Point Intercept 1'!I497, "ERROR")</f>
        <v>14</v>
      </c>
      <c r="I497" s="9">
        <f>if('Point Intercept 1'!H497 = 'Point Intercept 2'!H497, 'Point Intercept 1'!H497, "ERROR")</f>
        <v>2</v>
      </c>
      <c r="J497" s="9">
        <f>if('Point Intercept 1'!J497 = 'Point Intercept 2'!J497, 'Point Intercept 1'!J497, "ERROR")</f>
        <v>11</v>
      </c>
      <c r="K497" s="9" t="str">
        <f>if('Point Intercept 1'!K497 = 'Point Intercept 2'!K497, 'Point Intercept 1'!K497, "ERROR")</f>
        <v>BRANIG</v>
      </c>
      <c r="L497" s="9" t="str">
        <f>if('Point Intercept 1'!L497 = 'Point Intercept 2'!L497, 'Point Intercept 1'!L497, "ERROR")</f>
        <v>Brassica nigra</v>
      </c>
    </row>
    <row r="498">
      <c r="A498" s="9">
        <f>if('Point Intercept 1'!A498 = 'Point Intercept 2'!A498, 'Point Intercept 1'!A498, "ERROR")</f>
        <v>5</v>
      </c>
      <c r="B498" s="9">
        <f>if('Point Intercept 1'!B498 = 'Point Intercept 2'!B498, 'Point Intercept 1'!B498, "ERROR")</f>
        <v>2025</v>
      </c>
      <c r="C498" s="14">
        <f>if('Point Intercept 1'!C498 = 'Point Intercept 2'!C498, 'Point Intercept 1'!C498, "ERROR")</f>
        <v>45755</v>
      </c>
      <c r="D498" s="9" t="str">
        <f>if('Point Intercept 1'!D498 = 'Point Intercept 2'!D498, 'Point Intercept 1'!D498, "ERROR")</f>
        <v>TL, JC</v>
      </c>
      <c r="E498" s="9" t="str">
        <f>if('Point Intercept 1'!E498 = 'Point Intercept 2'!E498, 'Point Intercept 1'!E498, "ERROR")</f>
        <v>VB</v>
      </c>
      <c r="F498" s="9">
        <f>if('Point Intercept 1'!F498 = 'Point Intercept 2'!F498, 'Point Intercept 1'!F498, "ERROR")</f>
        <v>3</v>
      </c>
      <c r="G498" s="9" t="str">
        <f>if('Point Intercept 1'!G498 = 'Point Intercept 2'!G498, 'Point Intercept 1'!G498, "ERROR")</f>
        <v>SS</v>
      </c>
      <c r="H498" s="9">
        <f>if('Point Intercept 1'!I498 = 'Point Intercept 2'!I498, 'Point Intercept 1'!I498, "ERROR")</f>
        <v>15</v>
      </c>
      <c r="I498" s="9">
        <f>if('Point Intercept 1'!H498 = 'Point Intercept 2'!H498, 'Point Intercept 1'!H498, "ERROR")</f>
        <v>2</v>
      </c>
      <c r="J498" s="9">
        <f>if('Point Intercept 1'!J498 = 'Point Intercept 2'!J498, 'Point Intercept 1'!J498, "ERROR")</f>
        <v>12</v>
      </c>
      <c r="K498" s="9" t="str">
        <f>if('Point Intercept 1'!K498 = 'Point Intercept 2'!K498, 'Point Intercept 1'!K498, "ERROR")</f>
        <v>L</v>
      </c>
      <c r="L498" s="9" t="str">
        <f>if('Point Intercept 1'!L498 = 'Point Intercept 2'!L498, 'Point Intercept 1'!L498, "ERROR")</f>
        <v>Litter</v>
      </c>
    </row>
    <row r="499">
      <c r="A499" s="9">
        <f>if('Point Intercept 1'!A499 = 'Point Intercept 2'!A499, 'Point Intercept 1'!A499, "ERROR")</f>
        <v>5</v>
      </c>
      <c r="B499" s="9">
        <f>if('Point Intercept 1'!B499 = 'Point Intercept 2'!B499, 'Point Intercept 1'!B499, "ERROR")</f>
        <v>2025</v>
      </c>
      <c r="C499" s="14">
        <f>if('Point Intercept 1'!C499 = 'Point Intercept 2'!C499, 'Point Intercept 1'!C499, "ERROR")</f>
        <v>45755</v>
      </c>
      <c r="D499" s="9" t="str">
        <f>if('Point Intercept 1'!D499 = 'Point Intercept 2'!D499, 'Point Intercept 1'!D499, "ERROR")</f>
        <v>TL, JC</v>
      </c>
      <c r="E499" s="9" t="str">
        <f>if('Point Intercept 1'!E499 = 'Point Intercept 2'!E499, 'Point Intercept 1'!E499, "ERROR")</f>
        <v>VB</v>
      </c>
      <c r="F499" s="9">
        <f>if('Point Intercept 1'!F499 = 'Point Intercept 2'!F499, 'Point Intercept 1'!F499, "ERROR")</f>
        <v>3</v>
      </c>
      <c r="G499" s="9" t="str">
        <f>if('Point Intercept 1'!G499 = 'Point Intercept 2'!G499, 'Point Intercept 1'!G499, "ERROR")</f>
        <v>SS</v>
      </c>
      <c r="H499" s="9">
        <f>if('Point Intercept 1'!I499 = 'Point Intercept 2'!I499, 'Point Intercept 1'!I499, "ERROR")</f>
        <v>15</v>
      </c>
      <c r="I499" s="9">
        <f>if('Point Intercept 1'!H499 = 'Point Intercept 2'!H499, 'Point Intercept 1'!H499, "ERROR")</f>
        <v>2</v>
      </c>
      <c r="J499" s="9">
        <f>if('Point Intercept 1'!J499 = 'Point Intercept 2'!J499, 'Point Intercept 1'!J499, "ERROR")</f>
        <v>12</v>
      </c>
      <c r="K499" s="9" t="str">
        <f>if('Point Intercept 1'!K499 = 'Point Intercept 2'!K499, 'Point Intercept 1'!K499, "ERROR")</f>
        <v>SONASP</v>
      </c>
      <c r="L499" s="9" t="str">
        <f>if('Point Intercept 1'!L499 = 'Point Intercept 2'!L499, 'Point Intercept 1'!L499, "ERROR")</f>
        <v>Sonchus asper</v>
      </c>
    </row>
    <row r="500">
      <c r="A500" s="9">
        <f>if('Point Intercept 1'!A500 = 'Point Intercept 2'!A500, 'Point Intercept 1'!A500, "ERROR")</f>
        <v>5</v>
      </c>
      <c r="B500" s="9">
        <f>if('Point Intercept 1'!B500 = 'Point Intercept 2'!B500, 'Point Intercept 1'!B500, "ERROR")</f>
        <v>2025</v>
      </c>
      <c r="C500" s="14">
        <f>if('Point Intercept 1'!C500 = 'Point Intercept 2'!C500, 'Point Intercept 1'!C500, "ERROR")</f>
        <v>45755</v>
      </c>
      <c r="D500" s="9" t="str">
        <f>if('Point Intercept 1'!D500 = 'Point Intercept 2'!D500, 'Point Intercept 1'!D500, "ERROR")</f>
        <v>TL, JC</v>
      </c>
      <c r="E500" s="9" t="str">
        <f>if('Point Intercept 1'!E500 = 'Point Intercept 2'!E500, 'Point Intercept 1'!E500, "ERROR")</f>
        <v>VB</v>
      </c>
      <c r="F500" s="9">
        <f>if('Point Intercept 1'!F500 = 'Point Intercept 2'!F500, 'Point Intercept 1'!F500, "ERROR")</f>
        <v>3</v>
      </c>
      <c r="G500" s="9" t="str">
        <f>if('Point Intercept 1'!G500 = 'Point Intercept 2'!G500, 'Point Intercept 1'!G500, "ERROR")</f>
        <v>SS</v>
      </c>
      <c r="H500" s="9">
        <f>if('Point Intercept 1'!I500 = 'Point Intercept 2'!I500, 'Point Intercept 1'!I500, "ERROR")</f>
        <v>15</v>
      </c>
      <c r="I500" s="9">
        <f>if('Point Intercept 1'!H500 = 'Point Intercept 2'!H500, 'Point Intercept 1'!H500, "ERROR")</f>
        <v>2</v>
      </c>
      <c r="J500" s="9">
        <f>if('Point Intercept 1'!J500 = 'Point Intercept 2'!J500, 'Point Intercept 1'!J500, "ERROR")</f>
        <v>12</v>
      </c>
      <c r="K500" s="9" t="str">
        <f>if('Point Intercept 1'!K500 = 'Point Intercept 2'!K500, 'Point Intercept 1'!K500, "ERROR")</f>
        <v>FESMYU</v>
      </c>
      <c r="L500" s="9" t="str">
        <f>if('Point Intercept 1'!L500 = 'Point Intercept 2'!L500, 'Point Intercept 1'!L500, "ERROR")</f>
        <v>Festuca myuros</v>
      </c>
    </row>
    <row r="501">
      <c r="A501" s="9">
        <f>if('Point Intercept 1'!A501 = 'Point Intercept 2'!A501, 'Point Intercept 1'!A501, "ERROR")</f>
        <v>6</v>
      </c>
      <c r="B501" s="9">
        <f>if('Point Intercept 1'!B501 = 'Point Intercept 2'!B501, 'Point Intercept 1'!B501, "ERROR")</f>
        <v>2025</v>
      </c>
      <c r="C501" s="14">
        <f>if('Point Intercept 1'!C501 = 'Point Intercept 2'!C501, 'Point Intercept 1'!C501, "ERROR")</f>
        <v>45755</v>
      </c>
      <c r="D501" s="9" t="str">
        <f>if('Point Intercept 1'!D501 = 'Point Intercept 2'!D501, 'Point Intercept 1'!D501, "ERROR")</f>
        <v>JC, TL</v>
      </c>
      <c r="E501" s="9" t="str">
        <f>if('Point Intercept 1'!E501 = 'Point Intercept 2'!E501, 'Point Intercept 1'!E501, "ERROR")</f>
        <v>VB</v>
      </c>
      <c r="F501" s="9">
        <f>if('Point Intercept 1'!F501 = 'Point Intercept 2'!F501, 'Point Intercept 1'!F501, "ERROR")</f>
        <v>3</v>
      </c>
      <c r="G501" s="9" t="str">
        <f>if('Point Intercept 1'!G501 = 'Point Intercept 2'!G501, 'Point Intercept 1'!G501, "ERROR")</f>
        <v>SU</v>
      </c>
      <c r="H501" s="9">
        <f>if('Point Intercept 1'!I501 = 'Point Intercept 2'!I501, 'Point Intercept 1'!I501, "ERROR")</f>
        <v>1</v>
      </c>
      <c r="I501" s="9">
        <f>if('Point Intercept 1'!H501 = 'Point Intercept 2'!H501, 'Point Intercept 1'!H501, "ERROR")</f>
        <v>1</v>
      </c>
      <c r="J501" s="9">
        <f>if('Point Intercept 1'!J501 = 'Point Intercept 2'!J501, 'Point Intercept 1'!J501, "ERROR")</f>
        <v>0</v>
      </c>
      <c r="K501" s="9" t="str">
        <f>if('Point Intercept 1'!K501 = 'Point Intercept 2'!K501, 'Point Intercept 1'!K501, "ERROR")</f>
        <v>L</v>
      </c>
      <c r="L501" s="9" t="str">
        <f>if('Point Intercept 1'!L501 = 'Point Intercept 2'!L501, 'Point Intercept 1'!L501, "ERROR")</f>
        <v>Litter</v>
      </c>
    </row>
    <row r="502">
      <c r="A502" s="9">
        <f>if('Point Intercept 1'!A502 = 'Point Intercept 2'!A502, 'Point Intercept 1'!A502, "ERROR")</f>
        <v>6</v>
      </c>
      <c r="B502" s="9">
        <f>if('Point Intercept 1'!B502 = 'Point Intercept 2'!B502, 'Point Intercept 1'!B502, "ERROR")</f>
        <v>2025</v>
      </c>
      <c r="C502" s="14">
        <f>if('Point Intercept 1'!C502 = 'Point Intercept 2'!C502, 'Point Intercept 1'!C502, "ERROR")</f>
        <v>45755</v>
      </c>
      <c r="D502" s="9" t="str">
        <f>if('Point Intercept 1'!D502 = 'Point Intercept 2'!D502, 'Point Intercept 1'!D502, "ERROR")</f>
        <v>JC, TL</v>
      </c>
      <c r="E502" s="9" t="str">
        <f>if('Point Intercept 1'!E502 = 'Point Intercept 2'!E502, 'Point Intercept 1'!E502, "ERROR")</f>
        <v>VB</v>
      </c>
      <c r="F502" s="9">
        <f>if('Point Intercept 1'!F502 = 'Point Intercept 2'!F502, 'Point Intercept 1'!F502, "ERROR")</f>
        <v>3</v>
      </c>
      <c r="G502" s="9" t="str">
        <f>if('Point Intercept 1'!G502 = 'Point Intercept 2'!G502, 'Point Intercept 1'!G502, "ERROR")</f>
        <v>SU</v>
      </c>
      <c r="H502" s="9">
        <f>if('Point Intercept 1'!I502 = 'Point Intercept 2'!I502, 'Point Intercept 1'!I502, "ERROR")</f>
        <v>1</v>
      </c>
      <c r="I502" s="9">
        <f>if('Point Intercept 1'!H502 = 'Point Intercept 2'!H502, 'Point Intercept 1'!H502, "ERROR")</f>
        <v>1</v>
      </c>
      <c r="J502" s="9">
        <f>if('Point Intercept 1'!J502 = 'Point Intercept 2'!J502, 'Point Intercept 1'!J502, "ERROR")</f>
        <v>0</v>
      </c>
      <c r="K502" s="9" t="str">
        <f>if('Point Intercept 1'!K502 = 'Point Intercept 2'!K502, 'Point Intercept 1'!K502, "ERROR")</f>
        <v>DEIFAS</v>
      </c>
      <c r="L502" s="9" t="str">
        <f>if('Point Intercept 1'!L502 = 'Point Intercept 2'!L502, 'Point Intercept 1'!L502, "ERROR")</f>
        <v>Deinandra fasciculata</v>
      </c>
    </row>
    <row r="503">
      <c r="A503" s="9">
        <f>if('Point Intercept 1'!A503 = 'Point Intercept 2'!A503, 'Point Intercept 1'!A503, "ERROR")</f>
        <v>6</v>
      </c>
      <c r="B503" s="9">
        <f>if('Point Intercept 1'!B503 = 'Point Intercept 2'!B503, 'Point Intercept 1'!B503, "ERROR")</f>
        <v>2025</v>
      </c>
      <c r="C503" s="14">
        <f>if('Point Intercept 1'!C503 = 'Point Intercept 2'!C503, 'Point Intercept 1'!C503, "ERROR")</f>
        <v>45755</v>
      </c>
      <c r="D503" s="9" t="str">
        <f>if('Point Intercept 1'!D503 = 'Point Intercept 2'!D503, 'Point Intercept 1'!D503, "ERROR")</f>
        <v>JC, TL</v>
      </c>
      <c r="E503" s="9" t="str">
        <f>if('Point Intercept 1'!E503 = 'Point Intercept 2'!E503, 'Point Intercept 1'!E503, "ERROR")</f>
        <v>VB</v>
      </c>
      <c r="F503" s="9">
        <f>if('Point Intercept 1'!F503 = 'Point Intercept 2'!F503, 'Point Intercept 1'!F503, "ERROR")</f>
        <v>3</v>
      </c>
      <c r="G503" s="9" t="str">
        <f>if('Point Intercept 1'!G503 = 'Point Intercept 2'!G503, 'Point Intercept 1'!G503, "ERROR")</f>
        <v>SU</v>
      </c>
      <c r="H503" s="9">
        <f>if('Point Intercept 1'!I503 = 'Point Intercept 2'!I503, 'Point Intercept 1'!I503, "ERROR")</f>
        <v>1</v>
      </c>
      <c r="I503" s="9">
        <f>if('Point Intercept 1'!H503 = 'Point Intercept 2'!H503, 'Point Intercept 1'!H503, "ERROR")</f>
        <v>1</v>
      </c>
      <c r="J503" s="9">
        <f>if('Point Intercept 1'!J503 = 'Point Intercept 2'!J503, 'Point Intercept 1'!J503, "ERROR")</f>
        <v>0</v>
      </c>
      <c r="K503" s="9" t="str">
        <f>if('Point Intercept 1'!K503 = 'Point Intercept 2'!K503, 'Point Intercept 1'!K503, "ERROR")</f>
        <v>ANAARV</v>
      </c>
      <c r="L503" s="9" t="str">
        <f>if('Point Intercept 1'!L503 = 'Point Intercept 2'!L503, 'Point Intercept 1'!L503, "ERROR")</f>
        <v>Anagallis arvensis</v>
      </c>
    </row>
    <row r="504">
      <c r="A504" s="9">
        <f>if('Point Intercept 1'!A504 = 'Point Intercept 2'!A504, 'Point Intercept 1'!A504, "ERROR")</f>
        <v>6</v>
      </c>
      <c r="B504" s="9">
        <f>if('Point Intercept 1'!B504 = 'Point Intercept 2'!B504, 'Point Intercept 1'!B504, "ERROR")</f>
        <v>2025</v>
      </c>
      <c r="C504" s="14">
        <f>if('Point Intercept 1'!C504 = 'Point Intercept 2'!C504, 'Point Intercept 1'!C504, "ERROR")</f>
        <v>45755</v>
      </c>
      <c r="D504" s="9" t="str">
        <f>if('Point Intercept 1'!D504 = 'Point Intercept 2'!D504, 'Point Intercept 1'!D504, "ERROR")</f>
        <v>JC, TL</v>
      </c>
      <c r="E504" s="9" t="str">
        <f>if('Point Intercept 1'!E504 = 'Point Intercept 2'!E504, 'Point Intercept 1'!E504, "ERROR")</f>
        <v>VB</v>
      </c>
      <c r="F504" s="9">
        <f>if('Point Intercept 1'!F504 = 'Point Intercept 2'!F504, 'Point Intercept 1'!F504, "ERROR")</f>
        <v>3</v>
      </c>
      <c r="G504" s="9" t="str">
        <f>if('Point Intercept 1'!G504 = 'Point Intercept 2'!G504, 'Point Intercept 1'!G504, "ERROR")</f>
        <v>SU</v>
      </c>
      <c r="H504" s="9">
        <f>if('Point Intercept 1'!I504 = 'Point Intercept 2'!I504, 'Point Intercept 1'!I504, "ERROR")</f>
        <v>1</v>
      </c>
      <c r="I504" s="9">
        <f>if('Point Intercept 1'!H504 = 'Point Intercept 2'!H504, 'Point Intercept 1'!H504, "ERROR")</f>
        <v>1</v>
      </c>
      <c r="J504" s="9">
        <f>if('Point Intercept 1'!J504 = 'Point Intercept 2'!J504, 'Point Intercept 1'!J504, "ERROR")</f>
        <v>0</v>
      </c>
      <c r="K504" s="9" t="str">
        <f>if('Point Intercept 1'!K504 = 'Point Intercept 2'!K504, 'Point Intercept 1'!K504, "ERROR")</f>
        <v>EROCIC</v>
      </c>
      <c r="L504" s="9" t="str">
        <f>if('Point Intercept 1'!L504 = 'Point Intercept 2'!L504, 'Point Intercept 1'!L504, "ERROR")</f>
        <v>Erodium cicutarium</v>
      </c>
    </row>
    <row r="505">
      <c r="A505" s="9">
        <f>if('Point Intercept 1'!A505 = 'Point Intercept 2'!A505, 'Point Intercept 1'!A505, "ERROR")</f>
        <v>6</v>
      </c>
      <c r="B505" s="9">
        <f>if('Point Intercept 1'!B505 = 'Point Intercept 2'!B505, 'Point Intercept 1'!B505, "ERROR")</f>
        <v>2025</v>
      </c>
      <c r="C505" s="14">
        <f>if('Point Intercept 1'!C505 = 'Point Intercept 2'!C505, 'Point Intercept 1'!C505, "ERROR")</f>
        <v>45755</v>
      </c>
      <c r="D505" s="9" t="str">
        <f>if('Point Intercept 1'!D505 = 'Point Intercept 2'!D505, 'Point Intercept 1'!D505, "ERROR")</f>
        <v>JC, TL</v>
      </c>
      <c r="E505" s="9" t="str">
        <f>if('Point Intercept 1'!E505 = 'Point Intercept 2'!E505, 'Point Intercept 1'!E505, "ERROR")</f>
        <v>VB</v>
      </c>
      <c r="F505" s="9">
        <f>if('Point Intercept 1'!F505 = 'Point Intercept 2'!F505, 'Point Intercept 1'!F505, "ERROR")</f>
        <v>3</v>
      </c>
      <c r="G505" s="9" t="str">
        <f>if('Point Intercept 1'!G505 = 'Point Intercept 2'!G505, 'Point Intercept 1'!G505, "ERROR")</f>
        <v>SU</v>
      </c>
      <c r="H505" s="9">
        <f>if('Point Intercept 1'!I505 = 'Point Intercept 2'!I505, 'Point Intercept 1'!I505, "ERROR")</f>
        <v>2</v>
      </c>
      <c r="I505" s="9">
        <f>if('Point Intercept 1'!H505 = 'Point Intercept 2'!H505, 'Point Intercept 1'!H505, "ERROR")</f>
        <v>1</v>
      </c>
      <c r="J505" s="9">
        <f>if('Point Intercept 1'!J505 = 'Point Intercept 2'!J505, 'Point Intercept 1'!J505, "ERROR")</f>
        <v>1</v>
      </c>
      <c r="K505" s="9" t="str">
        <f>if('Point Intercept 1'!K505 = 'Point Intercept 2'!K505, 'Point Intercept 1'!K505, "ERROR")</f>
        <v>L</v>
      </c>
      <c r="L505" s="9" t="str">
        <f>if('Point Intercept 1'!L505 = 'Point Intercept 2'!L505, 'Point Intercept 1'!L505, "ERROR")</f>
        <v>Litter</v>
      </c>
    </row>
    <row r="506">
      <c r="A506" s="9">
        <f>if('Point Intercept 1'!A506 = 'Point Intercept 2'!A506, 'Point Intercept 1'!A506, "ERROR")</f>
        <v>6</v>
      </c>
      <c r="B506" s="9">
        <f>if('Point Intercept 1'!B506 = 'Point Intercept 2'!B506, 'Point Intercept 1'!B506, "ERROR")</f>
        <v>2025</v>
      </c>
      <c r="C506" s="14">
        <f>if('Point Intercept 1'!C506 = 'Point Intercept 2'!C506, 'Point Intercept 1'!C506, "ERROR")</f>
        <v>45755</v>
      </c>
      <c r="D506" s="9" t="str">
        <f>if('Point Intercept 1'!D506 = 'Point Intercept 2'!D506, 'Point Intercept 1'!D506, "ERROR")</f>
        <v>JC, TL</v>
      </c>
      <c r="E506" s="9" t="str">
        <f>if('Point Intercept 1'!E506 = 'Point Intercept 2'!E506, 'Point Intercept 1'!E506, "ERROR")</f>
        <v>VB</v>
      </c>
      <c r="F506" s="9">
        <f>if('Point Intercept 1'!F506 = 'Point Intercept 2'!F506, 'Point Intercept 1'!F506, "ERROR")</f>
        <v>3</v>
      </c>
      <c r="G506" s="9" t="str">
        <f>if('Point Intercept 1'!G506 = 'Point Intercept 2'!G506, 'Point Intercept 1'!G506, "ERROR")</f>
        <v>SU</v>
      </c>
      <c r="H506" s="9">
        <f>if('Point Intercept 1'!I506 = 'Point Intercept 2'!I506, 'Point Intercept 1'!I506, "ERROR")</f>
        <v>2</v>
      </c>
      <c r="I506" s="9">
        <f>if('Point Intercept 1'!H506 = 'Point Intercept 2'!H506, 'Point Intercept 1'!H506, "ERROR")</f>
        <v>1</v>
      </c>
      <c r="J506" s="9">
        <f>if('Point Intercept 1'!J506 = 'Point Intercept 2'!J506, 'Point Intercept 1'!J506, "ERROR")</f>
        <v>1</v>
      </c>
      <c r="K506" s="9" t="str">
        <f>if('Point Intercept 1'!K506 = 'Point Intercept 2'!K506, 'Point Intercept 1'!K506, "ERROR")</f>
        <v>CYLPRO</v>
      </c>
      <c r="L506" s="9" t="str">
        <f>if('Point Intercept 1'!L506 = 'Point Intercept 2'!L506, 'Point Intercept 1'!L506, "ERROR")</f>
        <v>Cylindropuntia prolifera</v>
      </c>
    </row>
    <row r="507">
      <c r="A507" s="9">
        <f>if('Point Intercept 1'!A507 = 'Point Intercept 2'!A507, 'Point Intercept 1'!A507, "ERROR")</f>
        <v>6</v>
      </c>
      <c r="B507" s="9">
        <f>if('Point Intercept 1'!B507 = 'Point Intercept 2'!B507, 'Point Intercept 1'!B507, "ERROR")</f>
        <v>2025</v>
      </c>
      <c r="C507" s="14">
        <f>if('Point Intercept 1'!C507 = 'Point Intercept 2'!C507, 'Point Intercept 1'!C507, "ERROR")</f>
        <v>45755</v>
      </c>
      <c r="D507" s="9" t="str">
        <f>if('Point Intercept 1'!D507 = 'Point Intercept 2'!D507, 'Point Intercept 1'!D507, "ERROR")</f>
        <v>JC, TL</v>
      </c>
      <c r="E507" s="9" t="str">
        <f>if('Point Intercept 1'!E507 = 'Point Intercept 2'!E507, 'Point Intercept 1'!E507, "ERROR")</f>
        <v>VB</v>
      </c>
      <c r="F507" s="9">
        <f>if('Point Intercept 1'!F507 = 'Point Intercept 2'!F507, 'Point Intercept 1'!F507, "ERROR")</f>
        <v>3</v>
      </c>
      <c r="G507" s="9" t="str">
        <f>if('Point Intercept 1'!G507 = 'Point Intercept 2'!G507, 'Point Intercept 1'!G507, "ERROR")</f>
        <v>SU</v>
      </c>
      <c r="H507" s="9">
        <f>if('Point Intercept 1'!I507 = 'Point Intercept 2'!I507, 'Point Intercept 1'!I507, "ERROR")</f>
        <v>2</v>
      </c>
      <c r="I507" s="9">
        <f>if('Point Intercept 1'!H507 = 'Point Intercept 2'!H507, 'Point Intercept 1'!H507, "ERROR")</f>
        <v>1</v>
      </c>
      <c r="J507" s="9">
        <f>if('Point Intercept 1'!J507 = 'Point Intercept 2'!J507, 'Point Intercept 1'!J507, "ERROR")</f>
        <v>1</v>
      </c>
      <c r="K507" s="9" t="str">
        <f>if('Point Intercept 1'!K507 = 'Point Intercept 2'!K507, 'Point Intercept 1'!K507, "ERROR")</f>
        <v>STEDIE</v>
      </c>
      <c r="L507" s="9" t="str">
        <f>if('Point Intercept 1'!L507 = 'Point Intercept 2'!L507, 'Point Intercept 1'!L507, "ERROR")</f>
        <v>Stephanomeria diegensis</v>
      </c>
    </row>
    <row r="508">
      <c r="A508" s="9">
        <f>if('Point Intercept 1'!A508 = 'Point Intercept 2'!A508, 'Point Intercept 1'!A508, "ERROR")</f>
        <v>6</v>
      </c>
      <c r="B508" s="9">
        <f>if('Point Intercept 1'!B508 = 'Point Intercept 2'!B508, 'Point Intercept 1'!B508, "ERROR")</f>
        <v>2025</v>
      </c>
      <c r="C508" s="14">
        <f>if('Point Intercept 1'!C508 = 'Point Intercept 2'!C508, 'Point Intercept 1'!C508, "ERROR")</f>
        <v>45755</v>
      </c>
      <c r="D508" s="9" t="str">
        <f>if('Point Intercept 1'!D508 = 'Point Intercept 2'!D508, 'Point Intercept 1'!D508, "ERROR")</f>
        <v>JC, TL</v>
      </c>
      <c r="E508" s="9" t="str">
        <f>if('Point Intercept 1'!E508 = 'Point Intercept 2'!E508, 'Point Intercept 1'!E508, "ERROR")</f>
        <v>VB</v>
      </c>
      <c r="F508" s="9">
        <f>if('Point Intercept 1'!F508 = 'Point Intercept 2'!F508, 'Point Intercept 1'!F508, "ERROR")</f>
        <v>3</v>
      </c>
      <c r="G508" s="9" t="str">
        <f>if('Point Intercept 1'!G508 = 'Point Intercept 2'!G508, 'Point Intercept 1'!G508, "ERROR")</f>
        <v>SU</v>
      </c>
      <c r="H508" s="9">
        <f>if('Point Intercept 1'!I508 = 'Point Intercept 2'!I508, 'Point Intercept 1'!I508, "ERROR")</f>
        <v>2</v>
      </c>
      <c r="I508" s="9">
        <f>if('Point Intercept 1'!H508 = 'Point Intercept 2'!H508, 'Point Intercept 1'!H508, "ERROR")</f>
        <v>1</v>
      </c>
      <c r="J508" s="9">
        <f>if('Point Intercept 1'!J508 = 'Point Intercept 2'!J508, 'Point Intercept 1'!J508, "ERROR")</f>
        <v>1</v>
      </c>
      <c r="K508" s="9" t="str">
        <f>if('Point Intercept 1'!K508 = 'Point Intercept 2'!K508, 'Point Intercept 1'!K508, "ERROR")</f>
        <v>FESMYU</v>
      </c>
      <c r="L508" s="9" t="str">
        <f>if('Point Intercept 1'!L508 = 'Point Intercept 2'!L508, 'Point Intercept 1'!L508, "ERROR")</f>
        <v>Festuca myuros</v>
      </c>
    </row>
    <row r="509">
      <c r="A509" s="9">
        <f>if('Point Intercept 1'!A509 = 'Point Intercept 2'!A509, 'Point Intercept 1'!A509, "ERROR")</f>
        <v>6</v>
      </c>
      <c r="B509" s="9">
        <f>if('Point Intercept 1'!B509 = 'Point Intercept 2'!B509, 'Point Intercept 1'!B509, "ERROR")</f>
        <v>2025</v>
      </c>
      <c r="C509" s="14">
        <f>if('Point Intercept 1'!C509 = 'Point Intercept 2'!C509, 'Point Intercept 1'!C509, "ERROR")</f>
        <v>45755</v>
      </c>
      <c r="D509" s="9" t="str">
        <f>if('Point Intercept 1'!D509 = 'Point Intercept 2'!D509, 'Point Intercept 1'!D509, "ERROR")</f>
        <v>JC, TL</v>
      </c>
      <c r="E509" s="9" t="str">
        <f>if('Point Intercept 1'!E509 = 'Point Intercept 2'!E509, 'Point Intercept 1'!E509, "ERROR")</f>
        <v>VB</v>
      </c>
      <c r="F509" s="9">
        <f>if('Point Intercept 1'!F509 = 'Point Intercept 2'!F509, 'Point Intercept 1'!F509, "ERROR")</f>
        <v>3</v>
      </c>
      <c r="G509" s="9" t="str">
        <f>if('Point Intercept 1'!G509 = 'Point Intercept 2'!G509, 'Point Intercept 1'!G509, "ERROR")</f>
        <v>SU</v>
      </c>
      <c r="H509" s="9">
        <f>if('Point Intercept 1'!I509 = 'Point Intercept 2'!I509, 'Point Intercept 1'!I509, "ERROR")</f>
        <v>3</v>
      </c>
      <c r="I509" s="9">
        <f>if('Point Intercept 1'!H509 = 'Point Intercept 2'!H509, 'Point Intercept 1'!H509, "ERROR")</f>
        <v>1</v>
      </c>
      <c r="J509" s="9">
        <f>if('Point Intercept 1'!J509 = 'Point Intercept 2'!J509, 'Point Intercept 1'!J509, "ERROR")</f>
        <v>2</v>
      </c>
      <c r="K509" s="9" t="str">
        <f>if('Point Intercept 1'!K509 = 'Point Intercept 2'!K509, 'Point Intercept 1'!K509, "ERROR")</f>
        <v>L</v>
      </c>
      <c r="L509" s="9" t="str">
        <f>if('Point Intercept 1'!L509 = 'Point Intercept 2'!L509, 'Point Intercept 1'!L509, "ERROR")</f>
        <v>Litter</v>
      </c>
    </row>
    <row r="510">
      <c r="A510" s="9">
        <f>if('Point Intercept 1'!A510 = 'Point Intercept 2'!A510, 'Point Intercept 1'!A510, "ERROR")</f>
        <v>6</v>
      </c>
      <c r="B510" s="9">
        <f>if('Point Intercept 1'!B510 = 'Point Intercept 2'!B510, 'Point Intercept 1'!B510, "ERROR")</f>
        <v>2025</v>
      </c>
      <c r="C510" s="14">
        <f>if('Point Intercept 1'!C510 = 'Point Intercept 2'!C510, 'Point Intercept 1'!C510, "ERROR")</f>
        <v>45755</v>
      </c>
      <c r="D510" s="9" t="str">
        <f>if('Point Intercept 1'!D510 = 'Point Intercept 2'!D510, 'Point Intercept 1'!D510, "ERROR")</f>
        <v>JC, TL</v>
      </c>
      <c r="E510" s="9" t="str">
        <f>if('Point Intercept 1'!E510 = 'Point Intercept 2'!E510, 'Point Intercept 1'!E510, "ERROR")</f>
        <v>VB</v>
      </c>
      <c r="F510" s="9">
        <f>if('Point Intercept 1'!F510 = 'Point Intercept 2'!F510, 'Point Intercept 1'!F510, "ERROR")</f>
        <v>3</v>
      </c>
      <c r="G510" s="9" t="str">
        <f>if('Point Intercept 1'!G510 = 'Point Intercept 2'!G510, 'Point Intercept 1'!G510, "ERROR")</f>
        <v>SU</v>
      </c>
      <c r="H510" s="9">
        <f>if('Point Intercept 1'!I510 = 'Point Intercept 2'!I510, 'Point Intercept 1'!I510, "ERROR")</f>
        <v>3</v>
      </c>
      <c r="I510" s="9">
        <f>if('Point Intercept 1'!H510 = 'Point Intercept 2'!H510, 'Point Intercept 1'!H510, "ERROR")</f>
        <v>1</v>
      </c>
      <c r="J510" s="9">
        <f>if('Point Intercept 1'!J510 = 'Point Intercept 2'!J510, 'Point Intercept 1'!J510, "ERROR")</f>
        <v>2</v>
      </c>
      <c r="K510" s="9" t="str">
        <f>if('Point Intercept 1'!K510 = 'Point Intercept 2'!K510, 'Point Intercept 1'!K510, "ERROR")</f>
        <v>FESMYU</v>
      </c>
      <c r="L510" s="9" t="str">
        <f>if('Point Intercept 1'!L510 = 'Point Intercept 2'!L510, 'Point Intercept 1'!L510, "ERROR")</f>
        <v>Festuca myuros</v>
      </c>
    </row>
    <row r="511">
      <c r="A511" s="9">
        <f>if('Point Intercept 1'!A511 = 'Point Intercept 2'!A511, 'Point Intercept 1'!A511, "ERROR")</f>
        <v>6</v>
      </c>
      <c r="B511" s="9">
        <f>if('Point Intercept 1'!B511 = 'Point Intercept 2'!B511, 'Point Intercept 1'!B511, "ERROR")</f>
        <v>2025</v>
      </c>
      <c r="C511" s="14">
        <f>if('Point Intercept 1'!C511 = 'Point Intercept 2'!C511, 'Point Intercept 1'!C511, "ERROR")</f>
        <v>45755</v>
      </c>
      <c r="D511" s="9" t="str">
        <f>if('Point Intercept 1'!D511 = 'Point Intercept 2'!D511, 'Point Intercept 1'!D511, "ERROR")</f>
        <v>JC, TL</v>
      </c>
      <c r="E511" s="9" t="str">
        <f>if('Point Intercept 1'!E511 = 'Point Intercept 2'!E511, 'Point Intercept 1'!E511, "ERROR")</f>
        <v>VB</v>
      </c>
      <c r="F511" s="9">
        <f>if('Point Intercept 1'!F511 = 'Point Intercept 2'!F511, 'Point Intercept 1'!F511, "ERROR")</f>
        <v>3</v>
      </c>
      <c r="G511" s="9" t="str">
        <f>if('Point Intercept 1'!G511 = 'Point Intercept 2'!G511, 'Point Intercept 1'!G511, "ERROR")</f>
        <v>SU</v>
      </c>
      <c r="H511" s="9">
        <f>if('Point Intercept 1'!I511 = 'Point Intercept 2'!I511, 'Point Intercept 1'!I511, "ERROR")</f>
        <v>3</v>
      </c>
      <c r="I511" s="9">
        <f>if('Point Intercept 1'!H511 = 'Point Intercept 2'!H511, 'Point Intercept 1'!H511, "ERROR")</f>
        <v>1</v>
      </c>
      <c r="J511" s="9">
        <f>if('Point Intercept 1'!J511 = 'Point Intercept 2'!J511, 'Point Intercept 1'!J511, "ERROR")</f>
        <v>2</v>
      </c>
      <c r="K511" s="9" t="str">
        <f>if('Point Intercept 1'!K511 = 'Point Intercept 2'!K511, 'Point Intercept 1'!K511, "ERROR")</f>
        <v>ANAARV</v>
      </c>
      <c r="L511" s="9" t="str">
        <f>if('Point Intercept 1'!L511 = 'Point Intercept 2'!L511, 'Point Intercept 1'!L511, "ERROR")</f>
        <v>Anagallis arvensis</v>
      </c>
    </row>
    <row r="512">
      <c r="A512" s="9">
        <f>if('Point Intercept 1'!A512 = 'Point Intercept 2'!A512, 'Point Intercept 1'!A512, "ERROR")</f>
        <v>6</v>
      </c>
      <c r="B512" s="9">
        <f>if('Point Intercept 1'!B512 = 'Point Intercept 2'!B512, 'Point Intercept 1'!B512, "ERROR")</f>
        <v>2025</v>
      </c>
      <c r="C512" s="14">
        <f>if('Point Intercept 1'!C512 = 'Point Intercept 2'!C512, 'Point Intercept 1'!C512, "ERROR")</f>
        <v>45755</v>
      </c>
      <c r="D512" s="9" t="str">
        <f>if('Point Intercept 1'!D512 = 'Point Intercept 2'!D512, 'Point Intercept 1'!D512, "ERROR")</f>
        <v>JC, TL</v>
      </c>
      <c r="E512" s="9" t="str">
        <f>if('Point Intercept 1'!E512 = 'Point Intercept 2'!E512, 'Point Intercept 1'!E512, "ERROR")</f>
        <v>VB</v>
      </c>
      <c r="F512" s="9">
        <f>if('Point Intercept 1'!F512 = 'Point Intercept 2'!F512, 'Point Intercept 1'!F512, "ERROR")</f>
        <v>3</v>
      </c>
      <c r="G512" s="9" t="str">
        <f>if('Point Intercept 1'!G512 = 'Point Intercept 2'!G512, 'Point Intercept 1'!G512, "ERROR")</f>
        <v>SU</v>
      </c>
      <c r="H512" s="9">
        <f>if('Point Intercept 1'!I512 = 'Point Intercept 2'!I512, 'Point Intercept 1'!I512, "ERROR")</f>
        <v>4</v>
      </c>
      <c r="I512" s="9">
        <f>if('Point Intercept 1'!H512 = 'Point Intercept 2'!H512, 'Point Intercept 1'!H512, "ERROR")</f>
        <v>1</v>
      </c>
      <c r="J512" s="9">
        <f>if('Point Intercept 1'!J512 = 'Point Intercept 2'!J512, 'Point Intercept 1'!J512, "ERROR")</f>
        <v>3</v>
      </c>
      <c r="K512" s="9" t="str">
        <f>if('Point Intercept 1'!K512 = 'Point Intercept 2'!K512, 'Point Intercept 1'!K512, "ERROR")</f>
        <v>L</v>
      </c>
      <c r="L512" s="9" t="str">
        <f>if('Point Intercept 1'!L512 = 'Point Intercept 2'!L512, 'Point Intercept 1'!L512, "ERROR")</f>
        <v>Litter</v>
      </c>
    </row>
    <row r="513">
      <c r="A513" s="9">
        <f>if('Point Intercept 1'!A513 = 'Point Intercept 2'!A513, 'Point Intercept 1'!A513, "ERROR")</f>
        <v>6</v>
      </c>
      <c r="B513" s="9">
        <f>if('Point Intercept 1'!B513 = 'Point Intercept 2'!B513, 'Point Intercept 1'!B513, "ERROR")</f>
        <v>2025</v>
      </c>
      <c r="C513" s="14">
        <f>if('Point Intercept 1'!C513 = 'Point Intercept 2'!C513, 'Point Intercept 1'!C513, "ERROR")</f>
        <v>45755</v>
      </c>
      <c r="D513" s="9" t="str">
        <f>if('Point Intercept 1'!D513 = 'Point Intercept 2'!D513, 'Point Intercept 1'!D513, "ERROR")</f>
        <v>JC, TL</v>
      </c>
      <c r="E513" s="9" t="str">
        <f>if('Point Intercept 1'!E513 = 'Point Intercept 2'!E513, 'Point Intercept 1'!E513, "ERROR")</f>
        <v>VB</v>
      </c>
      <c r="F513" s="9">
        <f>if('Point Intercept 1'!F513 = 'Point Intercept 2'!F513, 'Point Intercept 1'!F513, "ERROR")</f>
        <v>3</v>
      </c>
      <c r="G513" s="9" t="str">
        <f>if('Point Intercept 1'!G513 = 'Point Intercept 2'!G513, 'Point Intercept 1'!G513, "ERROR")</f>
        <v>SU</v>
      </c>
      <c r="H513" s="9">
        <f>if('Point Intercept 1'!I513 = 'Point Intercept 2'!I513, 'Point Intercept 1'!I513, "ERROR")</f>
        <v>4</v>
      </c>
      <c r="I513" s="9">
        <f>if('Point Intercept 1'!H513 = 'Point Intercept 2'!H513, 'Point Intercept 1'!H513, "ERROR")</f>
        <v>1</v>
      </c>
      <c r="J513" s="9">
        <f>if('Point Intercept 1'!J513 = 'Point Intercept 2'!J513, 'Point Intercept 1'!J513, "ERROR")</f>
        <v>3</v>
      </c>
      <c r="K513" s="9" t="str">
        <f>if('Point Intercept 1'!K513 = 'Point Intercept 2'!K513, 'Point Intercept 1'!K513, "ERROR")</f>
        <v>MEDPOL</v>
      </c>
      <c r="L513" s="9" t="str">
        <f>if('Point Intercept 1'!L513 = 'Point Intercept 2'!L513, 'Point Intercept 1'!L513, "ERROR")</f>
        <v>Medicago polymorpha</v>
      </c>
    </row>
    <row r="514">
      <c r="A514" s="9">
        <f>if('Point Intercept 1'!A514 = 'Point Intercept 2'!A514, 'Point Intercept 1'!A514, "ERROR")</f>
        <v>6</v>
      </c>
      <c r="B514" s="9">
        <f>if('Point Intercept 1'!B514 = 'Point Intercept 2'!B514, 'Point Intercept 1'!B514, "ERROR")</f>
        <v>2025</v>
      </c>
      <c r="C514" s="14">
        <f>if('Point Intercept 1'!C514 = 'Point Intercept 2'!C514, 'Point Intercept 1'!C514, "ERROR")</f>
        <v>45755</v>
      </c>
      <c r="D514" s="9" t="str">
        <f>if('Point Intercept 1'!D514 = 'Point Intercept 2'!D514, 'Point Intercept 1'!D514, "ERROR")</f>
        <v>JC, TL</v>
      </c>
      <c r="E514" s="9" t="str">
        <f>if('Point Intercept 1'!E514 = 'Point Intercept 2'!E514, 'Point Intercept 1'!E514, "ERROR")</f>
        <v>VB</v>
      </c>
      <c r="F514" s="9">
        <f>if('Point Intercept 1'!F514 = 'Point Intercept 2'!F514, 'Point Intercept 1'!F514, "ERROR")</f>
        <v>3</v>
      </c>
      <c r="G514" s="9" t="str">
        <f>if('Point Intercept 1'!G514 = 'Point Intercept 2'!G514, 'Point Intercept 1'!G514, "ERROR")</f>
        <v>SU</v>
      </c>
      <c r="H514" s="9">
        <f>if('Point Intercept 1'!I514 = 'Point Intercept 2'!I514, 'Point Intercept 1'!I514, "ERROR")</f>
        <v>4</v>
      </c>
      <c r="I514" s="9">
        <f>if('Point Intercept 1'!H514 = 'Point Intercept 2'!H514, 'Point Intercept 1'!H514, "ERROR")</f>
        <v>1</v>
      </c>
      <c r="J514" s="9">
        <f>if('Point Intercept 1'!J514 = 'Point Intercept 2'!J514, 'Point Intercept 1'!J514, "ERROR")</f>
        <v>3</v>
      </c>
      <c r="K514" s="9" t="str">
        <f>if('Point Intercept 1'!K514 = 'Point Intercept 2'!K514, 'Point Intercept 1'!K514, "ERROR")</f>
        <v>FESMYU</v>
      </c>
      <c r="L514" s="9" t="str">
        <f>if('Point Intercept 1'!L514 = 'Point Intercept 2'!L514, 'Point Intercept 1'!L514, "ERROR")</f>
        <v>Festuca myuros</v>
      </c>
    </row>
    <row r="515">
      <c r="A515" s="9">
        <f>if('Point Intercept 1'!A515 = 'Point Intercept 2'!A515, 'Point Intercept 1'!A515, "ERROR")</f>
        <v>6</v>
      </c>
      <c r="B515" s="9">
        <f>if('Point Intercept 1'!B515 = 'Point Intercept 2'!B515, 'Point Intercept 1'!B515, "ERROR")</f>
        <v>2025</v>
      </c>
      <c r="C515" s="14">
        <f>if('Point Intercept 1'!C515 = 'Point Intercept 2'!C515, 'Point Intercept 1'!C515, "ERROR")</f>
        <v>45755</v>
      </c>
      <c r="D515" s="9" t="str">
        <f>if('Point Intercept 1'!D515 = 'Point Intercept 2'!D515, 'Point Intercept 1'!D515, "ERROR")</f>
        <v>JC, TL</v>
      </c>
      <c r="E515" s="9" t="str">
        <f>if('Point Intercept 1'!E515 = 'Point Intercept 2'!E515, 'Point Intercept 1'!E515, "ERROR")</f>
        <v>VB</v>
      </c>
      <c r="F515" s="9">
        <f>if('Point Intercept 1'!F515 = 'Point Intercept 2'!F515, 'Point Intercept 1'!F515, "ERROR")</f>
        <v>3</v>
      </c>
      <c r="G515" s="9" t="str">
        <f>if('Point Intercept 1'!G515 = 'Point Intercept 2'!G515, 'Point Intercept 1'!G515, "ERROR")</f>
        <v>SU</v>
      </c>
      <c r="H515" s="9">
        <f>if('Point Intercept 1'!I515 = 'Point Intercept 2'!I515, 'Point Intercept 1'!I515, "ERROR")</f>
        <v>4</v>
      </c>
      <c r="I515" s="9">
        <f>if('Point Intercept 1'!H515 = 'Point Intercept 2'!H515, 'Point Intercept 1'!H515, "ERROR")</f>
        <v>1</v>
      </c>
      <c r="J515" s="9">
        <f>if('Point Intercept 1'!J515 = 'Point Intercept 2'!J515, 'Point Intercept 1'!J515, "ERROR")</f>
        <v>3</v>
      </c>
      <c r="K515" s="9" t="str">
        <f>if('Point Intercept 1'!K515 = 'Point Intercept 2'!K515, 'Point Intercept 1'!K515, "ERROR")</f>
        <v>SONOLE</v>
      </c>
      <c r="L515" s="9" t="str">
        <f>if('Point Intercept 1'!L515 = 'Point Intercept 2'!L515, 'Point Intercept 1'!L515, "ERROR")</f>
        <v>Sonchus oleraceus</v>
      </c>
    </row>
    <row r="516">
      <c r="A516" s="9">
        <f>if('Point Intercept 1'!A516 = 'Point Intercept 2'!A516, 'Point Intercept 1'!A516, "ERROR")</f>
        <v>6</v>
      </c>
      <c r="B516" s="9">
        <f>if('Point Intercept 1'!B516 = 'Point Intercept 2'!B516, 'Point Intercept 1'!B516, "ERROR")</f>
        <v>2025</v>
      </c>
      <c r="C516" s="14">
        <f>if('Point Intercept 1'!C516 = 'Point Intercept 2'!C516, 'Point Intercept 1'!C516, "ERROR")</f>
        <v>45755</v>
      </c>
      <c r="D516" s="9" t="str">
        <f>if('Point Intercept 1'!D516 = 'Point Intercept 2'!D516, 'Point Intercept 1'!D516, "ERROR")</f>
        <v>JC, TL</v>
      </c>
      <c r="E516" s="9" t="str">
        <f>if('Point Intercept 1'!E516 = 'Point Intercept 2'!E516, 'Point Intercept 1'!E516, "ERROR")</f>
        <v>VB</v>
      </c>
      <c r="F516" s="9">
        <f>if('Point Intercept 1'!F516 = 'Point Intercept 2'!F516, 'Point Intercept 1'!F516, "ERROR")</f>
        <v>3</v>
      </c>
      <c r="G516" s="9" t="str">
        <f>if('Point Intercept 1'!G516 = 'Point Intercept 2'!G516, 'Point Intercept 1'!G516, "ERROR")</f>
        <v>SU</v>
      </c>
      <c r="H516" s="9">
        <f>if('Point Intercept 1'!I516 = 'Point Intercept 2'!I516, 'Point Intercept 1'!I516, "ERROR")</f>
        <v>5</v>
      </c>
      <c r="I516" s="9">
        <f>if('Point Intercept 1'!H516 = 'Point Intercept 2'!H516, 'Point Intercept 1'!H516, "ERROR")</f>
        <v>1</v>
      </c>
      <c r="J516" s="9">
        <f>if('Point Intercept 1'!J516 = 'Point Intercept 2'!J516, 'Point Intercept 1'!J516, "ERROR")</f>
        <v>3.5</v>
      </c>
      <c r="K516" s="9" t="str">
        <f>if('Point Intercept 1'!K516 = 'Point Intercept 2'!K516, 'Point Intercept 1'!K516, "ERROR")</f>
        <v>L</v>
      </c>
      <c r="L516" s="9" t="str">
        <f>if('Point Intercept 1'!L516 = 'Point Intercept 2'!L516, 'Point Intercept 1'!L516, "ERROR")</f>
        <v>Litter</v>
      </c>
    </row>
    <row r="517">
      <c r="A517" s="9">
        <f>if('Point Intercept 1'!A517 = 'Point Intercept 2'!A517, 'Point Intercept 1'!A517, "ERROR")</f>
        <v>6</v>
      </c>
      <c r="B517" s="9">
        <f>if('Point Intercept 1'!B517 = 'Point Intercept 2'!B517, 'Point Intercept 1'!B517, "ERROR")</f>
        <v>2025</v>
      </c>
      <c r="C517" s="14">
        <f>if('Point Intercept 1'!C517 = 'Point Intercept 2'!C517, 'Point Intercept 1'!C517, "ERROR")</f>
        <v>45755</v>
      </c>
      <c r="D517" s="9" t="str">
        <f>if('Point Intercept 1'!D517 = 'Point Intercept 2'!D517, 'Point Intercept 1'!D517, "ERROR")</f>
        <v>JC, TL</v>
      </c>
      <c r="E517" s="9" t="str">
        <f>if('Point Intercept 1'!E517 = 'Point Intercept 2'!E517, 'Point Intercept 1'!E517, "ERROR")</f>
        <v>VB</v>
      </c>
      <c r="F517" s="9">
        <f>if('Point Intercept 1'!F517 = 'Point Intercept 2'!F517, 'Point Intercept 1'!F517, "ERROR")</f>
        <v>3</v>
      </c>
      <c r="G517" s="9" t="str">
        <f>if('Point Intercept 1'!G517 = 'Point Intercept 2'!G517, 'Point Intercept 1'!G517, "ERROR")</f>
        <v>SU</v>
      </c>
      <c r="H517" s="9">
        <f>if('Point Intercept 1'!I517 = 'Point Intercept 2'!I517, 'Point Intercept 1'!I517, "ERROR")</f>
        <v>5</v>
      </c>
      <c r="I517" s="9">
        <f>if('Point Intercept 1'!H517 = 'Point Intercept 2'!H517, 'Point Intercept 1'!H517, "ERROR")</f>
        <v>1</v>
      </c>
      <c r="J517" s="9">
        <f>if('Point Intercept 1'!J517 = 'Point Intercept 2'!J517, 'Point Intercept 1'!J517, "ERROR")</f>
        <v>3.5</v>
      </c>
      <c r="K517" s="9" t="str">
        <f>if('Point Intercept 1'!K517 = 'Point Intercept 2'!K517, 'Point Intercept 1'!K517, "ERROR")</f>
        <v>CRACON</v>
      </c>
      <c r="L517" s="9" t="str">
        <f>if('Point Intercept 1'!L517 = 'Point Intercept 2'!L517, 'Point Intercept 1'!L517, "ERROR")</f>
        <v>Crassula connata</v>
      </c>
    </row>
    <row r="518">
      <c r="A518" s="9">
        <f>if('Point Intercept 1'!A518 = 'Point Intercept 2'!A518, 'Point Intercept 1'!A518, "ERROR")</f>
        <v>6</v>
      </c>
      <c r="B518" s="9">
        <f>if('Point Intercept 1'!B518 = 'Point Intercept 2'!B518, 'Point Intercept 1'!B518, "ERROR")</f>
        <v>2025</v>
      </c>
      <c r="C518" s="14">
        <f>if('Point Intercept 1'!C518 = 'Point Intercept 2'!C518, 'Point Intercept 1'!C518, "ERROR")</f>
        <v>45755</v>
      </c>
      <c r="D518" s="9" t="str">
        <f>if('Point Intercept 1'!D518 = 'Point Intercept 2'!D518, 'Point Intercept 1'!D518, "ERROR")</f>
        <v>JC, TL</v>
      </c>
      <c r="E518" s="9" t="str">
        <f>if('Point Intercept 1'!E518 = 'Point Intercept 2'!E518, 'Point Intercept 1'!E518, "ERROR")</f>
        <v>VB</v>
      </c>
      <c r="F518" s="9">
        <f>if('Point Intercept 1'!F518 = 'Point Intercept 2'!F518, 'Point Intercept 1'!F518, "ERROR")</f>
        <v>3</v>
      </c>
      <c r="G518" s="9" t="str">
        <f>if('Point Intercept 1'!G518 = 'Point Intercept 2'!G518, 'Point Intercept 1'!G518, "ERROR")</f>
        <v>SU</v>
      </c>
      <c r="H518" s="9">
        <f>if('Point Intercept 1'!I518 = 'Point Intercept 2'!I518, 'Point Intercept 1'!I518, "ERROR")</f>
        <v>5</v>
      </c>
      <c r="I518" s="9">
        <f>if('Point Intercept 1'!H518 = 'Point Intercept 2'!H518, 'Point Intercept 1'!H518, "ERROR")</f>
        <v>1</v>
      </c>
      <c r="J518" s="9">
        <f>if('Point Intercept 1'!J518 = 'Point Intercept 2'!J518, 'Point Intercept 1'!J518, "ERROR")</f>
        <v>3.5</v>
      </c>
      <c r="K518" s="9" t="str">
        <f>if('Point Intercept 1'!K518 = 'Point Intercept 2'!K518, 'Point Intercept 1'!K518, "ERROR")</f>
        <v>FESMYU</v>
      </c>
      <c r="L518" s="9" t="str">
        <f>if('Point Intercept 1'!L518 = 'Point Intercept 2'!L518, 'Point Intercept 1'!L518, "ERROR")</f>
        <v>Festuca myuros</v>
      </c>
    </row>
    <row r="519">
      <c r="A519" s="9">
        <f>if('Point Intercept 1'!A519 = 'Point Intercept 2'!A519, 'Point Intercept 1'!A519, "ERROR")</f>
        <v>6</v>
      </c>
      <c r="B519" s="9">
        <f>if('Point Intercept 1'!B519 = 'Point Intercept 2'!B519, 'Point Intercept 1'!B519, "ERROR")</f>
        <v>2025</v>
      </c>
      <c r="C519" s="14">
        <f>if('Point Intercept 1'!C519 = 'Point Intercept 2'!C519, 'Point Intercept 1'!C519, "ERROR")</f>
        <v>45755</v>
      </c>
      <c r="D519" s="9" t="str">
        <f>if('Point Intercept 1'!D519 = 'Point Intercept 2'!D519, 'Point Intercept 1'!D519, "ERROR")</f>
        <v>JC, TL</v>
      </c>
      <c r="E519" s="9" t="str">
        <f>if('Point Intercept 1'!E519 = 'Point Intercept 2'!E519, 'Point Intercept 1'!E519, "ERROR")</f>
        <v>VB</v>
      </c>
      <c r="F519" s="9">
        <f>if('Point Intercept 1'!F519 = 'Point Intercept 2'!F519, 'Point Intercept 1'!F519, "ERROR")</f>
        <v>3</v>
      </c>
      <c r="G519" s="9" t="str">
        <f>if('Point Intercept 1'!G519 = 'Point Intercept 2'!G519, 'Point Intercept 1'!G519, "ERROR")</f>
        <v>SU</v>
      </c>
      <c r="H519" s="9">
        <f>if('Point Intercept 1'!I519 = 'Point Intercept 2'!I519, 'Point Intercept 1'!I519, "ERROR")</f>
        <v>5</v>
      </c>
      <c r="I519" s="9">
        <f>if('Point Intercept 1'!H519 = 'Point Intercept 2'!H519, 'Point Intercept 1'!H519, "ERROR")</f>
        <v>1</v>
      </c>
      <c r="J519" s="9">
        <f>if('Point Intercept 1'!J519 = 'Point Intercept 2'!J519, 'Point Intercept 1'!J519, "ERROR")</f>
        <v>3.5</v>
      </c>
      <c r="K519" s="9" t="str">
        <f>if('Point Intercept 1'!K519 = 'Point Intercept 2'!K519, 'Point Intercept 1'!K519, "ERROR")</f>
        <v>MEDPOL</v>
      </c>
      <c r="L519" s="9" t="str">
        <f>if('Point Intercept 1'!L519 = 'Point Intercept 2'!L519, 'Point Intercept 1'!L519, "ERROR")</f>
        <v>Medicago polymorpha</v>
      </c>
    </row>
    <row r="520">
      <c r="A520" s="9">
        <f>if('Point Intercept 1'!A520 = 'Point Intercept 2'!A520, 'Point Intercept 1'!A520, "ERROR")</f>
        <v>6</v>
      </c>
      <c r="B520" s="9">
        <f>if('Point Intercept 1'!B520 = 'Point Intercept 2'!B520, 'Point Intercept 1'!B520, "ERROR")</f>
        <v>2025</v>
      </c>
      <c r="C520" s="14">
        <f>if('Point Intercept 1'!C520 = 'Point Intercept 2'!C520, 'Point Intercept 1'!C520, "ERROR")</f>
        <v>45755</v>
      </c>
      <c r="D520" s="9" t="str">
        <f>if('Point Intercept 1'!D520 = 'Point Intercept 2'!D520, 'Point Intercept 1'!D520, "ERROR")</f>
        <v>JC, TL</v>
      </c>
      <c r="E520" s="9" t="str">
        <f>if('Point Intercept 1'!E520 = 'Point Intercept 2'!E520, 'Point Intercept 1'!E520, "ERROR")</f>
        <v>VB</v>
      </c>
      <c r="F520" s="9">
        <f>if('Point Intercept 1'!F520 = 'Point Intercept 2'!F520, 'Point Intercept 1'!F520, "ERROR")</f>
        <v>3</v>
      </c>
      <c r="G520" s="9" t="str">
        <f>if('Point Intercept 1'!G520 = 'Point Intercept 2'!G520, 'Point Intercept 1'!G520, "ERROR")</f>
        <v>SU</v>
      </c>
      <c r="H520" s="9">
        <f>if('Point Intercept 1'!I520 = 'Point Intercept 2'!I520, 'Point Intercept 1'!I520, "ERROR")</f>
        <v>6</v>
      </c>
      <c r="I520" s="9">
        <f>if('Point Intercept 1'!H520 = 'Point Intercept 2'!H520, 'Point Intercept 1'!H520, "ERROR")</f>
        <v>1</v>
      </c>
      <c r="J520" s="9">
        <f>if('Point Intercept 1'!J520 = 'Point Intercept 2'!J520, 'Point Intercept 1'!J520, "ERROR")</f>
        <v>4</v>
      </c>
      <c r="K520" s="9" t="str">
        <f>if('Point Intercept 1'!K520 = 'Point Intercept 2'!K520, 'Point Intercept 1'!K520, "ERROR")</f>
        <v>L</v>
      </c>
      <c r="L520" s="9" t="str">
        <f>if('Point Intercept 1'!L520 = 'Point Intercept 2'!L520, 'Point Intercept 1'!L520, "ERROR")</f>
        <v>Litter</v>
      </c>
    </row>
    <row r="521">
      <c r="A521" s="9">
        <f>if('Point Intercept 1'!A521 = 'Point Intercept 2'!A521, 'Point Intercept 1'!A521, "ERROR")</f>
        <v>6</v>
      </c>
      <c r="B521" s="9">
        <f>if('Point Intercept 1'!B521 = 'Point Intercept 2'!B521, 'Point Intercept 1'!B521, "ERROR")</f>
        <v>2025</v>
      </c>
      <c r="C521" s="14">
        <f>if('Point Intercept 1'!C521 = 'Point Intercept 2'!C521, 'Point Intercept 1'!C521, "ERROR")</f>
        <v>45755</v>
      </c>
      <c r="D521" s="9" t="str">
        <f>if('Point Intercept 1'!D521 = 'Point Intercept 2'!D521, 'Point Intercept 1'!D521, "ERROR")</f>
        <v>JC, TL</v>
      </c>
      <c r="E521" s="9" t="str">
        <f>if('Point Intercept 1'!E521 = 'Point Intercept 2'!E521, 'Point Intercept 1'!E521, "ERROR")</f>
        <v>VB</v>
      </c>
      <c r="F521" s="9">
        <f>if('Point Intercept 1'!F521 = 'Point Intercept 2'!F521, 'Point Intercept 1'!F521, "ERROR")</f>
        <v>3</v>
      </c>
      <c r="G521" s="9" t="str">
        <f>if('Point Intercept 1'!G521 = 'Point Intercept 2'!G521, 'Point Intercept 1'!G521, "ERROR")</f>
        <v>SU</v>
      </c>
      <c r="H521" s="9">
        <f>if('Point Intercept 1'!I521 = 'Point Intercept 2'!I521, 'Point Intercept 1'!I521, "ERROR")</f>
        <v>6</v>
      </c>
      <c r="I521" s="9">
        <f>if('Point Intercept 1'!H521 = 'Point Intercept 2'!H521, 'Point Intercept 1'!H521, "ERROR")</f>
        <v>1</v>
      </c>
      <c r="J521" s="9">
        <f>if('Point Intercept 1'!J521 = 'Point Intercept 2'!J521, 'Point Intercept 1'!J521, "ERROR")</f>
        <v>4</v>
      </c>
      <c r="K521" s="9" t="str">
        <f>if('Point Intercept 1'!K521 = 'Point Intercept 2'!K521, 'Point Intercept 1'!K521, "ERROR")</f>
        <v>MEDPOL</v>
      </c>
      <c r="L521" s="9" t="str">
        <f>if('Point Intercept 1'!L521 = 'Point Intercept 2'!L521, 'Point Intercept 1'!L521, "ERROR")</f>
        <v>Medicago polymorpha</v>
      </c>
    </row>
    <row r="522">
      <c r="A522" s="9">
        <f>if('Point Intercept 1'!A522 = 'Point Intercept 2'!A522, 'Point Intercept 1'!A522, "ERROR")</f>
        <v>6</v>
      </c>
      <c r="B522" s="9">
        <f>if('Point Intercept 1'!B522 = 'Point Intercept 2'!B522, 'Point Intercept 1'!B522, "ERROR")</f>
        <v>2025</v>
      </c>
      <c r="C522" s="14">
        <f>if('Point Intercept 1'!C522 = 'Point Intercept 2'!C522, 'Point Intercept 1'!C522, "ERROR")</f>
        <v>45755</v>
      </c>
      <c r="D522" s="9" t="str">
        <f>if('Point Intercept 1'!D522 = 'Point Intercept 2'!D522, 'Point Intercept 1'!D522, "ERROR")</f>
        <v>JC, TL</v>
      </c>
      <c r="E522" s="9" t="str">
        <f>if('Point Intercept 1'!E522 = 'Point Intercept 2'!E522, 'Point Intercept 1'!E522, "ERROR")</f>
        <v>VB</v>
      </c>
      <c r="F522" s="9">
        <f>if('Point Intercept 1'!F522 = 'Point Intercept 2'!F522, 'Point Intercept 1'!F522, "ERROR")</f>
        <v>3</v>
      </c>
      <c r="G522" s="9" t="str">
        <f>if('Point Intercept 1'!G522 = 'Point Intercept 2'!G522, 'Point Intercept 1'!G522, "ERROR")</f>
        <v>SU</v>
      </c>
      <c r="H522" s="9">
        <f>if('Point Intercept 1'!I522 = 'Point Intercept 2'!I522, 'Point Intercept 1'!I522, "ERROR")</f>
        <v>6</v>
      </c>
      <c r="I522" s="9">
        <f>if('Point Intercept 1'!H522 = 'Point Intercept 2'!H522, 'Point Intercept 1'!H522, "ERROR")</f>
        <v>1</v>
      </c>
      <c r="J522" s="9">
        <f>if('Point Intercept 1'!J522 = 'Point Intercept 2'!J522, 'Point Intercept 1'!J522, "ERROR")</f>
        <v>4</v>
      </c>
      <c r="K522" s="9" t="str">
        <f>if('Point Intercept 1'!K522 = 'Point Intercept 2'!K522, 'Point Intercept 1'!K522, "ERROR")</f>
        <v>DEIFAS</v>
      </c>
      <c r="L522" s="9" t="str">
        <f>if('Point Intercept 1'!L522 = 'Point Intercept 2'!L522, 'Point Intercept 1'!L522, "ERROR")</f>
        <v>Deinandra fasciculata</v>
      </c>
    </row>
    <row r="523">
      <c r="A523" s="9">
        <f>if('Point Intercept 1'!A523 = 'Point Intercept 2'!A523, 'Point Intercept 1'!A523, "ERROR")</f>
        <v>6</v>
      </c>
      <c r="B523" s="9">
        <f>if('Point Intercept 1'!B523 = 'Point Intercept 2'!B523, 'Point Intercept 1'!B523, "ERROR")</f>
        <v>2025</v>
      </c>
      <c r="C523" s="14">
        <f>if('Point Intercept 1'!C523 = 'Point Intercept 2'!C523, 'Point Intercept 1'!C523, "ERROR")</f>
        <v>45755</v>
      </c>
      <c r="D523" s="9" t="str">
        <f>if('Point Intercept 1'!D523 = 'Point Intercept 2'!D523, 'Point Intercept 1'!D523, "ERROR")</f>
        <v>JC, TL</v>
      </c>
      <c r="E523" s="9" t="str">
        <f>if('Point Intercept 1'!E523 = 'Point Intercept 2'!E523, 'Point Intercept 1'!E523, "ERROR")</f>
        <v>VB</v>
      </c>
      <c r="F523" s="9">
        <f>if('Point Intercept 1'!F523 = 'Point Intercept 2'!F523, 'Point Intercept 1'!F523, "ERROR")</f>
        <v>3</v>
      </c>
      <c r="G523" s="9" t="str">
        <f>if('Point Intercept 1'!G523 = 'Point Intercept 2'!G523, 'Point Intercept 1'!G523, "ERROR")</f>
        <v>SU</v>
      </c>
      <c r="H523" s="9">
        <f>if('Point Intercept 1'!I523 = 'Point Intercept 2'!I523, 'Point Intercept 1'!I523, "ERROR")</f>
        <v>6</v>
      </c>
      <c r="I523" s="9">
        <f>if('Point Intercept 1'!H523 = 'Point Intercept 2'!H523, 'Point Intercept 1'!H523, "ERROR")</f>
        <v>1</v>
      </c>
      <c r="J523" s="9">
        <f>if('Point Intercept 1'!J523 = 'Point Intercept 2'!J523, 'Point Intercept 1'!J523, "ERROR")</f>
        <v>4</v>
      </c>
      <c r="K523" s="9" t="str">
        <f>if('Point Intercept 1'!K523 = 'Point Intercept 2'!K523, 'Point Intercept 1'!K523, "ERROR")</f>
        <v>FESMYU</v>
      </c>
      <c r="L523" s="9" t="str">
        <f>if('Point Intercept 1'!L523 = 'Point Intercept 2'!L523, 'Point Intercept 1'!L523, "ERROR")</f>
        <v>Festuca myuros</v>
      </c>
    </row>
    <row r="524">
      <c r="A524" s="9">
        <f>if('Point Intercept 1'!A524 = 'Point Intercept 2'!A524, 'Point Intercept 1'!A524, "ERROR")</f>
        <v>6</v>
      </c>
      <c r="B524" s="9">
        <f>if('Point Intercept 1'!B524 = 'Point Intercept 2'!B524, 'Point Intercept 1'!B524, "ERROR")</f>
        <v>2025</v>
      </c>
      <c r="C524" s="14">
        <f>if('Point Intercept 1'!C524 = 'Point Intercept 2'!C524, 'Point Intercept 1'!C524, "ERROR")</f>
        <v>45755</v>
      </c>
      <c r="D524" s="9" t="str">
        <f>if('Point Intercept 1'!D524 = 'Point Intercept 2'!D524, 'Point Intercept 1'!D524, "ERROR")</f>
        <v>JC, TL</v>
      </c>
      <c r="E524" s="9" t="str">
        <f>if('Point Intercept 1'!E524 = 'Point Intercept 2'!E524, 'Point Intercept 1'!E524, "ERROR")</f>
        <v>VB</v>
      </c>
      <c r="F524" s="9">
        <f>if('Point Intercept 1'!F524 = 'Point Intercept 2'!F524, 'Point Intercept 1'!F524, "ERROR")</f>
        <v>3</v>
      </c>
      <c r="G524" s="9" t="str">
        <f>if('Point Intercept 1'!G524 = 'Point Intercept 2'!G524, 'Point Intercept 1'!G524, "ERROR")</f>
        <v>SU</v>
      </c>
      <c r="H524" s="9">
        <f>if('Point Intercept 1'!I524 = 'Point Intercept 2'!I524, 'Point Intercept 1'!I524, "ERROR")</f>
        <v>7</v>
      </c>
      <c r="I524" s="9">
        <f>if('Point Intercept 1'!H524 = 'Point Intercept 2'!H524, 'Point Intercept 1'!H524, "ERROR")</f>
        <v>1</v>
      </c>
      <c r="J524" s="9">
        <f>if('Point Intercept 1'!J524 = 'Point Intercept 2'!J524, 'Point Intercept 1'!J524, "ERROR")</f>
        <v>5</v>
      </c>
      <c r="K524" s="9" t="str">
        <f>if('Point Intercept 1'!K524 = 'Point Intercept 2'!K524, 'Point Intercept 1'!K524, "ERROR")</f>
        <v>L</v>
      </c>
      <c r="L524" s="9" t="str">
        <f>if('Point Intercept 1'!L524 = 'Point Intercept 2'!L524, 'Point Intercept 1'!L524, "ERROR")</f>
        <v>Litter</v>
      </c>
    </row>
    <row r="525">
      <c r="A525" s="9">
        <f>if('Point Intercept 1'!A525 = 'Point Intercept 2'!A525, 'Point Intercept 1'!A525, "ERROR")</f>
        <v>6</v>
      </c>
      <c r="B525" s="9">
        <f>if('Point Intercept 1'!B525 = 'Point Intercept 2'!B525, 'Point Intercept 1'!B525, "ERROR")</f>
        <v>2025</v>
      </c>
      <c r="C525" s="14">
        <f>if('Point Intercept 1'!C525 = 'Point Intercept 2'!C525, 'Point Intercept 1'!C525, "ERROR")</f>
        <v>45755</v>
      </c>
      <c r="D525" s="9" t="str">
        <f>if('Point Intercept 1'!D525 = 'Point Intercept 2'!D525, 'Point Intercept 1'!D525, "ERROR")</f>
        <v>JC, TL</v>
      </c>
      <c r="E525" s="9" t="str">
        <f>if('Point Intercept 1'!E525 = 'Point Intercept 2'!E525, 'Point Intercept 1'!E525, "ERROR")</f>
        <v>VB</v>
      </c>
      <c r="F525" s="9">
        <f>if('Point Intercept 1'!F525 = 'Point Intercept 2'!F525, 'Point Intercept 1'!F525, "ERROR")</f>
        <v>3</v>
      </c>
      <c r="G525" s="9" t="str">
        <f>if('Point Intercept 1'!G525 = 'Point Intercept 2'!G525, 'Point Intercept 1'!G525, "ERROR")</f>
        <v>SU</v>
      </c>
      <c r="H525" s="9">
        <f>if('Point Intercept 1'!I525 = 'Point Intercept 2'!I525, 'Point Intercept 1'!I525, "ERROR")</f>
        <v>7</v>
      </c>
      <c r="I525" s="9">
        <f>if('Point Intercept 1'!H525 = 'Point Intercept 2'!H525, 'Point Intercept 1'!H525, "ERROR")</f>
        <v>1</v>
      </c>
      <c r="J525" s="9">
        <f>if('Point Intercept 1'!J525 = 'Point Intercept 2'!J525, 'Point Intercept 1'!J525, "ERROR")</f>
        <v>5</v>
      </c>
      <c r="K525" s="9" t="str">
        <f>if('Point Intercept 1'!K525 = 'Point Intercept 2'!K525, 'Point Intercept 1'!K525, "ERROR")</f>
        <v>GALAPA</v>
      </c>
      <c r="L525" s="9" t="str">
        <f>if('Point Intercept 1'!L525 = 'Point Intercept 2'!L525, 'Point Intercept 1'!L525, "ERROR")</f>
        <v>Galium aparine</v>
      </c>
    </row>
    <row r="526">
      <c r="A526" s="9">
        <f>if('Point Intercept 1'!A526 = 'Point Intercept 2'!A526, 'Point Intercept 1'!A526, "ERROR")</f>
        <v>6</v>
      </c>
      <c r="B526" s="9">
        <f>if('Point Intercept 1'!B526 = 'Point Intercept 2'!B526, 'Point Intercept 1'!B526, "ERROR")</f>
        <v>2025</v>
      </c>
      <c r="C526" s="14">
        <f>if('Point Intercept 1'!C526 = 'Point Intercept 2'!C526, 'Point Intercept 1'!C526, "ERROR")</f>
        <v>45755</v>
      </c>
      <c r="D526" s="9" t="str">
        <f>if('Point Intercept 1'!D526 = 'Point Intercept 2'!D526, 'Point Intercept 1'!D526, "ERROR")</f>
        <v>JC, TL</v>
      </c>
      <c r="E526" s="9" t="str">
        <f>if('Point Intercept 1'!E526 = 'Point Intercept 2'!E526, 'Point Intercept 1'!E526, "ERROR")</f>
        <v>VB</v>
      </c>
      <c r="F526" s="9">
        <f>if('Point Intercept 1'!F526 = 'Point Intercept 2'!F526, 'Point Intercept 1'!F526, "ERROR")</f>
        <v>3</v>
      </c>
      <c r="G526" s="9" t="str">
        <f>if('Point Intercept 1'!G526 = 'Point Intercept 2'!G526, 'Point Intercept 1'!G526, "ERROR")</f>
        <v>SU</v>
      </c>
      <c r="H526" s="9">
        <f>if('Point Intercept 1'!I526 = 'Point Intercept 2'!I526, 'Point Intercept 1'!I526, "ERROR")</f>
        <v>7</v>
      </c>
      <c r="I526" s="9">
        <f>if('Point Intercept 1'!H526 = 'Point Intercept 2'!H526, 'Point Intercept 1'!H526, "ERROR")</f>
        <v>1</v>
      </c>
      <c r="J526" s="9">
        <f>if('Point Intercept 1'!J526 = 'Point Intercept 2'!J526, 'Point Intercept 1'!J526, "ERROR")</f>
        <v>5</v>
      </c>
      <c r="K526" s="9" t="str">
        <f>if('Point Intercept 1'!K526 = 'Point Intercept 2'!K526, 'Point Intercept 1'!K526, "ERROR")</f>
        <v>FESMYU</v>
      </c>
      <c r="L526" s="9" t="str">
        <f>if('Point Intercept 1'!L526 = 'Point Intercept 2'!L526, 'Point Intercept 1'!L526, "ERROR")</f>
        <v>Festuca myuros</v>
      </c>
    </row>
    <row r="527">
      <c r="A527" s="9">
        <f>if('Point Intercept 1'!A527 = 'Point Intercept 2'!A527, 'Point Intercept 1'!A527, "ERROR")</f>
        <v>6</v>
      </c>
      <c r="B527" s="9">
        <f>if('Point Intercept 1'!B527 = 'Point Intercept 2'!B527, 'Point Intercept 1'!B527, "ERROR")</f>
        <v>2025</v>
      </c>
      <c r="C527" s="14">
        <f>if('Point Intercept 1'!C527 = 'Point Intercept 2'!C527, 'Point Intercept 1'!C527, "ERROR")</f>
        <v>45755</v>
      </c>
      <c r="D527" s="9" t="str">
        <f>if('Point Intercept 1'!D527 = 'Point Intercept 2'!D527, 'Point Intercept 1'!D527, "ERROR")</f>
        <v>JC, TL</v>
      </c>
      <c r="E527" s="9" t="str">
        <f>if('Point Intercept 1'!E527 = 'Point Intercept 2'!E527, 'Point Intercept 1'!E527, "ERROR")</f>
        <v>VB</v>
      </c>
      <c r="F527" s="9">
        <f>if('Point Intercept 1'!F527 = 'Point Intercept 2'!F527, 'Point Intercept 1'!F527, "ERROR")</f>
        <v>3</v>
      </c>
      <c r="G527" s="9" t="str">
        <f>if('Point Intercept 1'!G527 = 'Point Intercept 2'!G527, 'Point Intercept 1'!G527, "ERROR")</f>
        <v>SU</v>
      </c>
      <c r="H527" s="9">
        <f>if('Point Intercept 1'!I527 = 'Point Intercept 2'!I527, 'Point Intercept 1'!I527, "ERROR")</f>
        <v>7</v>
      </c>
      <c r="I527" s="9">
        <f>if('Point Intercept 1'!H527 = 'Point Intercept 2'!H527, 'Point Intercept 1'!H527, "ERROR")</f>
        <v>1</v>
      </c>
      <c r="J527" s="9">
        <f>if('Point Intercept 1'!J527 = 'Point Intercept 2'!J527, 'Point Intercept 1'!J527, "ERROR")</f>
        <v>5</v>
      </c>
      <c r="K527" s="9" t="str">
        <f>if('Point Intercept 1'!K527 = 'Point Intercept 2'!K527, 'Point Intercept 1'!K527, "ERROR")</f>
        <v>OPULIT</v>
      </c>
      <c r="L527" s="9" t="str">
        <f>if('Point Intercept 1'!L527 = 'Point Intercept 2'!L527, 'Point Intercept 1'!L527, "ERROR")</f>
        <v>Opuntia littoralis</v>
      </c>
    </row>
    <row r="528">
      <c r="A528" s="9">
        <f>if('Point Intercept 1'!A528 = 'Point Intercept 2'!A528, 'Point Intercept 1'!A528, "ERROR")</f>
        <v>6</v>
      </c>
      <c r="B528" s="9">
        <f>if('Point Intercept 1'!B528 = 'Point Intercept 2'!B528, 'Point Intercept 1'!B528, "ERROR")</f>
        <v>2025</v>
      </c>
      <c r="C528" s="14">
        <f>if('Point Intercept 1'!C528 = 'Point Intercept 2'!C528, 'Point Intercept 1'!C528, "ERROR")</f>
        <v>45755</v>
      </c>
      <c r="D528" s="9" t="str">
        <f>if('Point Intercept 1'!D528 = 'Point Intercept 2'!D528, 'Point Intercept 1'!D528, "ERROR")</f>
        <v>JC, TL</v>
      </c>
      <c r="E528" s="9" t="str">
        <f>if('Point Intercept 1'!E528 = 'Point Intercept 2'!E528, 'Point Intercept 1'!E528, "ERROR")</f>
        <v>VB</v>
      </c>
      <c r="F528" s="9">
        <f>if('Point Intercept 1'!F528 = 'Point Intercept 2'!F528, 'Point Intercept 1'!F528, "ERROR")</f>
        <v>3</v>
      </c>
      <c r="G528" s="9" t="str">
        <f>if('Point Intercept 1'!G528 = 'Point Intercept 2'!G528, 'Point Intercept 1'!G528, "ERROR")</f>
        <v>SU</v>
      </c>
      <c r="H528" s="9">
        <f>if('Point Intercept 1'!I528 = 'Point Intercept 2'!I528, 'Point Intercept 1'!I528, "ERROR")</f>
        <v>8</v>
      </c>
      <c r="I528" s="9">
        <f>if('Point Intercept 1'!H528 = 'Point Intercept 2'!H528, 'Point Intercept 1'!H528, "ERROR")</f>
        <v>1</v>
      </c>
      <c r="J528" s="9">
        <f>if('Point Intercept 1'!J528 = 'Point Intercept 2'!J528, 'Point Intercept 1'!J528, "ERROR")</f>
        <v>7</v>
      </c>
      <c r="K528" s="9" t="str">
        <f>if('Point Intercept 1'!K528 = 'Point Intercept 2'!K528, 'Point Intercept 1'!K528, "ERROR")</f>
        <v>L</v>
      </c>
      <c r="L528" s="9" t="str">
        <f>if('Point Intercept 1'!L528 = 'Point Intercept 2'!L528, 'Point Intercept 1'!L528, "ERROR")</f>
        <v>Litter</v>
      </c>
    </row>
    <row r="529">
      <c r="A529" s="9">
        <f>if('Point Intercept 1'!A529 = 'Point Intercept 2'!A529, 'Point Intercept 1'!A529, "ERROR")</f>
        <v>6</v>
      </c>
      <c r="B529" s="9">
        <f>if('Point Intercept 1'!B529 = 'Point Intercept 2'!B529, 'Point Intercept 1'!B529, "ERROR")</f>
        <v>2025</v>
      </c>
      <c r="C529" s="14">
        <f>if('Point Intercept 1'!C529 = 'Point Intercept 2'!C529, 'Point Intercept 1'!C529, "ERROR")</f>
        <v>45755</v>
      </c>
      <c r="D529" s="9" t="str">
        <f>if('Point Intercept 1'!D529 = 'Point Intercept 2'!D529, 'Point Intercept 1'!D529, "ERROR")</f>
        <v>JC, TL</v>
      </c>
      <c r="E529" s="9" t="str">
        <f>if('Point Intercept 1'!E529 = 'Point Intercept 2'!E529, 'Point Intercept 1'!E529, "ERROR")</f>
        <v>VB</v>
      </c>
      <c r="F529" s="9">
        <f>if('Point Intercept 1'!F529 = 'Point Intercept 2'!F529, 'Point Intercept 1'!F529, "ERROR")</f>
        <v>3</v>
      </c>
      <c r="G529" s="9" t="str">
        <f>if('Point Intercept 1'!G529 = 'Point Intercept 2'!G529, 'Point Intercept 1'!G529, "ERROR")</f>
        <v>SU</v>
      </c>
      <c r="H529" s="9">
        <f>if('Point Intercept 1'!I529 = 'Point Intercept 2'!I529, 'Point Intercept 1'!I529, "ERROR")</f>
        <v>8</v>
      </c>
      <c r="I529" s="9">
        <f>if('Point Intercept 1'!H529 = 'Point Intercept 2'!H529, 'Point Intercept 1'!H529, "ERROR")</f>
        <v>1</v>
      </c>
      <c r="J529" s="9">
        <f>if('Point Intercept 1'!J529 = 'Point Intercept 2'!J529, 'Point Intercept 1'!J529, "ERROR")</f>
        <v>7</v>
      </c>
      <c r="K529" s="9" t="str">
        <f>if('Point Intercept 1'!K529 = 'Point Intercept 2'!K529, 'Point Intercept 1'!K529, "ERROR")</f>
        <v>DEIFAS</v>
      </c>
      <c r="L529" s="9" t="str">
        <f>if('Point Intercept 1'!L529 = 'Point Intercept 2'!L529, 'Point Intercept 1'!L529, "ERROR")</f>
        <v>Deinandra fasciculata</v>
      </c>
    </row>
    <row r="530">
      <c r="A530" s="9">
        <f>if('Point Intercept 1'!A530 = 'Point Intercept 2'!A530, 'Point Intercept 1'!A530, "ERROR")</f>
        <v>6</v>
      </c>
      <c r="B530" s="9">
        <f>if('Point Intercept 1'!B530 = 'Point Intercept 2'!B530, 'Point Intercept 1'!B530, "ERROR")</f>
        <v>2025</v>
      </c>
      <c r="C530" s="14">
        <f>if('Point Intercept 1'!C530 = 'Point Intercept 2'!C530, 'Point Intercept 1'!C530, "ERROR")</f>
        <v>45755</v>
      </c>
      <c r="D530" s="9" t="str">
        <f>if('Point Intercept 1'!D530 = 'Point Intercept 2'!D530, 'Point Intercept 1'!D530, "ERROR")</f>
        <v>JC, TL</v>
      </c>
      <c r="E530" s="9" t="str">
        <f>if('Point Intercept 1'!E530 = 'Point Intercept 2'!E530, 'Point Intercept 1'!E530, "ERROR")</f>
        <v>VB</v>
      </c>
      <c r="F530" s="9">
        <f>if('Point Intercept 1'!F530 = 'Point Intercept 2'!F530, 'Point Intercept 1'!F530, "ERROR")</f>
        <v>3</v>
      </c>
      <c r="G530" s="9" t="str">
        <f>if('Point Intercept 1'!G530 = 'Point Intercept 2'!G530, 'Point Intercept 1'!G530, "ERROR")</f>
        <v>SU</v>
      </c>
      <c r="H530" s="9">
        <f>if('Point Intercept 1'!I530 = 'Point Intercept 2'!I530, 'Point Intercept 1'!I530, "ERROR")</f>
        <v>8</v>
      </c>
      <c r="I530" s="9">
        <f>if('Point Intercept 1'!H530 = 'Point Intercept 2'!H530, 'Point Intercept 1'!H530, "ERROR")</f>
        <v>1</v>
      </c>
      <c r="J530" s="9">
        <f>if('Point Intercept 1'!J530 = 'Point Intercept 2'!J530, 'Point Intercept 1'!J530, "ERROR")</f>
        <v>7</v>
      </c>
      <c r="K530" s="9" t="str">
        <f>if('Point Intercept 1'!K530 = 'Point Intercept 2'!K530, 'Point Intercept 1'!K530, "ERROR")</f>
        <v>FESMYU</v>
      </c>
      <c r="L530" s="9" t="str">
        <f>if('Point Intercept 1'!L530 = 'Point Intercept 2'!L530, 'Point Intercept 1'!L530, "ERROR")</f>
        <v>Festuca myuros</v>
      </c>
    </row>
    <row r="531">
      <c r="A531" s="9">
        <f>if('Point Intercept 1'!A531 = 'Point Intercept 2'!A531, 'Point Intercept 1'!A531, "ERROR")</f>
        <v>6</v>
      </c>
      <c r="B531" s="9">
        <f>if('Point Intercept 1'!B531 = 'Point Intercept 2'!B531, 'Point Intercept 1'!B531, "ERROR")</f>
        <v>2025</v>
      </c>
      <c r="C531" s="14">
        <f>if('Point Intercept 1'!C531 = 'Point Intercept 2'!C531, 'Point Intercept 1'!C531, "ERROR")</f>
        <v>45755</v>
      </c>
      <c r="D531" s="9" t="str">
        <f>if('Point Intercept 1'!D531 = 'Point Intercept 2'!D531, 'Point Intercept 1'!D531, "ERROR")</f>
        <v>JC, TL</v>
      </c>
      <c r="E531" s="9" t="str">
        <f>if('Point Intercept 1'!E531 = 'Point Intercept 2'!E531, 'Point Intercept 1'!E531, "ERROR")</f>
        <v>VB</v>
      </c>
      <c r="F531" s="9">
        <f>if('Point Intercept 1'!F531 = 'Point Intercept 2'!F531, 'Point Intercept 1'!F531, "ERROR")</f>
        <v>3</v>
      </c>
      <c r="G531" s="9" t="str">
        <f>if('Point Intercept 1'!G531 = 'Point Intercept 2'!G531, 'Point Intercept 1'!G531, "ERROR")</f>
        <v>SU</v>
      </c>
      <c r="H531" s="9">
        <f>if('Point Intercept 1'!I531 = 'Point Intercept 2'!I531, 'Point Intercept 1'!I531, "ERROR")</f>
        <v>9</v>
      </c>
      <c r="I531" s="9">
        <f>if('Point Intercept 1'!H531 = 'Point Intercept 2'!H531, 'Point Intercept 1'!H531, "ERROR")</f>
        <v>1</v>
      </c>
      <c r="J531" s="9">
        <f>if('Point Intercept 1'!J531 = 'Point Intercept 2'!J531, 'Point Intercept 1'!J531, "ERROR")</f>
        <v>8</v>
      </c>
      <c r="K531" s="9" t="str">
        <f>if('Point Intercept 1'!K531 = 'Point Intercept 2'!K531, 'Point Intercept 1'!K531, "ERROR")</f>
        <v>L</v>
      </c>
      <c r="L531" s="9" t="str">
        <f>if('Point Intercept 1'!L531 = 'Point Intercept 2'!L531, 'Point Intercept 1'!L531, "ERROR")</f>
        <v>Litter</v>
      </c>
    </row>
    <row r="532">
      <c r="A532" s="9">
        <f>if('Point Intercept 1'!A532 = 'Point Intercept 2'!A532, 'Point Intercept 1'!A532, "ERROR")</f>
        <v>6</v>
      </c>
      <c r="B532" s="9">
        <f>if('Point Intercept 1'!B532 = 'Point Intercept 2'!B532, 'Point Intercept 1'!B532, "ERROR")</f>
        <v>2025</v>
      </c>
      <c r="C532" s="14">
        <f>if('Point Intercept 1'!C532 = 'Point Intercept 2'!C532, 'Point Intercept 1'!C532, "ERROR")</f>
        <v>45755</v>
      </c>
      <c r="D532" s="9" t="str">
        <f>if('Point Intercept 1'!D532 = 'Point Intercept 2'!D532, 'Point Intercept 1'!D532, "ERROR")</f>
        <v>JC, TL</v>
      </c>
      <c r="E532" s="9" t="str">
        <f>if('Point Intercept 1'!E532 = 'Point Intercept 2'!E532, 'Point Intercept 1'!E532, "ERROR")</f>
        <v>VB</v>
      </c>
      <c r="F532" s="9">
        <f>if('Point Intercept 1'!F532 = 'Point Intercept 2'!F532, 'Point Intercept 1'!F532, "ERROR")</f>
        <v>3</v>
      </c>
      <c r="G532" s="9" t="str">
        <f>if('Point Intercept 1'!G532 = 'Point Intercept 2'!G532, 'Point Intercept 1'!G532, "ERROR")</f>
        <v>SU</v>
      </c>
      <c r="H532" s="9">
        <f>if('Point Intercept 1'!I532 = 'Point Intercept 2'!I532, 'Point Intercept 1'!I532, "ERROR")</f>
        <v>9</v>
      </c>
      <c r="I532" s="9">
        <f>if('Point Intercept 1'!H532 = 'Point Intercept 2'!H532, 'Point Intercept 1'!H532, "ERROR")</f>
        <v>1</v>
      </c>
      <c r="J532" s="9">
        <f>if('Point Intercept 1'!J532 = 'Point Intercept 2'!J532, 'Point Intercept 1'!J532, "ERROR")</f>
        <v>8</v>
      </c>
      <c r="K532" s="9" t="str">
        <f>if('Point Intercept 1'!K532 = 'Point Intercept 2'!K532, 'Point Intercept 1'!K532, "ERROR")</f>
        <v>DEIFAS</v>
      </c>
      <c r="L532" s="9" t="str">
        <f>if('Point Intercept 1'!L532 = 'Point Intercept 2'!L532, 'Point Intercept 1'!L532, "ERROR")</f>
        <v>Deinandra fasciculata</v>
      </c>
    </row>
    <row r="533">
      <c r="A533" s="9">
        <f>if('Point Intercept 1'!A533 = 'Point Intercept 2'!A533, 'Point Intercept 1'!A533, "ERROR")</f>
        <v>6</v>
      </c>
      <c r="B533" s="9">
        <f>if('Point Intercept 1'!B533 = 'Point Intercept 2'!B533, 'Point Intercept 1'!B533, "ERROR")</f>
        <v>2025</v>
      </c>
      <c r="C533" s="14">
        <f>if('Point Intercept 1'!C533 = 'Point Intercept 2'!C533, 'Point Intercept 1'!C533, "ERROR")</f>
        <v>45755</v>
      </c>
      <c r="D533" s="9" t="str">
        <f>if('Point Intercept 1'!D533 = 'Point Intercept 2'!D533, 'Point Intercept 1'!D533, "ERROR")</f>
        <v>JC, TL</v>
      </c>
      <c r="E533" s="9" t="str">
        <f>if('Point Intercept 1'!E533 = 'Point Intercept 2'!E533, 'Point Intercept 1'!E533, "ERROR")</f>
        <v>VB</v>
      </c>
      <c r="F533" s="9">
        <f>if('Point Intercept 1'!F533 = 'Point Intercept 2'!F533, 'Point Intercept 1'!F533, "ERROR")</f>
        <v>3</v>
      </c>
      <c r="G533" s="9" t="str">
        <f>if('Point Intercept 1'!G533 = 'Point Intercept 2'!G533, 'Point Intercept 1'!G533, "ERROR")</f>
        <v>SU</v>
      </c>
      <c r="H533" s="9">
        <f>if('Point Intercept 1'!I533 = 'Point Intercept 2'!I533, 'Point Intercept 1'!I533, "ERROR")</f>
        <v>10</v>
      </c>
      <c r="I533" s="9">
        <f>if('Point Intercept 1'!H533 = 'Point Intercept 2'!H533, 'Point Intercept 1'!H533, "ERROR")</f>
        <v>1</v>
      </c>
      <c r="J533" s="9">
        <f>if('Point Intercept 1'!J533 = 'Point Intercept 2'!J533, 'Point Intercept 1'!J533, "ERROR")</f>
        <v>8.5</v>
      </c>
      <c r="K533" s="9" t="str">
        <f>if('Point Intercept 1'!K533 = 'Point Intercept 2'!K533, 'Point Intercept 1'!K533, "ERROR")</f>
        <v>L</v>
      </c>
      <c r="L533" s="9" t="str">
        <f>if('Point Intercept 1'!L533 = 'Point Intercept 2'!L533, 'Point Intercept 1'!L533, "ERROR")</f>
        <v>Litter</v>
      </c>
    </row>
    <row r="534">
      <c r="A534" s="9">
        <f>if('Point Intercept 1'!A534 = 'Point Intercept 2'!A534, 'Point Intercept 1'!A534, "ERROR")</f>
        <v>6</v>
      </c>
      <c r="B534" s="9">
        <f>if('Point Intercept 1'!B534 = 'Point Intercept 2'!B534, 'Point Intercept 1'!B534, "ERROR")</f>
        <v>2025</v>
      </c>
      <c r="C534" s="14">
        <f>if('Point Intercept 1'!C534 = 'Point Intercept 2'!C534, 'Point Intercept 1'!C534, "ERROR")</f>
        <v>45755</v>
      </c>
      <c r="D534" s="9" t="str">
        <f>if('Point Intercept 1'!D534 = 'Point Intercept 2'!D534, 'Point Intercept 1'!D534, "ERROR")</f>
        <v>JC, TL</v>
      </c>
      <c r="E534" s="9" t="str">
        <f>if('Point Intercept 1'!E534 = 'Point Intercept 2'!E534, 'Point Intercept 1'!E534, "ERROR")</f>
        <v>VB</v>
      </c>
      <c r="F534" s="9">
        <f>if('Point Intercept 1'!F534 = 'Point Intercept 2'!F534, 'Point Intercept 1'!F534, "ERROR")</f>
        <v>3</v>
      </c>
      <c r="G534" s="9" t="str">
        <f>if('Point Intercept 1'!G534 = 'Point Intercept 2'!G534, 'Point Intercept 1'!G534, "ERROR")</f>
        <v>SU</v>
      </c>
      <c r="H534" s="9">
        <f>if('Point Intercept 1'!I534 = 'Point Intercept 2'!I534, 'Point Intercept 1'!I534, "ERROR")</f>
        <v>10</v>
      </c>
      <c r="I534" s="9">
        <f>if('Point Intercept 1'!H534 = 'Point Intercept 2'!H534, 'Point Intercept 1'!H534, "ERROR")</f>
        <v>1</v>
      </c>
      <c r="J534" s="9">
        <f>if('Point Intercept 1'!J534 = 'Point Intercept 2'!J534, 'Point Intercept 1'!J534, "ERROR")</f>
        <v>8.5</v>
      </c>
      <c r="K534" s="9" t="str">
        <f>if('Point Intercept 1'!K534 = 'Point Intercept 2'!K534, 'Point Intercept 1'!K534, "ERROR")</f>
        <v>DEIFAS</v>
      </c>
      <c r="L534" s="9" t="str">
        <f>if('Point Intercept 1'!L534 = 'Point Intercept 2'!L534, 'Point Intercept 1'!L534, "ERROR")</f>
        <v>Deinandra fasciculata</v>
      </c>
    </row>
    <row r="535">
      <c r="A535" s="9">
        <f>if('Point Intercept 1'!A535 = 'Point Intercept 2'!A535, 'Point Intercept 1'!A535, "ERROR")</f>
        <v>6</v>
      </c>
      <c r="B535" s="9">
        <f>if('Point Intercept 1'!B535 = 'Point Intercept 2'!B535, 'Point Intercept 1'!B535, "ERROR")</f>
        <v>2025</v>
      </c>
      <c r="C535" s="14">
        <f>if('Point Intercept 1'!C535 = 'Point Intercept 2'!C535, 'Point Intercept 1'!C535, "ERROR")</f>
        <v>45755</v>
      </c>
      <c r="D535" s="9" t="str">
        <f>if('Point Intercept 1'!D535 = 'Point Intercept 2'!D535, 'Point Intercept 1'!D535, "ERROR")</f>
        <v>JC, TL</v>
      </c>
      <c r="E535" s="9" t="str">
        <f>if('Point Intercept 1'!E535 = 'Point Intercept 2'!E535, 'Point Intercept 1'!E535, "ERROR")</f>
        <v>VB</v>
      </c>
      <c r="F535" s="9">
        <f>if('Point Intercept 1'!F535 = 'Point Intercept 2'!F535, 'Point Intercept 1'!F535, "ERROR")</f>
        <v>3</v>
      </c>
      <c r="G535" s="9" t="str">
        <f>if('Point Intercept 1'!G535 = 'Point Intercept 2'!G535, 'Point Intercept 1'!G535, "ERROR")</f>
        <v>SU</v>
      </c>
      <c r="H535" s="9">
        <f>if('Point Intercept 1'!I535 = 'Point Intercept 2'!I535, 'Point Intercept 1'!I535, "ERROR")</f>
        <v>10</v>
      </c>
      <c r="I535" s="9">
        <f>if('Point Intercept 1'!H535 = 'Point Intercept 2'!H535, 'Point Intercept 1'!H535, "ERROR")</f>
        <v>1</v>
      </c>
      <c r="J535" s="9">
        <f>if('Point Intercept 1'!J535 = 'Point Intercept 2'!J535, 'Point Intercept 1'!J535, "ERROR")</f>
        <v>8.5</v>
      </c>
      <c r="K535" s="9" t="str">
        <f>if('Point Intercept 1'!K535 = 'Point Intercept 2'!K535, 'Point Intercept 1'!K535, "ERROR")</f>
        <v>FESMYU</v>
      </c>
      <c r="L535" s="9" t="str">
        <f>if('Point Intercept 1'!L535 = 'Point Intercept 2'!L535, 'Point Intercept 1'!L535, "ERROR")</f>
        <v>Festuca myuros</v>
      </c>
    </row>
    <row r="536">
      <c r="A536" s="9">
        <f>if('Point Intercept 1'!A536 = 'Point Intercept 2'!A536, 'Point Intercept 1'!A536, "ERROR")</f>
        <v>6</v>
      </c>
      <c r="B536" s="9">
        <f>if('Point Intercept 1'!B536 = 'Point Intercept 2'!B536, 'Point Intercept 1'!B536, "ERROR")</f>
        <v>2025</v>
      </c>
      <c r="C536" s="14">
        <f>if('Point Intercept 1'!C536 = 'Point Intercept 2'!C536, 'Point Intercept 1'!C536, "ERROR")</f>
        <v>45755</v>
      </c>
      <c r="D536" s="9" t="str">
        <f>if('Point Intercept 1'!D536 = 'Point Intercept 2'!D536, 'Point Intercept 1'!D536, "ERROR")</f>
        <v>JC, TL</v>
      </c>
      <c r="E536" s="9" t="str">
        <f>if('Point Intercept 1'!E536 = 'Point Intercept 2'!E536, 'Point Intercept 1'!E536, "ERROR")</f>
        <v>VB</v>
      </c>
      <c r="F536" s="9">
        <f>if('Point Intercept 1'!F536 = 'Point Intercept 2'!F536, 'Point Intercept 1'!F536, "ERROR")</f>
        <v>3</v>
      </c>
      <c r="G536" s="9" t="str">
        <f>if('Point Intercept 1'!G536 = 'Point Intercept 2'!G536, 'Point Intercept 1'!G536, "ERROR")</f>
        <v>SU</v>
      </c>
      <c r="H536" s="9">
        <f>if('Point Intercept 1'!I536 = 'Point Intercept 2'!I536, 'Point Intercept 1'!I536, "ERROR")</f>
        <v>11</v>
      </c>
      <c r="I536" s="9">
        <f>if('Point Intercept 1'!H536 = 'Point Intercept 2'!H536, 'Point Intercept 1'!H536, "ERROR")</f>
        <v>1</v>
      </c>
      <c r="J536" s="9">
        <f>if('Point Intercept 1'!J536 = 'Point Intercept 2'!J536, 'Point Intercept 1'!J536, "ERROR")</f>
        <v>9</v>
      </c>
      <c r="K536" s="9" t="str">
        <f>if('Point Intercept 1'!K536 = 'Point Intercept 2'!K536, 'Point Intercept 1'!K536, "ERROR")</f>
        <v>L</v>
      </c>
      <c r="L536" s="9" t="str">
        <f>if('Point Intercept 1'!L536 = 'Point Intercept 2'!L536, 'Point Intercept 1'!L536, "ERROR")</f>
        <v>Litter</v>
      </c>
    </row>
    <row r="537">
      <c r="A537" s="9">
        <f>if('Point Intercept 1'!A537 = 'Point Intercept 2'!A537, 'Point Intercept 1'!A537, "ERROR")</f>
        <v>6</v>
      </c>
      <c r="B537" s="9">
        <f>if('Point Intercept 1'!B537 = 'Point Intercept 2'!B537, 'Point Intercept 1'!B537, "ERROR")</f>
        <v>2025</v>
      </c>
      <c r="C537" s="14">
        <f>if('Point Intercept 1'!C537 = 'Point Intercept 2'!C537, 'Point Intercept 1'!C537, "ERROR")</f>
        <v>45755</v>
      </c>
      <c r="D537" s="9" t="str">
        <f>if('Point Intercept 1'!D537 = 'Point Intercept 2'!D537, 'Point Intercept 1'!D537, "ERROR")</f>
        <v>JC, TL</v>
      </c>
      <c r="E537" s="9" t="str">
        <f>if('Point Intercept 1'!E537 = 'Point Intercept 2'!E537, 'Point Intercept 1'!E537, "ERROR")</f>
        <v>VB</v>
      </c>
      <c r="F537" s="9">
        <f>if('Point Intercept 1'!F537 = 'Point Intercept 2'!F537, 'Point Intercept 1'!F537, "ERROR")</f>
        <v>3</v>
      </c>
      <c r="G537" s="9" t="str">
        <f>if('Point Intercept 1'!G537 = 'Point Intercept 2'!G537, 'Point Intercept 1'!G537, "ERROR")</f>
        <v>SU</v>
      </c>
      <c r="H537" s="9">
        <f>if('Point Intercept 1'!I537 = 'Point Intercept 2'!I537, 'Point Intercept 1'!I537, "ERROR")</f>
        <v>11</v>
      </c>
      <c r="I537" s="9">
        <f>if('Point Intercept 1'!H537 = 'Point Intercept 2'!H537, 'Point Intercept 1'!H537, "ERROR")</f>
        <v>1</v>
      </c>
      <c r="J537" s="9">
        <f>if('Point Intercept 1'!J537 = 'Point Intercept 2'!J537, 'Point Intercept 1'!J537, "ERROR")</f>
        <v>9</v>
      </c>
      <c r="K537" s="9" t="str">
        <f>if('Point Intercept 1'!K537 = 'Point Intercept 2'!K537, 'Point Intercept 1'!K537, "ERROR")</f>
        <v>FESMYU</v>
      </c>
      <c r="L537" s="9" t="str">
        <f>if('Point Intercept 1'!L537 = 'Point Intercept 2'!L537, 'Point Intercept 1'!L537, "ERROR")</f>
        <v>Festuca myuros</v>
      </c>
    </row>
    <row r="538">
      <c r="A538" s="9">
        <f>if('Point Intercept 1'!A538 = 'Point Intercept 2'!A538, 'Point Intercept 1'!A538, "ERROR")</f>
        <v>6</v>
      </c>
      <c r="B538" s="9">
        <f>if('Point Intercept 1'!B538 = 'Point Intercept 2'!B538, 'Point Intercept 1'!B538, "ERROR")</f>
        <v>2025</v>
      </c>
      <c r="C538" s="14">
        <f>if('Point Intercept 1'!C538 = 'Point Intercept 2'!C538, 'Point Intercept 1'!C538, "ERROR")</f>
        <v>45755</v>
      </c>
      <c r="D538" s="9" t="str">
        <f>if('Point Intercept 1'!D538 = 'Point Intercept 2'!D538, 'Point Intercept 1'!D538, "ERROR")</f>
        <v>JC, TL</v>
      </c>
      <c r="E538" s="9" t="str">
        <f>if('Point Intercept 1'!E538 = 'Point Intercept 2'!E538, 'Point Intercept 1'!E538, "ERROR")</f>
        <v>VB</v>
      </c>
      <c r="F538" s="9">
        <f>if('Point Intercept 1'!F538 = 'Point Intercept 2'!F538, 'Point Intercept 1'!F538, "ERROR")</f>
        <v>3</v>
      </c>
      <c r="G538" s="9" t="str">
        <f>if('Point Intercept 1'!G538 = 'Point Intercept 2'!G538, 'Point Intercept 1'!G538, "ERROR")</f>
        <v>SU</v>
      </c>
      <c r="H538" s="9">
        <f>if('Point Intercept 1'!I538 = 'Point Intercept 2'!I538, 'Point Intercept 1'!I538, "ERROR")</f>
        <v>11</v>
      </c>
      <c r="I538" s="9">
        <f>if('Point Intercept 1'!H538 = 'Point Intercept 2'!H538, 'Point Intercept 1'!H538, "ERROR")</f>
        <v>1</v>
      </c>
      <c r="J538" s="9">
        <f>if('Point Intercept 1'!J538 = 'Point Intercept 2'!J538, 'Point Intercept 1'!J538, "ERROR")</f>
        <v>9</v>
      </c>
      <c r="K538" s="9" t="str">
        <f>if('Point Intercept 1'!K538 = 'Point Intercept 2'!K538, 'Point Intercept 1'!K538, "ERROR")</f>
        <v>DEIFAS</v>
      </c>
      <c r="L538" s="9" t="str">
        <f>if('Point Intercept 1'!L538 = 'Point Intercept 2'!L538, 'Point Intercept 1'!L538, "ERROR")</f>
        <v>Deinandra fasciculata</v>
      </c>
    </row>
    <row r="539">
      <c r="A539" s="9">
        <f>if('Point Intercept 1'!A539 = 'Point Intercept 2'!A539, 'Point Intercept 1'!A539, "ERROR")</f>
        <v>6</v>
      </c>
      <c r="B539" s="9">
        <f>if('Point Intercept 1'!B539 = 'Point Intercept 2'!B539, 'Point Intercept 1'!B539, "ERROR")</f>
        <v>2025</v>
      </c>
      <c r="C539" s="14">
        <f>if('Point Intercept 1'!C539 = 'Point Intercept 2'!C539, 'Point Intercept 1'!C539, "ERROR")</f>
        <v>45755</v>
      </c>
      <c r="D539" s="9" t="str">
        <f>if('Point Intercept 1'!D539 = 'Point Intercept 2'!D539, 'Point Intercept 1'!D539, "ERROR")</f>
        <v>JC, TL</v>
      </c>
      <c r="E539" s="9" t="str">
        <f>if('Point Intercept 1'!E539 = 'Point Intercept 2'!E539, 'Point Intercept 1'!E539, "ERROR")</f>
        <v>VB</v>
      </c>
      <c r="F539" s="9">
        <f>if('Point Intercept 1'!F539 = 'Point Intercept 2'!F539, 'Point Intercept 1'!F539, "ERROR")</f>
        <v>3</v>
      </c>
      <c r="G539" s="9" t="str">
        <f>if('Point Intercept 1'!G539 = 'Point Intercept 2'!G539, 'Point Intercept 1'!G539, "ERROR")</f>
        <v>SU</v>
      </c>
      <c r="H539" s="9">
        <f>if('Point Intercept 1'!I539 = 'Point Intercept 2'!I539, 'Point Intercept 1'!I539, "ERROR")</f>
        <v>12</v>
      </c>
      <c r="I539" s="9">
        <f>if('Point Intercept 1'!H539 = 'Point Intercept 2'!H539, 'Point Intercept 1'!H539, "ERROR")</f>
        <v>1</v>
      </c>
      <c r="J539" s="9">
        <f>if('Point Intercept 1'!J539 = 'Point Intercept 2'!J539, 'Point Intercept 1'!J539, "ERROR")</f>
        <v>10</v>
      </c>
      <c r="K539" s="9" t="str">
        <f>if('Point Intercept 1'!K539 = 'Point Intercept 2'!K539, 'Point Intercept 1'!K539, "ERROR")</f>
        <v>B</v>
      </c>
      <c r="L539" s="9" t="str">
        <f>if('Point Intercept 1'!L539 = 'Point Intercept 2'!L539, 'Point Intercept 1'!L539, "ERROR")</f>
        <v>Bareground</v>
      </c>
    </row>
    <row r="540">
      <c r="A540" s="9">
        <f>if('Point Intercept 1'!A540 = 'Point Intercept 2'!A540, 'Point Intercept 1'!A540, "ERROR")</f>
        <v>6</v>
      </c>
      <c r="B540" s="9">
        <f>if('Point Intercept 1'!B540 = 'Point Intercept 2'!B540, 'Point Intercept 1'!B540, "ERROR")</f>
        <v>2025</v>
      </c>
      <c r="C540" s="14">
        <f>if('Point Intercept 1'!C540 = 'Point Intercept 2'!C540, 'Point Intercept 1'!C540, "ERROR")</f>
        <v>45755</v>
      </c>
      <c r="D540" s="9" t="str">
        <f>if('Point Intercept 1'!D540 = 'Point Intercept 2'!D540, 'Point Intercept 1'!D540, "ERROR")</f>
        <v>JC, TL</v>
      </c>
      <c r="E540" s="9" t="str">
        <f>if('Point Intercept 1'!E540 = 'Point Intercept 2'!E540, 'Point Intercept 1'!E540, "ERROR")</f>
        <v>VB</v>
      </c>
      <c r="F540" s="9">
        <f>if('Point Intercept 1'!F540 = 'Point Intercept 2'!F540, 'Point Intercept 1'!F540, "ERROR")</f>
        <v>3</v>
      </c>
      <c r="G540" s="9" t="str">
        <f>if('Point Intercept 1'!G540 = 'Point Intercept 2'!G540, 'Point Intercept 1'!G540, "ERROR")</f>
        <v>SU</v>
      </c>
      <c r="H540" s="9">
        <f>if('Point Intercept 1'!I540 = 'Point Intercept 2'!I540, 'Point Intercept 1'!I540, "ERROR")</f>
        <v>13</v>
      </c>
      <c r="I540" s="9">
        <f>if('Point Intercept 1'!H540 = 'Point Intercept 2'!H540, 'Point Intercept 1'!H540, "ERROR")</f>
        <v>1</v>
      </c>
      <c r="J540" s="9">
        <f>if('Point Intercept 1'!J540 = 'Point Intercept 2'!J540, 'Point Intercept 1'!J540, "ERROR")</f>
        <v>10.5</v>
      </c>
      <c r="K540" s="9" t="str">
        <f>if('Point Intercept 1'!K540 = 'Point Intercept 2'!K540, 'Point Intercept 1'!K540, "ERROR")</f>
        <v>B</v>
      </c>
      <c r="L540" s="9" t="str">
        <f>if('Point Intercept 1'!L540 = 'Point Intercept 2'!L540, 'Point Intercept 1'!L540, "ERROR")</f>
        <v>Bareground</v>
      </c>
    </row>
    <row r="541">
      <c r="A541" s="9">
        <f>if('Point Intercept 1'!A541 = 'Point Intercept 2'!A541, 'Point Intercept 1'!A541, "ERROR")</f>
        <v>6</v>
      </c>
      <c r="B541" s="9">
        <f>if('Point Intercept 1'!B541 = 'Point Intercept 2'!B541, 'Point Intercept 1'!B541, "ERROR")</f>
        <v>2025</v>
      </c>
      <c r="C541" s="14">
        <f>if('Point Intercept 1'!C541 = 'Point Intercept 2'!C541, 'Point Intercept 1'!C541, "ERROR")</f>
        <v>45755</v>
      </c>
      <c r="D541" s="9" t="str">
        <f>if('Point Intercept 1'!D541 = 'Point Intercept 2'!D541, 'Point Intercept 1'!D541, "ERROR")</f>
        <v>JC, TL</v>
      </c>
      <c r="E541" s="9" t="str">
        <f>if('Point Intercept 1'!E541 = 'Point Intercept 2'!E541, 'Point Intercept 1'!E541, "ERROR")</f>
        <v>VB</v>
      </c>
      <c r="F541" s="9">
        <f>if('Point Intercept 1'!F541 = 'Point Intercept 2'!F541, 'Point Intercept 1'!F541, "ERROR")</f>
        <v>3</v>
      </c>
      <c r="G541" s="9" t="str">
        <f>if('Point Intercept 1'!G541 = 'Point Intercept 2'!G541, 'Point Intercept 1'!G541, "ERROR")</f>
        <v>SU</v>
      </c>
      <c r="H541" s="9">
        <f>if('Point Intercept 1'!I541 = 'Point Intercept 2'!I541, 'Point Intercept 1'!I541, "ERROR")</f>
        <v>13</v>
      </c>
      <c r="I541" s="9">
        <f>if('Point Intercept 1'!H541 = 'Point Intercept 2'!H541, 'Point Intercept 1'!H541, "ERROR")</f>
        <v>1</v>
      </c>
      <c r="J541" s="9">
        <f>if('Point Intercept 1'!J541 = 'Point Intercept 2'!J541, 'Point Intercept 1'!J541, "ERROR")</f>
        <v>10.5</v>
      </c>
      <c r="K541" s="9" t="str">
        <f>if('Point Intercept 1'!K541 = 'Point Intercept 2'!K541, 'Point Intercept 1'!K541, "ERROR")</f>
        <v>FESMYU</v>
      </c>
      <c r="L541" s="9" t="str">
        <f>if('Point Intercept 1'!L541 = 'Point Intercept 2'!L541, 'Point Intercept 1'!L541, "ERROR")</f>
        <v>Festuca myuros</v>
      </c>
    </row>
    <row r="542">
      <c r="A542" s="9">
        <f>if('Point Intercept 1'!A542 = 'Point Intercept 2'!A542, 'Point Intercept 1'!A542, "ERROR")</f>
        <v>6</v>
      </c>
      <c r="B542" s="9">
        <f>if('Point Intercept 1'!B542 = 'Point Intercept 2'!B542, 'Point Intercept 1'!B542, "ERROR")</f>
        <v>2025</v>
      </c>
      <c r="C542" s="14">
        <f>if('Point Intercept 1'!C542 = 'Point Intercept 2'!C542, 'Point Intercept 1'!C542, "ERROR")</f>
        <v>45755</v>
      </c>
      <c r="D542" s="9" t="str">
        <f>if('Point Intercept 1'!D542 = 'Point Intercept 2'!D542, 'Point Intercept 1'!D542, "ERROR")</f>
        <v>JC, TL</v>
      </c>
      <c r="E542" s="9" t="str">
        <f>if('Point Intercept 1'!E542 = 'Point Intercept 2'!E542, 'Point Intercept 1'!E542, "ERROR")</f>
        <v>VB</v>
      </c>
      <c r="F542" s="9">
        <f>if('Point Intercept 1'!F542 = 'Point Intercept 2'!F542, 'Point Intercept 1'!F542, "ERROR")</f>
        <v>3</v>
      </c>
      <c r="G542" s="9" t="str">
        <f>if('Point Intercept 1'!G542 = 'Point Intercept 2'!G542, 'Point Intercept 1'!G542, "ERROR")</f>
        <v>SU</v>
      </c>
      <c r="H542" s="9">
        <f>if('Point Intercept 1'!I542 = 'Point Intercept 2'!I542, 'Point Intercept 1'!I542, "ERROR")</f>
        <v>14</v>
      </c>
      <c r="I542" s="9">
        <f>if('Point Intercept 1'!H542 = 'Point Intercept 2'!H542, 'Point Intercept 1'!H542, "ERROR")</f>
        <v>1</v>
      </c>
      <c r="J542" s="9">
        <f>if('Point Intercept 1'!J542 = 'Point Intercept 2'!J542, 'Point Intercept 1'!J542, "ERROR")</f>
        <v>11</v>
      </c>
      <c r="K542" s="9" t="str">
        <f>if('Point Intercept 1'!K542 = 'Point Intercept 2'!K542, 'Point Intercept 1'!K542, "ERROR")</f>
        <v>L</v>
      </c>
      <c r="L542" s="9" t="str">
        <f>if('Point Intercept 1'!L542 = 'Point Intercept 2'!L542, 'Point Intercept 1'!L542, "ERROR")</f>
        <v>Litter</v>
      </c>
    </row>
    <row r="543">
      <c r="A543" s="9">
        <f>if('Point Intercept 1'!A543 = 'Point Intercept 2'!A543, 'Point Intercept 1'!A543, "ERROR")</f>
        <v>6</v>
      </c>
      <c r="B543" s="9">
        <f>if('Point Intercept 1'!B543 = 'Point Intercept 2'!B543, 'Point Intercept 1'!B543, "ERROR")</f>
        <v>2025</v>
      </c>
      <c r="C543" s="14">
        <f>if('Point Intercept 1'!C543 = 'Point Intercept 2'!C543, 'Point Intercept 1'!C543, "ERROR")</f>
        <v>45755</v>
      </c>
      <c r="D543" s="9" t="str">
        <f>if('Point Intercept 1'!D543 = 'Point Intercept 2'!D543, 'Point Intercept 1'!D543, "ERROR")</f>
        <v>JC, TL</v>
      </c>
      <c r="E543" s="9" t="str">
        <f>if('Point Intercept 1'!E543 = 'Point Intercept 2'!E543, 'Point Intercept 1'!E543, "ERROR")</f>
        <v>VB</v>
      </c>
      <c r="F543" s="9">
        <f>if('Point Intercept 1'!F543 = 'Point Intercept 2'!F543, 'Point Intercept 1'!F543, "ERROR")</f>
        <v>3</v>
      </c>
      <c r="G543" s="9" t="str">
        <f>if('Point Intercept 1'!G543 = 'Point Intercept 2'!G543, 'Point Intercept 1'!G543, "ERROR")</f>
        <v>SU</v>
      </c>
      <c r="H543" s="9">
        <f>if('Point Intercept 1'!I543 = 'Point Intercept 2'!I543, 'Point Intercept 1'!I543, "ERROR")</f>
        <v>14</v>
      </c>
      <c r="I543" s="9">
        <f>if('Point Intercept 1'!H543 = 'Point Intercept 2'!H543, 'Point Intercept 1'!H543, "ERROR")</f>
        <v>1</v>
      </c>
      <c r="J543" s="9">
        <f>if('Point Intercept 1'!J543 = 'Point Intercept 2'!J543, 'Point Intercept 1'!J543, "ERROR")</f>
        <v>11</v>
      </c>
      <c r="K543" s="9" t="str">
        <f>if('Point Intercept 1'!K543 = 'Point Intercept 2'!K543, 'Point Intercept 1'!K543, "ERROR")</f>
        <v>FESMYU</v>
      </c>
      <c r="L543" s="9" t="str">
        <f>if('Point Intercept 1'!L543 = 'Point Intercept 2'!L543, 'Point Intercept 1'!L543, "ERROR")</f>
        <v>Festuca myuros</v>
      </c>
    </row>
    <row r="544">
      <c r="A544" s="9">
        <f>if('Point Intercept 1'!A544 = 'Point Intercept 2'!A544, 'Point Intercept 1'!A544, "ERROR")</f>
        <v>6</v>
      </c>
      <c r="B544" s="9">
        <f>if('Point Intercept 1'!B544 = 'Point Intercept 2'!B544, 'Point Intercept 1'!B544, "ERROR")</f>
        <v>2025</v>
      </c>
      <c r="C544" s="14">
        <f>if('Point Intercept 1'!C544 = 'Point Intercept 2'!C544, 'Point Intercept 1'!C544, "ERROR")</f>
        <v>45755</v>
      </c>
      <c r="D544" s="9" t="str">
        <f>if('Point Intercept 1'!D544 = 'Point Intercept 2'!D544, 'Point Intercept 1'!D544, "ERROR")</f>
        <v>JC, TL</v>
      </c>
      <c r="E544" s="9" t="str">
        <f>if('Point Intercept 1'!E544 = 'Point Intercept 2'!E544, 'Point Intercept 1'!E544, "ERROR")</f>
        <v>VB</v>
      </c>
      <c r="F544" s="9">
        <f>if('Point Intercept 1'!F544 = 'Point Intercept 2'!F544, 'Point Intercept 1'!F544, "ERROR")</f>
        <v>3</v>
      </c>
      <c r="G544" s="9" t="str">
        <f>if('Point Intercept 1'!G544 = 'Point Intercept 2'!G544, 'Point Intercept 1'!G544, "ERROR")</f>
        <v>SU</v>
      </c>
      <c r="H544" s="9">
        <f>if('Point Intercept 1'!I544 = 'Point Intercept 2'!I544, 'Point Intercept 1'!I544, "ERROR")</f>
        <v>14</v>
      </c>
      <c r="I544" s="9">
        <f>if('Point Intercept 1'!H544 = 'Point Intercept 2'!H544, 'Point Intercept 1'!H544, "ERROR")</f>
        <v>1</v>
      </c>
      <c r="J544" s="9">
        <f>if('Point Intercept 1'!J544 = 'Point Intercept 2'!J544, 'Point Intercept 1'!J544, "ERROR")</f>
        <v>11</v>
      </c>
      <c r="K544" s="9" t="str">
        <f>if('Point Intercept 1'!K544 = 'Point Intercept 2'!K544, 'Point Intercept 1'!K544, "ERROR")</f>
        <v>DEIFAS</v>
      </c>
      <c r="L544" s="9" t="str">
        <f>if('Point Intercept 1'!L544 = 'Point Intercept 2'!L544, 'Point Intercept 1'!L544, "ERROR")</f>
        <v>Deinandra fasciculata</v>
      </c>
    </row>
    <row r="545">
      <c r="A545" s="9">
        <f>if('Point Intercept 1'!A545 = 'Point Intercept 2'!A545, 'Point Intercept 1'!A545, "ERROR")</f>
        <v>6</v>
      </c>
      <c r="B545" s="9">
        <f>if('Point Intercept 1'!B545 = 'Point Intercept 2'!B545, 'Point Intercept 1'!B545, "ERROR")</f>
        <v>2025</v>
      </c>
      <c r="C545" s="14">
        <f>if('Point Intercept 1'!C545 = 'Point Intercept 2'!C545, 'Point Intercept 1'!C545, "ERROR")</f>
        <v>45755</v>
      </c>
      <c r="D545" s="9" t="str">
        <f>if('Point Intercept 1'!D545 = 'Point Intercept 2'!D545, 'Point Intercept 1'!D545, "ERROR")</f>
        <v>JC, TL</v>
      </c>
      <c r="E545" s="9" t="str">
        <f>if('Point Intercept 1'!E545 = 'Point Intercept 2'!E545, 'Point Intercept 1'!E545, "ERROR")</f>
        <v>VB</v>
      </c>
      <c r="F545" s="9">
        <f>if('Point Intercept 1'!F545 = 'Point Intercept 2'!F545, 'Point Intercept 1'!F545, "ERROR")</f>
        <v>3</v>
      </c>
      <c r="G545" s="9" t="str">
        <f>if('Point Intercept 1'!G545 = 'Point Intercept 2'!G545, 'Point Intercept 1'!G545, "ERROR")</f>
        <v>SU</v>
      </c>
      <c r="H545" s="9">
        <f>if('Point Intercept 1'!I545 = 'Point Intercept 2'!I545, 'Point Intercept 1'!I545, "ERROR")</f>
        <v>14</v>
      </c>
      <c r="I545" s="9">
        <f>if('Point Intercept 1'!H545 = 'Point Intercept 2'!H545, 'Point Intercept 1'!H545, "ERROR")</f>
        <v>1</v>
      </c>
      <c r="J545" s="9">
        <f>if('Point Intercept 1'!J545 = 'Point Intercept 2'!J545, 'Point Intercept 1'!J545, "ERROR")</f>
        <v>11</v>
      </c>
      <c r="K545" s="9" t="str">
        <f>if('Point Intercept 1'!K545 = 'Point Intercept 2'!K545, 'Point Intercept 1'!K545, "ERROR")</f>
        <v>UNKNOWN</v>
      </c>
      <c r="L545" s="9" t="str">
        <f>if('Point Intercept 1'!L545 = 'Point Intercept 2'!L545, 'Point Intercept 1'!L545, "ERROR")</f>
        <v>Unknown Species</v>
      </c>
    </row>
    <row r="546">
      <c r="A546" s="9">
        <f>if('Point Intercept 1'!A546 = 'Point Intercept 2'!A546, 'Point Intercept 1'!A546, "ERROR")</f>
        <v>6</v>
      </c>
      <c r="B546" s="9">
        <f>if('Point Intercept 1'!B546 = 'Point Intercept 2'!B546, 'Point Intercept 1'!B546, "ERROR")</f>
        <v>2025</v>
      </c>
      <c r="C546" s="14">
        <f>if('Point Intercept 1'!C546 = 'Point Intercept 2'!C546, 'Point Intercept 1'!C546, "ERROR")</f>
        <v>45755</v>
      </c>
      <c r="D546" s="9" t="str">
        <f>if('Point Intercept 1'!D546 = 'Point Intercept 2'!D546, 'Point Intercept 1'!D546, "ERROR")</f>
        <v>JC, TL</v>
      </c>
      <c r="E546" s="9" t="str">
        <f>if('Point Intercept 1'!E546 = 'Point Intercept 2'!E546, 'Point Intercept 1'!E546, "ERROR")</f>
        <v>VB</v>
      </c>
      <c r="F546" s="9">
        <f>if('Point Intercept 1'!F546 = 'Point Intercept 2'!F546, 'Point Intercept 1'!F546, "ERROR")</f>
        <v>3</v>
      </c>
      <c r="G546" s="9" t="str">
        <f>if('Point Intercept 1'!G546 = 'Point Intercept 2'!G546, 'Point Intercept 1'!G546, "ERROR")</f>
        <v>SU</v>
      </c>
      <c r="H546" s="9">
        <f>if('Point Intercept 1'!I546 = 'Point Intercept 2'!I546, 'Point Intercept 1'!I546, "ERROR")</f>
        <v>15</v>
      </c>
      <c r="I546" s="9">
        <f>if('Point Intercept 1'!H546 = 'Point Intercept 2'!H546, 'Point Intercept 1'!H546, "ERROR")</f>
        <v>1</v>
      </c>
      <c r="J546" s="9">
        <f>if('Point Intercept 1'!J546 = 'Point Intercept 2'!J546, 'Point Intercept 1'!J546, "ERROR")</f>
        <v>12</v>
      </c>
      <c r="K546" s="9" t="str">
        <f>if('Point Intercept 1'!K546 = 'Point Intercept 2'!K546, 'Point Intercept 1'!K546, "ERROR")</f>
        <v>L</v>
      </c>
      <c r="L546" s="9" t="str">
        <f>if('Point Intercept 1'!L546 = 'Point Intercept 2'!L546, 'Point Intercept 1'!L546, "ERROR")</f>
        <v>Litter</v>
      </c>
    </row>
    <row r="547">
      <c r="A547" s="9">
        <f>if('Point Intercept 1'!A547 = 'Point Intercept 2'!A547, 'Point Intercept 1'!A547, "ERROR")</f>
        <v>6</v>
      </c>
      <c r="B547" s="9">
        <f>if('Point Intercept 1'!B547 = 'Point Intercept 2'!B547, 'Point Intercept 1'!B547, "ERROR")</f>
        <v>2025</v>
      </c>
      <c r="C547" s="14">
        <f>if('Point Intercept 1'!C547 = 'Point Intercept 2'!C547, 'Point Intercept 1'!C547, "ERROR")</f>
        <v>45755</v>
      </c>
      <c r="D547" s="9" t="str">
        <f>if('Point Intercept 1'!D547 = 'Point Intercept 2'!D547, 'Point Intercept 1'!D547, "ERROR")</f>
        <v>JC, TL</v>
      </c>
      <c r="E547" s="9" t="str">
        <f>if('Point Intercept 1'!E547 = 'Point Intercept 2'!E547, 'Point Intercept 1'!E547, "ERROR")</f>
        <v>VB</v>
      </c>
      <c r="F547" s="9">
        <f>if('Point Intercept 1'!F547 = 'Point Intercept 2'!F547, 'Point Intercept 1'!F547, "ERROR")</f>
        <v>3</v>
      </c>
      <c r="G547" s="9" t="str">
        <f>if('Point Intercept 1'!G547 = 'Point Intercept 2'!G547, 'Point Intercept 1'!G547, "ERROR")</f>
        <v>SU</v>
      </c>
      <c r="H547" s="9">
        <f>if('Point Intercept 1'!I547 = 'Point Intercept 2'!I547, 'Point Intercept 1'!I547, "ERROR")</f>
        <v>15</v>
      </c>
      <c r="I547" s="9">
        <f>if('Point Intercept 1'!H547 = 'Point Intercept 2'!H547, 'Point Intercept 1'!H547, "ERROR")</f>
        <v>1</v>
      </c>
      <c r="J547" s="9">
        <f>if('Point Intercept 1'!J547 = 'Point Intercept 2'!J547, 'Point Intercept 1'!J547, "ERROR")</f>
        <v>12</v>
      </c>
      <c r="K547" s="9" t="str">
        <f>if('Point Intercept 1'!K547 = 'Point Intercept 2'!K547, 'Point Intercept 1'!K547, "ERROR")</f>
        <v>FESMYU</v>
      </c>
      <c r="L547" s="9" t="str">
        <f>if('Point Intercept 1'!L547 = 'Point Intercept 2'!L547, 'Point Intercept 1'!L547, "ERROR")</f>
        <v>Festuca myuros</v>
      </c>
    </row>
    <row r="548">
      <c r="A548" s="9">
        <f>if('Point Intercept 1'!A548 = 'Point Intercept 2'!A548, 'Point Intercept 1'!A548, "ERROR")</f>
        <v>6</v>
      </c>
      <c r="B548" s="9">
        <f>if('Point Intercept 1'!B548 = 'Point Intercept 2'!B548, 'Point Intercept 1'!B548, "ERROR")</f>
        <v>2025</v>
      </c>
      <c r="C548" s="14">
        <f>if('Point Intercept 1'!C548 = 'Point Intercept 2'!C548, 'Point Intercept 1'!C548, "ERROR")</f>
        <v>45755</v>
      </c>
      <c r="D548" s="9" t="str">
        <f>if('Point Intercept 1'!D548 = 'Point Intercept 2'!D548, 'Point Intercept 1'!D548, "ERROR")</f>
        <v>JC, TL</v>
      </c>
      <c r="E548" s="9" t="str">
        <f>if('Point Intercept 1'!E548 = 'Point Intercept 2'!E548, 'Point Intercept 1'!E548, "ERROR")</f>
        <v>VB</v>
      </c>
      <c r="F548" s="9">
        <f>if('Point Intercept 1'!F548 = 'Point Intercept 2'!F548, 'Point Intercept 1'!F548, "ERROR")</f>
        <v>3</v>
      </c>
      <c r="G548" s="9" t="str">
        <f>if('Point Intercept 1'!G548 = 'Point Intercept 2'!G548, 'Point Intercept 1'!G548, "ERROR")</f>
        <v>SU</v>
      </c>
      <c r="H548" s="9">
        <f>if('Point Intercept 1'!I548 = 'Point Intercept 2'!I548, 'Point Intercept 1'!I548, "ERROR")</f>
        <v>15</v>
      </c>
      <c r="I548" s="9">
        <f>if('Point Intercept 1'!H548 = 'Point Intercept 2'!H548, 'Point Intercept 1'!H548, "ERROR")</f>
        <v>1</v>
      </c>
      <c r="J548" s="9">
        <f>if('Point Intercept 1'!J548 = 'Point Intercept 2'!J548, 'Point Intercept 1'!J548, "ERROR")</f>
        <v>12</v>
      </c>
      <c r="K548" s="9" t="str">
        <f>if('Point Intercept 1'!K548 = 'Point Intercept 2'!K548, 'Point Intercept 1'!K548, "ERROR")</f>
        <v>CYLPRO</v>
      </c>
      <c r="L548" s="9" t="str">
        <f>if('Point Intercept 1'!L548 = 'Point Intercept 2'!L548, 'Point Intercept 1'!L548, "ERROR")</f>
        <v>Cylindropuntia prolifera</v>
      </c>
    </row>
    <row r="549">
      <c r="A549" s="9">
        <f>if('Point Intercept 1'!A549 = 'Point Intercept 2'!A549, 'Point Intercept 1'!A549, "ERROR")</f>
        <v>6</v>
      </c>
      <c r="B549" s="9">
        <f>if('Point Intercept 1'!B549 = 'Point Intercept 2'!B549, 'Point Intercept 1'!B549, "ERROR")</f>
        <v>2025</v>
      </c>
      <c r="C549" s="14">
        <f>if('Point Intercept 1'!C549 = 'Point Intercept 2'!C549, 'Point Intercept 1'!C549, "ERROR")</f>
        <v>45755</v>
      </c>
      <c r="D549" s="9" t="str">
        <f>if('Point Intercept 1'!D549 = 'Point Intercept 2'!D549, 'Point Intercept 1'!D549, "ERROR")</f>
        <v>JC, TL</v>
      </c>
      <c r="E549" s="9" t="str">
        <f>if('Point Intercept 1'!E549 = 'Point Intercept 2'!E549, 'Point Intercept 1'!E549, "ERROR")</f>
        <v>VB</v>
      </c>
      <c r="F549" s="9">
        <f>if('Point Intercept 1'!F549 = 'Point Intercept 2'!F549, 'Point Intercept 1'!F549, "ERROR")</f>
        <v>3</v>
      </c>
      <c r="G549" s="9" t="str">
        <f>if('Point Intercept 1'!G549 = 'Point Intercept 2'!G549, 'Point Intercept 1'!G549, "ERROR")</f>
        <v>SU</v>
      </c>
      <c r="H549" s="9">
        <f>if('Point Intercept 1'!I549 = 'Point Intercept 2'!I549, 'Point Intercept 1'!I549, "ERROR")</f>
        <v>1</v>
      </c>
      <c r="I549" s="9">
        <f>if('Point Intercept 1'!H549 = 'Point Intercept 2'!H549, 'Point Intercept 1'!H549, "ERROR")</f>
        <v>2</v>
      </c>
      <c r="J549" s="9">
        <f>if('Point Intercept 1'!J549 = 'Point Intercept 2'!J549, 'Point Intercept 1'!J549, "ERROR")</f>
        <v>0</v>
      </c>
      <c r="K549" s="9" t="str">
        <f>if('Point Intercept 1'!K549 = 'Point Intercept 2'!K549, 'Point Intercept 1'!K549, "ERROR")</f>
        <v>L</v>
      </c>
      <c r="L549" s="9" t="str">
        <f>if('Point Intercept 1'!L549 = 'Point Intercept 2'!L549, 'Point Intercept 1'!L549, "ERROR")</f>
        <v>Litter</v>
      </c>
    </row>
    <row r="550">
      <c r="A550" s="9">
        <f>if('Point Intercept 1'!A550 = 'Point Intercept 2'!A550, 'Point Intercept 1'!A550, "ERROR")</f>
        <v>6</v>
      </c>
      <c r="B550" s="9">
        <f>if('Point Intercept 1'!B550 = 'Point Intercept 2'!B550, 'Point Intercept 1'!B550, "ERROR")</f>
        <v>2025</v>
      </c>
      <c r="C550" s="14">
        <f>if('Point Intercept 1'!C550 = 'Point Intercept 2'!C550, 'Point Intercept 1'!C550, "ERROR")</f>
        <v>45755</v>
      </c>
      <c r="D550" s="9" t="str">
        <f>if('Point Intercept 1'!D550 = 'Point Intercept 2'!D550, 'Point Intercept 1'!D550, "ERROR")</f>
        <v>JC, TL</v>
      </c>
      <c r="E550" s="9" t="str">
        <f>if('Point Intercept 1'!E550 = 'Point Intercept 2'!E550, 'Point Intercept 1'!E550, "ERROR")</f>
        <v>VB</v>
      </c>
      <c r="F550" s="9">
        <f>if('Point Intercept 1'!F550 = 'Point Intercept 2'!F550, 'Point Intercept 1'!F550, "ERROR")</f>
        <v>3</v>
      </c>
      <c r="G550" s="9" t="str">
        <f>if('Point Intercept 1'!G550 = 'Point Intercept 2'!G550, 'Point Intercept 1'!G550, "ERROR")</f>
        <v>SU</v>
      </c>
      <c r="H550" s="9">
        <f>if('Point Intercept 1'!I550 = 'Point Intercept 2'!I550, 'Point Intercept 1'!I550, "ERROR")</f>
        <v>1</v>
      </c>
      <c r="I550" s="9">
        <f>if('Point Intercept 1'!H550 = 'Point Intercept 2'!H550, 'Point Intercept 1'!H550, "ERROR")</f>
        <v>2</v>
      </c>
      <c r="J550" s="9">
        <f>if('Point Intercept 1'!J550 = 'Point Intercept 2'!J550, 'Point Intercept 1'!J550, "ERROR")</f>
        <v>0</v>
      </c>
      <c r="K550" s="9" t="str">
        <f>if('Point Intercept 1'!K550 = 'Point Intercept 2'!K550, 'Point Intercept 1'!K550, "ERROR")</f>
        <v>DEIFAS</v>
      </c>
      <c r="L550" s="9" t="str">
        <f>if('Point Intercept 1'!L550 = 'Point Intercept 2'!L550, 'Point Intercept 1'!L550, "ERROR")</f>
        <v>Deinandra fasciculata</v>
      </c>
    </row>
    <row r="551">
      <c r="A551" s="9">
        <f>if('Point Intercept 1'!A551 = 'Point Intercept 2'!A551, 'Point Intercept 1'!A551, "ERROR")</f>
        <v>6</v>
      </c>
      <c r="B551" s="9">
        <f>if('Point Intercept 1'!B551 = 'Point Intercept 2'!B551, 'Point Intercept 1'!B551, "ERROR")</f>
        <v>2025</v>
      </c>
      <c r="C551" s="14">
        <f>if('Point Intercept 1'!C551 = 'Point Intercept 2'!C551, 'Point Intercept 1'!C551, "ERROR")</f>
        <v>45755</v>
      </c>
      <c r="D551" s="9" t="str">
        <f>if('Point Intercept 1'!D551 = 'Point Intercept 2'!D551, 'Point Intercept 1'!D551, "ERROR")</f>
        <v>JC, TL</v>
      </c>
      <c r="E551" s="9" t="str">
        <f>if('Point Intercept 1'!E551 = 'Point Intercept 2'!E551, 'Point Intercept 1'!E551, "ERROR")</f>
        <v>VB</v>
      </c>
      <c r="F551" s="9">
        <f>if('Point Intercept 1'!F551 = 'Point Intercept 2'!F551, 'Point Intercept 1'!F551, "ERROR")</f>
        <v>3</v>
      </c>
      <c r="G551" s="9" t="str">
        <f>if('Point Intercept 1'!G551 = 'Point Intercept 2'!G551, 'Point Intercept 1'!G551, "ERROR")</f>
        <v>SU</v>
      </c>
      <c r="H551" s="9">
        <f>if('Point Intercept 1'!I551 = 'Point Intercept 2'!I551, 'Point Intercept 1'!I551, "ERROR")</f>
        <v>1</v>
      </c>
      <c r="I551" s="9">
        <f>if('Point Intercept 1'!H551 = 'Point Intercept 2'!H551, 'Point Intercept 1'!H551, "ERROR")</f>
        <v>2</v>
      </c>
      <c r="J551" s="9">
        <f>if('Point Intercept 1'!J551 = 'Point Intercept 2'!J551, 'Point Intercept 1'!J551, "ERROR")</f>
        <v>0</v>
      </c>
      <c r="K551" s="9" t="str">
        <f>if('Point Intercept 1'!K551 = 'Point Intercept 2'!K551, 'Point Intercept 1'!K551, "ERROR")</f>
        <v>FESMYU</v>
      </c>
      <c r="L551" s="9" t="str">
        <f>if('Point Intercept 1'!L551 = 'Point Intercept 2'!L551, 'Point Intercept 1'!L551, "ERROR")</f>
        <v>Festuca myuros</v>
      </c>
    </row>
    <row r="552">
      <c r="A552" s="9">
        <f>if('Point Intercept 1'!A552 = 'Point Intercept 2'!A552, 'Point Intercept 1'!A552, "ERROR")</f>
        <v>6</v>
      </c>
      <c r="B552" s="9">
        <f>if('Point Intercept 1'!B552 = 'Point Intercept 2'!B552, 'Point Intercept 1'!B552, "ERROR")</f>
        <v>2025</v>
      </c>
      <c r="C552" s="14">
        <f>if('Point Intercept 1'!C552 = 'Point Intercept 2'!C552, 'Point Intercept 1'!C552, "ERROR")</f>
        <v>45755</v>
      </c>
      <c r="D552" s="9" t="str">
        <f>if('Point Intercept 1'!D552 = 'Point Intercept 2'!D552, 'Point Intercept 1'!D552, "ERROR")</f>
        <v>JC, TL</v>
      </c>
      <c r="E552" s="9" t="str">
        <f>if('Point Intercept 1'!E552 = 'Point Intercept 2'!E552, 'Point Intercept 1'!E552, "ERROR")</f>
        <v>VB</v>
      </c>
      <c r="F552" s="9">
        <f>if('Point Intercept 1'!F552 = 'Point Intercept 2'!F552, 'Point Intercept 1'!F552, "ERROR")</f>
        <v>3</v>
      </c>
      <c r="G552" s="9" t="str">
        <f>if('Point Intercept 1'!G552 = 'Point Intercept 2'!G552, 'Point Intercept 1'!G552, "ERROR")</f>
        <v>SU</v>
      </c>
      <c r="H552" s="9">
        <f>if('Point Intercept 1'!I552 = 'Point Intercept 2'!I552, 'Point Intercept 1'!I552, "ERROR")</f>
        <v>2</v>
      </c>
      <c r="I552" s="9">
        <f>if('Point Intercept 1'!H552 = 'Point Intercept 2'!H552, 'Point Intercept 1'!H552, "ERROR")</f>
        <v>2</v>
      </c>
      <c r="J552" s="9">
        <f>if('Point Intercept 1'!J552 = 'Point Intercept 2'!J552, 'Point Intercept 1'!J552, "ERROR")</f>
        <v>1</v>
      </c>
      <c r="K552" s="9" t="str">
        <f>if('Point Intercept 1'!K552 = 'Point Intercept 2'!K552, 'Point Intercept 1'!K552, "ERROR")</f>
        <v>L</v>
      </c>
      <c r="L552" s="9" t="str">
        <f>if('Point Intercept 1'!L552 = 'Point Intercept 2'!L552, 'Point Intercept 1'!L552, "ERROR")</f>
        <v>Litter</v>
      </c>
    </row>
    <row r="553">
      <c r="A553" s="9">
        <f>if('Point Intercept 1'!A553 = 'Point Intercept 2'!A553, 'Point Intercept 1'!A553, "ERROR")</f>
        <v>6</v>
      </c>
      <c r="B553" s="9">
        <f>if('Point Intercept 1'!B553 = 'Point Intercept 2'!B553, 'Point Intercept 1'!B553, "ERROR")</f>
        <v>2025</v>
      </c>
      <c r="C553" s="14">
        <f>if('Point Intercept 1'!C553 = 'Point Intercept 2'!C553, 'Point Intercept 1'!C553, "ERROR")</f>
        <v>45755</v>
      </c>
      <c r="D553" s="9" t="str">
        <f>if('Point Intercept 1'!D553 = 'Point Intercept 2'!D553, 'Point Intercept 1'!D553, "ERROR")</f>
        <v>JC, TL</v>
      </c>
      <c r="E553" s="9" t="str">
        <f>if('Point Intercept 1'!E553 = 'Point Intercept 2'!E553, 'Point Intercept 1'!E553, "ERROR")</f>
        <v>VB</v>
      </c>
      <c r="F553" s="9">
        <f>if('Point Intercept 1'!F553 = 'Point Intercept 2'!F553, 'Point Intercept 1'!F553, "ERROR")</f>
        <v>3</v>
      </c>
      <c r="G553" s="9" t="str">
        <f>if('Point Intercept 1'!G553 = 'Point Intercept 2'!G553, 'Point Intercept 1'!G553, "ERROR")</f>
        <v>SU</v>
      </c>
      <c r="H553" s="9">
        <f>if('Point Intercept 1'!I553 = 'Point Intercept 2'!I553, 'Point Intercept 1'!I553, "ERROR")</f>
        <v>2</v>
      </c>
      <c r="I553" s="9">
        <f>if('Point Intercept 1'!H553 = 'Point Intercept 2'!H553, 'Point Intercept 1'!H553, "ERROR")</f>
        <v>2</v>
      </c>
      <c r="J553" s="9">
        <f>if('Point Intercept 1'!J553 = 'Point Intercept 2'!J553, 'Point Intercept 1'!J553, "ERROR")</f>
        <v>1</v>
      </c>
      <c r="K553" s="9" t="str">
        <f>if('Point Intercept 1'!K553 = 'Point Intercept 2'!K553, 'Point Intercept 1'!K553, "ERROR")</f>
        <v>OPULIT</v>
      </c>
      <c r="L553" s="9" t="str">
        <f>if('Point Intercept 1'!L553 = 'Point Intercept 2'!L553, 'Point Intercept 1'!L553, "ERROR")</f>
        <v>Opuntia littoralis</v>
      </c>
    </row>
    <row r="554">
      <c r="A554" s="9">
        <f>if('Point Intercept 1'!A554 = 'Point Intercept 2'!A554, 'Point Intercept 1'!A554, "ERROR")</f>
        <v>6</v>
      </c>
      <c r="B554" s="9">
        <f>if('Point Intercept 1'!B554 = 'Point Intercept 2'!B554, 'Point Intercept 1'!B554, "ERROR")</f>
        <v>2025</v>
      </c>
      <c r="C554" s="14">
        <f>if('Point Intercept 1'!C554 = 'Point Intercept 2'!C554, 'Point Intercept 1'!C554, "ERROR")</f>
        <v>45755</v>
      </c>
      <c r="D554" s="9" t="str">
        <f>if('Point Intercept 1'!D554 = 'Point Intercept 2'!D554, 'Point Intercept 1'!D554, "ERROR")</f>
        <v>JC, TL</v>
      </c>
      <c r="E554" s="9" t="str">
        <f>if('Point Intercept 1'!E554 = 'Point Intercept 2'!E554, 'Point Intercept 1'!E554, "ERROR")</f>
        <v>VB</v>
      </c>
      <c r="F554" s="9">
        <f>if('Point Intercept 1'!F554 = 'Point Intercept 2'!F554, 'Point Intercept 1'!F554, "ERROR")</f>
        <v>3</v>
      </c>
      <c r="G554" s="9" t="str">
        <f>if('Point Intercept 1'!G554 = 'Point Intercept 2'!G554, 'Point Intercept 1'!G554, "ERROR")</f>
        <v>SU</v>
      </c>
      <c r="H554" s="9">
        <f>if('Point Intercept 1'!I554 = 'Point Intercept 2'!I554, 'Point Intercept 1'!I554, "ERROR")</f>
        <v>2</v>
      </c>
      <c r="I554" s="9">
        <f>if('Point Intercept 1'!H554 = 'Point Intercept 2'!H554, 'Point Intercept 1'!H554, "ERROR")</f>
        <v>2</v>
      </c>
      <c r="J554" s="9">
        <f>if('Point Intercept 1'!J554 = 'Point Intercept 2'!J554, 'Point Intercept 1'!J554, "ERROR")</f>
        <v>1</v>
      </c>
      <c r="K554" s="9" t="str">
        <f>if('Point Intercept 1'!K554 = 'Point Intercept 2'!K554, 'Point Intercept 1'!K554, "ERROR")</f>
        <v>SONOLE</v>
      </c>
      <c r="L554" s="9" t="str">
        <f>if('Point Intercept 1'!L554 = 'Point Intercept 2'!L554, 'Point Intercept 1'!L554, "ERROR")</f>
        <v>Sonchus oleraceus</v>
      </c>
    </row>
    <row r="555">
      <c r="A555" s="9">
        <f>if('Point Intercept 1'!A555 = 'Point Intercept 2'!A555, 'Point Intercept 1'!A555, "ERROR")</f>
        <v>6</v>
      </c>
      <c r="B555" s="9">
        <f>if('Point Intercept 1'!B555 = 'Point Intercept 2'!B555, 'Point Intercept 1'!B555, "ERROR")</f>
        <v>2025</v>
      </c>
      <c r="C555" s="14">
        <f>if('Point Intercept 1'!C555 = 'Point Intercept 2'!C555, 'Point Intercept 1'!C555, "ERROR")</f>
        <v>45755</v>
      </c>
      <c r="D555" s="9" t="str">
        <f>if('Point Intercept 1'!D555 = 'Point Intercept 2'!D555, 'Point Intercept 1'!D555, "ERROR")</f>
        <v>JC, TL</v>
      </c>
      <c r="E555" s="9" t="str">
        <f>if('Point Intercept 1'!E555 = 'Point Intercept 2'!E555, 'Point Intercept 1'!E555, "ERROR")</f>
        <v>VB</v>
      </c>
      <c r="F555" s="9">
        <f>if('Point Intercept 1'!F555 = 'Point Intercept 2'!F555, 'Point Intercept 1'!F555, "ERROR")</f>
        <v>3</v>
      </c>
      <c r="G555" s="9" t="str">
        <f>if('Point Intercept 1'!G555 = 'Point Intercept 2'!G555, 'Point Intercept 1'!G555, "ERROR")</f>
        <v>SU</v>
      </c>
      <c r="H555" s="9">
        <f>if('Point Intercept 1'!I555 = 'Point Intercept 2'!I555, 'Point Intercept 1'!I555, "ERROR")</f>
        <v>2</v>
      </c>
      <c r="I555" s="9">
        <f>if('Point Intercept 1'!H555 = 'Point Intercept 2'!H555, 'Point Intercept 1'!H555, "ERROR")</f>
        <v>2</v>
      </c>
      <c r="J555" s="9">
        <f>if('Point Intercept 1'!J555 = 'Point Intercept 2'!J555, 'Point Intercept 1'!J555, "ERROR")</f>
        <v>1</v>
      </c>
      <c r="K555" s="9" t="str">
        <f>if('Point Intercept 1'!K555 = 'Point Intercept 2'!K555, 'Point Intercept 1'!K555, "ERROR")</f>
        <v>FESMYU</v>
      </c>
      <c r="L555" s="9" t="str">
        <f>if('Point Intercept 1'!L555 = 'Point Intercept 2'!L555, 'Point Intercept 1'!L555, "ERROR")</f>
        <v>Festuca myuros</v>
      </c>
    </row>
    <row r="556">
      <c r="A556" s="9">
        <f>if('Point Intercept 1'!A556 = 'Point Intercept 2'!A556, 'Point Intercept 1'!A556, "ERROR")</f>
        <v>6</v>
      </c>
      <c r="B556" s="9">
        <f>if('Point Intercept 1'!B556 = 'Point Intercept 2'!B556, 'Point Intercept 1'!B556, "ERROR")</f>
        <v>2025</v>
      </c>
      <c r="C556" s="14">
        <f>if('Point Intercept 1'!C556 = 'Point Intercept 2'!C556, 'Point Intercept 1'!C556, "ERROR")</f>
        <v>45755</v>
      </c>
      <c r="D556" s="9" t="str">
        <f>if('Point Intercept 1'!D556 = 'Point Intercept 2'!D556, 'Point Intercept 1'!D556, "ERROR")</f>
        <v>JC, TL</v>
      </c>
      <c r="E556" s="9" t="str">
        <f>if('Point Intercept 1'!E556 = 'Point Intercept 2'!E556, 'Point Intercept 1'!E556, "ERROR")</f>
        <v>VB</v>
      </c>
      <c r="F556" s="9">
        <f>if('Point Intercept 1'!F556 = 'Point Intercept 2'!F556, 'Point Intercept 1'!F556, "ERROR")</f>
        <v>3</v>
      </c>
      <c r="G556" s="9" t="str">
        <f>if('Point Intercept 1'!G556 = 'Point Intercept 2'!G556, 'Point Intercept 1'!G556, "ERROR")</f>
        <v>SU</v>
      </c>
      <c r="H556" s="9">
        <f>if('Point Intercept 1'!I556 = 'Point Intercept 2'!I556, 'Point Intercept 1'!I556, "ERROR")</f>
        <v>3</v>
      </c>
      <c r="I556" s="9">
        <f>if('Point Intercept 1'!H556 = 'Point Intercept 2'!H556, 'Point Intercept 1'!H556, "ERROR")</f>
        <v>2</v>
      </c>
      <c r="J556" s="9">
        <f>if('Point Intercept 1'!J556 = 'Point Intercept 2'!J556, 'Point Intercept 1'!J556, "ERROR")</f>
        <v>1.5</v>
      </c>
      <c r="K556" s="9" t="str">
        <f>if('Point Intercept 1'!K556 = 'Point Intercept 2'!K556, 'Point Intercept 1'!K556, "ERROR")</f>
        <v>L</v>
      </c>
      <c r="L556" s="9" t="str">
        <f>if('Point Intercept 1'!L556 = 'Point Intercept 2'!L556, 'Point Intercept 1'!L556, "ERROR")</f>
        <v>Litter</v>
      </c>
    </row>
    <row r="557">
      <c r="A557" s="9">
        <f>if('Point Intercept 1'!A557 = 'Point Intercept 2'!A557, 'Point Intercept 1'!A557, "ERROR")</f>
        <v>6</v>
      </c>
      <c r="B557" s="9">
        <f>if('Point Intercept 1'!B557 = 'Point Intercept 2'!B557, 'Point Intercept 1'!B557, "ERROR")</f>
        <v>2025</v>
      </c>
      <c r="C557" s="14">
        <f>if('Point Intercept 1'!C557 = 'Point Intercept 2'!C557, 'Point Intercept 1'!C557, "ERROR")</f>
        <v>45755</v>
      </c>
      <c r="D557" s="9" t="str">
        <f>if('Point Intercept 1'!D557 = 'Point Intercept 2'!D557, 'Point Intercept 1'!D557, "ERROR")</f>
        <v>JC, TL</v>
      </c>
      <c r="E557" s="9" t="str">
        <f>if('Point Intercept 1'!E557 = 'Point Intercept 2'!E557, 'Point Intercept 1'!E557, "ERROR")</f>
        <v>VB</v>
      </c>
      <c r="F557" s="9">
        <f>if('Point Intercept 1'!F557 = 'Point Intercept 2'!F557, 'Point Intercept 1'!F557, "ERROR")</f>
        <v>3</v>
      </c>
      <c r="G557" s="9" t="str">
        <f>if('Point Intercept 1'!G557 = 'Point Intercept 2'!G557, 'Point Intercept 1'!G557, "ERROR")</f>
        <v>SU</v>
      </c>
      <c r="H557" s="9">
        <f>if('Point Intercept 1'!I557 = 'Point Intercept 2'!I557, 'Point Intercept 1'!I557, "ERROR")</f>
        <v>3</v>
      </c>
      <c r="I557" s="9">
        <f>if('Point Intercept 1'!H557 = 'Point Intercept 2'!H557, 'Point Intercept 1'!H557, "ERROR")</f>
        <v>2</v>
      </c>
      <c r="J557" s="9">
        <f>if('Point Intercept 1'!J557 = 'Point Intercept 2'!J557, 'Point Intercept 1'!J557, "ERROR")</f>
        <v>1.5</v>
      </c>
      <c r="K557" s="9" t="str">
        <f>if('Point Intercept 1'!K557 = 'Point Intercept 2'!K557, 'Point Intercept 1'!K557, "ERROR")</f>
        <v>SONOLE</v>
      </c>
      <c r="L557" s="9" t="str">
        <f>if('Point Intercept 1'!L557 = 'Point Intercept 2'!L557, 'Point Intercept 1'!L557, "ERROR")</f>
        <v>Sonchus oleraceus</v>
      </c>
    </row>
    <row r="558">
      <c r="A558" s="9">
        <f>if('Point Intercept 1'!A558 = 'Point Intercept 2'!A558, 'Point Intercept 1'!A558, "ERROR")</f>
        <v>6</v>
      </c>
      <c r="B558" s="9">
        <f>if('Point Intercept 1'!B558 = 'Point Intercept 2'!B558, 'Point Intercept 1'!B558, "ERROR")</f>
        <v>2025</v>
      </c>
      <c r="C558" s="14">
        <f>if('Point Intercept 1'!C558 = 'Point Intercept 2'!C558, 'Point Intercept 1'!C558, "ERROR")</f>
        <v>45755</v>
      </c>
      <c r="D558" s="9" t="str">
        <f>if('Point Intercept 1'!D558 = 'Point Intercept 2'!D558, 'Point Intercept 1'!D558, "ERROR")</f>
        <v>JC, TL</v>
      </c>
      <c r="E558" s="9" t="str">
        <f>if('Point Intercept 1'!E558 = 'Point Intercept 2'!E558, 'Point Intercept 1'!E558, "ERROR")</f>
        <v>VB</v>
      </c>
      <c r="F558" s="9">
        <f>if('Point Intercept 1'!F558 = 'Point Intercept 2'!F558, 'Point Intercept 1'!F558, "ERROR")</f>
        <v>3</v>
      </c>
      <c r="G558" s="9" t="str">
        <f>if('Point Intercept 1'!G558 = 'Point Intercept 2'!G558, 'Point Intercept 1'!G558, "ERROR")</f>
        <v>SU</v>
      </c>
      <c r="H558" s="9">
        <f>if('Point Intercept 1'!I558 = 'Point Intercept 2'!I558, 'Point Intercept 1'!I558, "ERROR")</f>
        <v>3</v>
      </c>
      <c r="I558" s="9">
        <f>if('Point Intercept 1'!H558 = 'Point Intercept 2'!H558, 'Point Intercept 1'!H558, "ERROR")</f>
        <v>2</v>
      </c>
      <c r="J558" s="9">
        <f>if('Point Intercept 1'!J558 = 'Point Intercept 2'!J558, 'Point Intercept 1'!J558, "ERROR")</f>
        <v>1.5</v>
      </c>
      <c r="K558" s="9" t="str">
        <f>if('Point Intercept 1'!K558 = 'Point Intercept 2'!K558, 'Point Intercept 1'!K558, "ERROR")</f>
        <v>FESMYU</v>
      </c>
      <c r="L558" s="9" t="str">
        <f>if('Point Intercept 1'!L558 = 'Point Intercept 2'!L558, 'Point Intercept 1'!L558, "ERROR")</f>
        <v>Festuca myuros</v>
      </c>
    </row>
    <row r="559">
      <c r="A559" s="9">
        <f>if('Point Intercept 1'!A559 = 'Point Intercept 2'!A559, 'Point Intercept 1'!A559, "ERROR")</f>
        <v>6</v>
      </c>
      <c r="B559" s="9">
        <f>if('Point Intercept 1'!B559 = 'Point Intercept 2'!B559, 'Point Intercept 1'!B559, "ERROR")</f>
        <v>2025</v>
      </c>
      <c r="C559" s="14">
        <f>if('Point Intercept 1'!C559 = 'Point Intercept 2'!C559, 'Point Intercept 1'!C559, "ERROR")</f>
        <v>45755</v>
      </c>
      <c r="D559" s="9" t="str">
        <f>if('Point Intercept 1'!D559 = 'Point Intercept 2'!D559, 'Point Intercept 1'!D559, "ERROR")</f>
        <v>JC, TL</v>
      </c>
      <c r="E559" s="9" t="str">
        <f>if('Point Intercept 1'!E559 = 'Point Intercept 2'!E559, 'Point Intercept 1'!E559, "ERROR")</f>
        <v>VB</v>
      </c>
      <c r="F559" s="9">
        <f>if('Point Intercept 1'!F559 = 'Point Intercept 2'!F559, 'Point Intercept 1'!F559, "ERROR")</f>
        <v>3</v>
      </c>
      <c r="G559" s="9" t="str">
        <f>if('Point Intercept 1'!G559 = 'Point Intercept 2'!G559, 'Point Intercept 1'!G559, "ERROR")</f>
        <v>SU</v>
      </c>
      <c r="H559" s="9">
        <f>if('Point Intercept 1'!I559 = 'Point Intercept 2'!I559, 'Point Intercept 1'!I559, "ERROR")</f>
        <v>3</v>
      </c>
      <c r="I559" s="9">
        <f>if('Point Intercept 1'!H559 = 'Point Intercept 2'!H559, 'Point Intercept 1'!H559, "ERROR")</f>
        <v>2</v>
      </c>
      <c r="J559" s="9">
        <f>if('Point Intercept 1'!J559 = 'Point Intercept 2'!J559, 'Point Intercept 1'!J559, "ERROR")</f>
        <v>1.5</v>
      </c>
      <c r="K559" s="9" t="str">
        <f>if('Point Intercept 1'!K559 = 'Point Intercept 2'!K559, 'Point Intercept 1'!K559, "ERROR")</f>
        <v>DAUPUS</v>
      </c>
      <c r="L559" s="9" t="str">
        <f>if('Point Intercept 1'!L559 = 'Point Intercept 2'!L559, 'Point Intercept 1'!L559, "ERROR")</f>
        <v>Daucus pusillus</v>
      </c>
    </row>
    <row r="560">
      <c r="A560" s="9">
        <f>if('Point Intercept 1'!A560 = 'Point Intercept 2'!A560, 'Point Intercept 1'!A560, "ERROR")</f>
        <v>6</v>
      </c>
      <c r="B560" s="9">
        <f>if('Point Intercept 1'!B560 = 'Point Intercept 2'!B560, 'Point Intercept 1'!B560, "ERROR")</f>
        <v>2025</v>
      </c>
      <c r="C560" s="14">
        <f>if('Point Intercept 1'!C560 = 'Point Intercept 2'!C560, 'Point Intercept 1'!C560, "ERROR")</f>
        <v>45755</v>
      </c>
      <c r="D560" s="9" t="str">
        <f>if('Point Intercept 1'!D560 = 'Point Intercept 2'!D560, 'Point Intercept 1'!D560, "ERROR")</f>
        <v>JC, TL</v>
      </c>
      <c r="E560" s="9" t="str">
        <f>if('Point Intercept 1'!E560 = 'Point Intercept 2'!E560, 'Point Intercept 1'!E560, "ERROR")</f>
        <v>VB</v>
      </c>
      <c r="F560" s="9">
        <f>if('Point Intercept 1'!F560 = 'Point Intercept 2'!F560, 'Point Intercept 1'!F560, "ERROR")</f>
        <v>3</v>
      </c>
      <c r="G560" s="9" t="str">
        <f>if('Point Intercept 1'!G560 = 'Point Intercept 2'!G560, 'Point Intercept 1'!G560, "ERROR")</f>
        <v>SU</v>
      </c>
      <c r="H560" s="9">
        <f>if('Point Intercept 1'!I560 = 'Point Intercept 2'!I560, 'Point Intercept 1'!I560, "ERROR")</f>
        <v>4</v>
      </c>
      <c r="I560" s="9">
        <f>if('Point Intercept 1'!H560 = 'Point Intercept 2'!H560, 'Point Intercept 1'!H560, "ERROR")</f>
        <v>2</v>
      </c>
      <c r="J560" s="9">
        <f>if('Point Intercept 1'!J560 = 'Point Intercept 2'!J560, 'Point Intercept 1'!J560, "ERROR")</f>
        <v>2</v>
      </c>
      <c r="K560" s="9" t="str">
        <f>if('Point Intercept 1'!K560 = 'Point Intercept 2'!K560, 'Point Intercept 1'!K560, "ERROR")</f>
        <v>L</v>
      </c>
      <c r="L560" s="9" t="str">
        <f>if('Point Intercept 1'!L560 = 'Point Intercept 2'!L560, 'Point Intercept 1'!L560, "ERROR")</f>
        <v>Litter</v>
      </c>
    </row>
    <row r="561">
      <c r="A561" s="9">
        <f>if('Point Intercept 1'!A561 = 'Point Intercept 2'!A561, 'Point Intercept 1'!A561, "ERROR")</f>
        <v>6</v>
      </c>
      <c r="B561" s="9">
        <f>if('Point Intercept 1'!B561 = 'Point Intercept 2'!B561, 'Point Intercept 1'!B561, "ERROR")</f>
        <v>2025</v>
      </c>
      <c r="C561" s="14">
        <f>if('Point Intercept 1'!C561 = 'Point Intercept 2'!C561, 'Point Intercept 1'!C561, "ERROR")</f>
        <v>45755</v>
      </c>
      <c r="D561" s="9" t="str">
        <f>if('Point Intercept 1'!D561 = 'Point Intercept 2'!D561, 'Point Intercept 1'!D561, "ERROR")</f>
        <v>JC, TL</v>
      </c>
      <c r="E561" s="9" t="str">
        <f>if('Point Intercept 1'!E561 = 'Point Intercept 2'!E561, 'Point Intercept 1'!E561, "ERROR")</f>
        <v>VB</v>
      </c>
      <c r="F561" s="9">
        <f>if('Point Intercept 1'!F561 = 'Point Intercept 2'!F561, 'Point Intercept 1'!F561, "ERROR")</f>
        <v>3</v>
      </c>
      <c r="G561" s="9" t="str">
        <f>if('Point Intercept 1'!G561 = 'Point Intercept 2'!G561, 'Point Intercept 1'!G561, "ERROR")</f>
        <v>SU</v>
      </c>
      <c r="H561" s="9">
        <f>if('Point Intercept 1'!I561 = 'Point Intercept 2'!I561, 'Point Intercept 1'!I561, "ERROR")</f>
        <v>4</v>
      </c>
      <c r="I561" s="9">
        <f>if('Point Intercept 1'!H561 = 'Point Intercept 2'!H561, 'Point Intercept 1'!H561, "ERROR")</f>
        <v>2</v>
      </c>
      <c r="J561" s="9">
        <f>if('Point Intercept 1'!J561 = 'Point Intercept 2'!J561, 'Point Intercept 1'!J561, "ERROR")</f>
        <v>2</v>
      </c>
      <c r="K561" s="9" t="str">
        <f>if('Point Intercept 1'!K561 = 'Point Intercept 2'!K561, 'Point Intercept 1'!K561, "ERROR")</f>
        <v>SONOLE</v>
      </c>
      <c r="L561" s="9" t="str">
        <f>if('Point Intercept 1'!L561 = 'Point Intercept 2'!L561, 'Point Intercept 1'!L561, "ERROR")</f>
        <v>Sonchus oleraceus</v>
      </c>
    </row>
    <row r="562">
      <c r="A562" s="9">
        <f>if('Point Intercept 1'!A562 = 'Point Intercept 2'!A562, 'Point Intercept 1'!A562, "ERROR")</f>
        <v>6</v>
      </c>
      <c r="B562" s="9">
        <f>if('Point Intercept 1'!B562 = 'Point Intercept 2'!B562, 'Point Intercept 1'!B562, "ERROR")</f>
        <v>2025</v>
      </c>
      <c r="C562" s="14">
        <f>if('Point Intercept 1'!C562 = 'Point Intercept 2'!C562, 'Point Intercept 1'!C562, "ERROR")</f>
        <v>45755</v>
      </c>
      <c r="D562" s="9" t="str">
        <f>if('Point Intercept 1'!D562 = 'Point Intercept 2'!D562, 'Point Intercept 1'!D562, "ERROR")</f>
        <v>JC, TL</v>
      </c>
      <c r="E562" s="9" t="str">
        <f>if('Point Intercept 1'!E562 = 'Point Intercept 2'!E562, 'Point Intercept 1'!E562, "ERROR")</f>
        <v>VB</v>
      </c>
      <c r="F562" s="9">
        <f>if('Point Intercept 1'!F562 = 'Point Intercept 2'!F562, 'Point Intercept 1'!F562, "ERROR")</f>
        <v>3</v>
      </c>
      <c r="G562" s="9" t="str">
        <f>if('Point Intercept 1'!G562 = 'Point Intercept 2'!G562, 'Point Intercept 1'!G562, "ERROR")</f>
        <v>SU</v>
      </c>
      <c r="H562" s="9">
        <f>if('Point Intercept 1'!I562 = 'Point Intercept 2'!I562, 'Point Intercept 1'!I562, "ERROR")</f>
        <v>5</v>
      </c>
      <c r="I562" s="9">
        <f>if('Point Intercept 1'!H562 = 'Point Intercept 2'!H562, 'Point Intercept 1'!H562, "ERROR")</f>
        <v>2</v>
      </c>
      <c r="J562" s="9">
        <f>if('Point Intercept 1'!J562 = 'Point Intercept 2'!J562, 'Point Intercept 1'!J562, "ERROR")</f>
        <v>3</v>
      </c>
      <c r="K562" s="9" t="str">
        <f>if('Point Intercept 1'!K562 = 'Point Intercept 2'!K562, 'Point Intercept 1'!K562, "ERROR")</f>
        <v>L</v>
      </c>
      <c r="L562" s="9" t="str">
        <f>if('Point Intercept 1'!L562 = 'Point Intercept 2'!L562, 'Point Intercept 1'!L562, "ERROR")</f>
        <v>Litter</v>
      </c>
    </row>
    <row r="563">
      <c r="A563" s="9">
        <f>if('Point Intercept 1'!A563 = 'Point Intercept 2'!A563, 'Point Intercept 1'!A563, "ERROR")</f>
        <v>6</v>
      </c>
      <c r="B563" s="9">
        <f>if('Point Intercept 1'!B563 = 'Point Intercept 2'!B563, 'Point Intercept 1'!B563, "ERROR")</f>
        <v>2025</v>
      </c>
      <c r="C563" s="14">
        <f>if('Point Intercept 1'!C563 = 'Point Intercept 2'!C563, 'Point Intercept 1'!C563, "ERROR")</f>
        <v>45755</v>
      </c>
      <c r="D563" s="9" t="str">
        <f>if('Point Intercept 1'!D563 = 'Point Intercept 2'!D563, 'Point Intercept 1'!D563, "ERROR")</f>
        <v>JC, TL</v>
      </c>
      <c r="E563" s="9" t="str">
        <f>if('Point Intercept 1'!E563 = 'Point Intercept 2'!E563, 'Point Intercept 1'!E563, "ERROR")</f>
        <v>VB</v>
      </c>
      <c r="F563" s="9">
        <f>if('Point Intercept 1'!F563 = 'Point Intercept 2'!F563, 'Point Intercept 1'!F563, "ERROR")</f>
        <v>3</v>
      </c>
      <c r="G563" s="9" t="str">
        <f>if('Point Intercept 1'!G563 = 'Point Intercept 2'!G563, 'Point Intercept 1'!G563, "ERROR")</f>
        <v>SU</v>
      </c>
      <c r="H563" s="9">
        <f>if('Point Intercept 1'!I563 = 'Point Intercept 2'!I563, 'Point Intercept 1'!I563, "ERROR")</f>
        <v>5</v>
      </c>
      <c r="I563" s="9">
        <f>if('Point Intercept 1'!H563 = 'Point Intercept 2'!H563, 'Point Intercept 1'!H563, "ERROR")</f>
        <v>2</v>
      </c>
      <c r="J563" s="9">
        <f>if('Point Intercept 1'!J563 = 'Point Intercept 2'!J563, 'Point Intercept 1'!J563, "ERROR")</f>
        <v>3</v>
      </c>
      <c r="K563" s="9" t="str">
        <f>if('Point Intercept 1'!K563 = 'Point Intercept 2'!K563, 'Point Intercept 1'!K563, "ERROR")</f>
        <v>MEDPOL</v>
      </c>
      <c r="L563" s="9" t="str">
        <f>if('Point Intercept 1'!L563 = 'Point Intercept 2'!L563, 'Point Intercept 1'!L563, "ERROR")</f>
        <v>Medicago polymorpha</v>
      </c>
    </row>
    <row r="564">
      <c r="A564" s="9">
        <f>if('Point Intercept 1'!A564 = 'Point Intercept 2'!A564, 'Point Intercept 1'!A564, "ERROR")</f>
        <v>6</v>
      </c>
      <c r="B564" s="9">
        <f>if('Point Intercept 1'!B564 = 'Point Intercept 2'!B564, 'Point Intercept 1'!B564, "ERROR")</f>
        <v>2025</v>
      </c>
      <c r="C564" s="14">
        <f>if('Point Intercept 1'!C564 = 'Point Intercept 2'!C564, 'Point Intercept 1'!C564, "ERROR")</f>
        <v>45755</v>
      </c>
      <c r="D564" s="9" t="str">
        <f>if('Point Intercept 1'!D564 = 'Point Intercept 2'!D564, 'Point Intercept 1'!D564, "ERROR")</f>
        <v>JC, TL</v>
      </c>
      <c r="E564" s="9" t="str">
        <f>if('Point Intercept 1'!E564 = 'Point Intercept 2'!E564, 'Point Intercept 1'!E564, "ERROR")</f>
        <v>VB</v>
      </c>
      <c r="F564" s="9">
        <f>if('Point Intercept 1'!F564 = 'Point Intercept 2'!F564, 'Point Intercept 1'!F564, "ERROR")</f>
        <v>3</v>
      </c>
      <c r="G564" s="9" t="str">
        <f>if('Point Intercept 1'!G564 = 'Point Intercept 2'!G564, 'Point Intercept 1'!G564, "ERROR")</f>
        <v>SU</v>
      </c>
      <c r="H564" s="9">
        <f>if('Point Intercept 1'!I564 = 'Point Intercept 2'!I564, 'Point Intercept 1'!I564, "ERROR")</f>
        <v>5</v>
      </c>
      <c r="I564" s="9">
        <f>if('Point Intercept 1'!H564 = 'Point Intercept 2'!H564, 'Point Intercept 1'!H564, "ERROR")</f>
        <v>2</v>
      </c>
      <c r="J564" s="9">
        <f>if('Point Intercept 1'!J564 = 'Point Intercept 2'!J564, 'Point Intercept 1'!J564, "ERROR")</f>
        <v>3</v>
      </c>
      <c r="K564" s="9" t="str">
        <f>if('Point Intercept 1'!K564 = 'Point Intercept 2'!K564, 'Point Intercept 1'!K564, "ERROR")</f>
        <v>FESMYU</v>
      </c>
      <c r="L564" s="9" t="str">
        <f>if('Point Intercept 1'!L564 = 'Point Intercept 2'!L564, 'Point Intercept 1'!L564, "ERROR")</f>
        <v>Festuca myuros</v>
      </c>
    </row>
    <row r="565">
      <c r="A565" s="9">
        <f>if('Point Intercept 1'!A565 = 'Point Intercept 2'!A565, 'Point Intercept 1'!A565, "ERROR")</f>
        <v>6</v>
      </c>
      <c r="B565" s="9">
        <f>if('Point Intercept 1'!B565 = 'Point Intercept 2'!B565, 'Point Intercept 1'!B565, "ERROR")</f>
        <v>2025</v>
      </c>
      <c r="C565" s="14">
        <f>if('Point Intercept 1'!C565 = 'Point Intercept 2'!C565, 'Point Intercept 1'!C565, "ERROR")</f>
        <v>45755</v>
      </c>
      <c r="D565" s="9" t="str">
        <f>if('Point Intercept 1'!D565 = 'Point Intercept 2'!D565, 'Point Intercept 1'!D565, "ERROR")</f>
        <v>JC, TL</v>
      </c>
      <c r="E565" s="9" t="str">
        <f>if('Point Intercept 1'!E565 = 'Point Intercept 2'!E565, 'Point Intercept 1'!E565, "ERROR")</f>
        <v>VB</v>
      </c>
      <c r="F565" s="9">
        <f>if('Point Intercept 1'!F565 = 'Point Intercept 2'!F565, 'Point Intercept 1'!F565, "ERROR")</f>
        <v>3</v>
      </c>
      <c r="G565" s="9" t="str">
        <f>if('Point Intercept 1'!G565 = 'Point Intercept 2'!G565, 'Point Intercept 1'!G565, "ERROR")</f>
        <v>SU</v>
      </c>
      <c r="H565" s="9">
        <f>if('Point Intercept 1'!I565 = 'Point Intercept 2'!I565, 'Point Intercept 1'!I565, "ERROR")</f>
        <v>6</v>
      </c>
      <c r="I565" s="9">
        <f>if('Point Intercept 1'!H565 = 'Point Intercept 2'!H565, 'Point Intercept 1'!H565, "ERROR")</f>
        <v>2</v>
      </c>
      <c r="J565" s="9">
        <f>if('Point Intercept 1'!J565 = 'Point Intercept 2'!J565, 'Point Intercept 1'!J565, "ERROR")</f>
        <v>3.5</v>
      </c>
      <c r="K565" s="9" t="str">
        <f>if('Point Intercept 1'!K565 = 'Point Intercept 2'!K565, 'Point Intercept 1'!K565, "ERROR")</f>
        <v>L</v>
      </c>
      <c r="L565" s="9" t="str">
        <f>if('Point Intercept 1'!L565 = 'Point Intercept 2'!L565, 'Point Intercept 1'!L565, "ERROR")</f>
        <v>Litter</v>
      </c>
    </row>
    <row r="566">
      <c r="A566" s="9">
        <f>if('Point Intercept 1'!A566 = 'Point Intercept 2'!A566, 'Point Intercept 1'!A566, "ERROR")</f>
        <v>6</v>
      </c>
      <c r="B566" s="9">
        <f>if('Point Intercept 1'!B566 = 'Point Intercept 2'!B566, 'Point Intercept 1'!B566, "ERROR")</f>
        <v>2025</v>
      </c>
      <c r="C566" s="14">
        <f>if('Point Intercept 1'!C566 = 'Point Intercept 2'!C566, 'Point Intercept 1'!C566, "ERROR")</f>
        <v>45755</v>
      </c>
      <c r="D566" s="9" t="str">
        <f>if('Point Intercept 1'!D566 = 'Point Intercept 2'!D566, 'Point Intercept 1'!D566, "ERROR")</f>
        <v>JC, TL</v>
      </c>
      <c r="E566" s="9" t="str">
        <f>if('Point Intercept 1'!E566 = 'Point Intercept 2'!E566, 'Point Intercept 1'!E566, "ERROR")</f>
        <v>VB</v>
      </c>
      <c r="F566" s="9">
        <f>if('Point Intercept 1'!F566 = 'Point Intercept 2'!F566, 'Point Intercept 1'!F566, "ERROR")</f>
        <v>3</v>
      </c>
      <c r="G566" s="9" t="str">
        <f>if('Point Intercept 1'!G566 = 'Point Intercept 2'!G566, 'Point Intercept 1'!G566, "ERROR")</f>
        <v>SU</v>
      </c>
      <c r="H566" s="9">
        <f>if('Point Intercept 1'!I566 = 'Point Intercept 2'!I566, 'Point Intercept 1'!I566, "ERROR")</f>
        <v>6</v>
      </c>
      <c r="I566" s="9">
        <f>if('Point Intercept 1'!H566 = 'Point Intercept 2'!H566, 'Point Intercept 1'!H566, "ERROR")</f>
        <v>2</v>
      </c>
      <c r="J566" s="9">
        <f>if('Point Intercept 1'!J566 = 'Point Intercept 2'!J566, 'Point Intercept 1'!J566, "ERROR")</f>
        <v>3.5</v>
      </c>
      <c r="K566" s="9" t="str">
        <f>if('Point Intercept 1'!K566 = 'Point Intercept 2'!K566, 'Point Intercept 1'!K566, "ERROR")</f>
        <v>CRACON</v>
      </c>
      <c r="L566" s="9" t="str">
        <f>if('Point Intercept 1'!L566 = 'Point Intercept 2'!L566, 'Point Intercept 1'!L566, "ERROR")</f>
        <v>Crassula connata</v>
      </c>
    </row>
    <row r="567">
      <c r="A567" s="9">
        <f>if('Point Intercept 1'!A567 = 'Point Intercept 2'!A567, 'Point Intercept 1'!A567, "ERROR")</f>
        <v>6</v>
      </c>
      <c r="B567" s="9">
        <f>if('Point Intercept 1'!B567 = 'Point Intercept 2'!B567, 'Point Intercept 1'!B567, "ERROR")</f>
        <v>2025</v>
      </c>
      <c r="C567" s="14">
        <f>if('Point Intercept 1'!C567 = 'Point Intercept 2'!C567, 'Point Intercept 1'!C567, "ERROR")</f>
        <v>45755</v>
      </c>
      <c r="D567" s="9" t="str">
        <f>if('Point Intercept 1'!D567 = 'Point Intercept 2'!D567, 'Point Intercept 1'!D567, "ERROR")</f>
        <v>JC, TL</v>
      </c>
      <c r="E567" s="9" t="str">
        <f>if('Point Intercept 1'!E567 = 'Point Intercept 2'!E567, 'Point Intercept 1'!E567, "ERROR")</f>
        <v>VB</v>
      </c>
      <c r="F567" s="9">
        <f>if('Point Intercept 1'!F567 = 'Point Intercept 2'!F567, 'Point Intercept 1'!F567, "ERROR")</f>
        <v>3</v>
      </c>
      <c r="G567" s="9" t="str">
        <f>if('Point Intercept 1'!G567 = 'Point Intercept 2'!G567, 'Point Intercept 1'!G567, "ERROR")</f>
        <v>SU</v>
      </c>
      <c r="H567" s="9">
        <f>if('Point Intercept 1'!I567 = 'Point Intercept 2'!I567, 'Point Intercept 1'!I567, "ERROR")</f>
        <v>6</v>
      </c>
      <c r="I567" s="9">
        <f>if('Point Intercept 1'!H567 = 'Point Intercept 2'!H567, 'Point Intercept 1'!H567, "ERROR")</f>
        <v>2</v>
      </c>
      <c r="J567" s="9">
        <f>if('Point Intercept 1'!J567 = 'Point Intercept 2'!J567, 'Point Intercept 1'!J567, "ERROR")</f>
        <v>3.5</v>
      </c>
      <c r="K567" s="9" t="str">
        <f>if('Point Intercept 1'!K567 = 'Point Intercept 2'!K567, 'Point Intercept 1'!K567, "ERROR")</f>
        <v>SONOLE</v>
      </c>
      <c r="L567" s="9" t="str">
        <f>if('Point Intercept 1'!L567 = 'Point Intercept 2'!L567, 'Point Intercept 1'!L567, "ERROR")</f>
        <v>Sonchus oleraceus</v>
      </c>
    </row>
    <row r="568">
      <c r="A568" s="9">
        <f>if('Point Intercept 1'!A568 = 'Point Intercept 2'!A568, 'Point Intercept 1'!A568, "ERROR")</f>
        <v>6</v>
      </c>
      <c r="B568" s="9">
        <f>if('Point Intercept 1'!B568 = 'Point Intercept 2'!B568, 'Point Intercept 1'!B568, "ERROR")</f>
        <v>2025</v>
      </c>
      <c r="C568" s="14">
        <f>if('Point Intercept 1'!C568 = 'Point Intercept 2'!C568, 'Point Intercept 1'!C568, "ERROR")</f>
        <v>45755</v>
      </c>
      <c r="D568" s="9" t="str">
        <f>if('Point Intercept 1'!D568 = 'Point Intercept 2'!D568, 'Point Intercept 1'!D568, "ERROR")</f>
        <v>JC, TL</v>
      </c>
      <c r="E568" s="9" t="str">
        <f>if('Point Intercept 1'!E568 = 'Point Intercept 2'!E568, 'Point Intercept 1'!E568, "ERROR")</f>
        <v>VB</v>
      </c>
      <c r="F568" s="9">
        <f>if('Point Intercept 1'!F568 = 'Point Intercept 2'!F568, 'Point Intercept 1'!F568, "ERROR")</f>
        <v>3</v>
      </c>
      <c r="G568" s="9" t="str">
        <f>if('Point Intercept 1'!G568 = 'Point Intercept 2'!G568, 'Point Intercept 1'!G568, "ERROR")</f>
        <v>SU</v>
      </c>
      <c r="H568" s="9">
        <f>if('Point Intercept 1'!I568 = 'Point Intercept 2'!I568, 'Point Intercept 1'!I568, "ERROR")</f>
        <v>6</v>
      </c>
      <c r="I568" s="9">
        <f>if('Point Intercept 1'!H568 = 'Point Intercept 2'!H568, 'Point Intercept 1'!H568, "ERROR")</f>
        <v>2</v>
      </c>
      <c r="J568" s="9">
        <f>if('Point Intercept 1'!J568 = 'Point Intercept 2'!J568, 'Point Intercept 1'!J568, "ERROR")</f>
        <v>3.5</v>
      </c>
      <c r="K568" s="9" t="str">
        <f>if('Point Intercept 1'!K568 = 'Point Intercept 2'!K568, 'Point Intercept 1'!K568, "ERROR")</f>
        <v>FESMYU</v>
      </c>
      <c r="L568" s="9" t="str">
        <f>if('Point Intercept 1'!L568 = 'Point Intercept 2'!L568, 'Point Intercept 1'!L568, "ERROR")</f>
        <v>Festuca myuros</v>
      </c>
    </row>
    <row r="569">
      <c r="A569" s="9">
        <f>if('Point Intercept 1'!A569 = 'Point Intercept 2'!A569, 'Point Intercept 1'!A569, "ERROR")</f>
        <v>6</v>
      </c>
      <c r="B569" s="9">
        <f>if('Point Intercept 1'!B569 = 'Point Intercept 2'!B569, 'Point Intercept 1'!B569, "ERROR")</f>
        <v>2025</v>
      </c>
      <c r="C569" s="14">
        <f>if('Point Intercept 1'!C569 = 'Point Intercept 2'!C569, 'Point Intercept 1'!C569, "ERROR")</f>
        <v>45755</v>
      </c>
      <c r="D569" s="9" t="str">
        <f>if('Point Intercept 1'!D569 = 'Point Intercept 2'!D569, 'Point Intercept 1'!D569, "ERROR")</f>
        <v>JC, TL</v>
      </c>
      <c r="E569" s="9" t="str">
        <f>if('Point Intercept 1'!E569 = 'Point Intercept 2'!E569, 'Point Intercept 1'!E569, "ERROR")</f>
        <v>VB</v>
      </c>
      <c r="F569" s="9">
        <f>if('Point Intercept 1'!F569 = 'Point Intercept 2'!F569, 'Point Intercept 1'!F569, "ERROR")</f>
        <v>3</v>
      </c>
      <c r="G569" s="9" t="str">
        <f>if('Point Intercept 1'!G569 = 'Point Intercept 2'!G569, 'Point Intercept 1'!G569, "ERROR")</f>
        <v>SU</v>
      </c>
      <c r="H569" s="9">
        <f>if('Point Intercept 1'!I569 = 'Point Intercept 2'!I569, 'Point Intercept 1'!I569, "ERROR")</f>
        <v>7</v>
      </c>
      <c r="I569" s="9">
        <f>if('Point Intercept 1'!H569 = 'Point Intercept 2'!H569, 'Point Intercept 1'!H569, "ERROR")</f>
        <v>2</v>
      </c>
      <c r="J569" s="9">
        <f>if('Point Intercept 1'!J569 = 'Point Intercept 2'!J569, 'Point Intercept 1'!J569, "ERROR")</f>
        <v>4</v>
      </c>
      <c r="K569" s="9" t="str">
        <f>if('Point Intercept 1'!K569 = 'Point Intercept 2'!K569, 'Point Intercept 1'!K569, "ERROR")</f>
        <v>B</v>
      </c>
      <c r="L569" s="9" t="str">
        <f>if('Point Intercept 1'!L569 = 'Point Intercept 2'!L569, 'Point Intercept 1'!L569, "ERROR")</f>
        <v>Bareground</v>
      </c>
    </row>
    <row r="570">
      <c r="A570" s="9">
        <f>if('Point Intercept 1'!A570 = 'Point Intercept 2'!A570, 'Point Intercept 1'!A570, "ERROR")</f>
        <v>6</v>
      </c>
      <c r="B570" s="9">
        <f>if('Point Intercept 1'!B570 = 'Point Intercept 2'!B570, 'Point Intercept 1'!B570, "ERROR")</f>
        <v>2025</v>
      </c>
      <c r="C570" s="14">
        <f>if('Point Intercept 1'!C570 = 'Point Intercept 2'!C570, 'Point Intercept 1'!C570, "ERROR")</f>
        <v>45755</v>
      </c>
      <c r="D570" s="9" t="str">
        <f>if('Point Intercept 1'!D570 = 'Point Intercept 2'!D570, 'Point Intercept 1'!D570, "ERROR")</f>
        <v>JC, TL</v>
      </c>
      <c r="E570" s="9" t="str">
        <f>if('Point Intercept 1'!E570 = 'Point Intercept 2'!E570, 'Point Intercept 1'!E570, "ERROR")</f>
        <v>VB</v>
      </c>
      <c r="F570" s="9">
        <f>if('Point Intercept 1'!F570 = 'Point Intercept 2'!F570, 'Point Intercept 1'!F570, "ERROR")</f>
        <v>3</v>
      </c>
      <c r="G570" s="9" t="str">
        <f>if('Point Intercept 1'!G570 = 'Point Intercept 2'!G570, 'Point Intercept 1'!G570, "ERROR")</f>
        <v>SU</v>
      </c>
      <c r="H570" s="9">
        <f>if('Point Intercept 1'!I570 = 'Point Intercept 2'!I570, 'Point Intercept 1'!I570, "ERROR")</f>
        <v>7</v>
      </c>
      <c r="I570" s="9">
        <f>if('Point Intercept 1'!H570 = 'Point Intercept 2'!H570, 'Point Intercept 1'!H570, "ERROR")</f>
        <v>2</v>
      </c>
      <c r="J570" s="9">
        <f>if('Point Intercept 1'!J570 = 'Point Intercept 2'!J570, 'Point Intercept 1'!J570, "ERROR")</f>
        <v>4</v>
      </c>
      <c r="K570" s="9" t="str">
        <f>if('Point Intercept 1'!K570 = 'Point Intercept 2'!K570, 'Point Intercept 1'!K570, "ERROR")</f>
        <v>SONOLE</v>
      </c>
      <c r="L570" s="9" t="str">
        <f>if('Point Intercept 1'!L570 = 'Point Intercept 2'!L570, 'Point Intercept 1'!L570, "ERROR")</f>
        <v>Sonchus oleraceus</v>
      </c>
    </row>
    <row r="571">
      <c r="A571" s="9">
        <f>if('Point Intercept 1'!A571 = 'Point Intercept 2'!A571, 'Point Intercept 1'!A571, "ERROR")</f>
        <v>6</v>
      </c>
      <c r="B571" s="9">
        <f>if('Point Intercept 1'!B571 = 'Point Intercept 2'!B571, 'Point Intercept 1'!B571, "ERROR")</f>
        <v>2025</v>
      </c>
      <c r="C571" s="14">
        <f>if('Point Intercept 1'!C571 = 'Point Intercept 2'!C571, 'Point Intercept 1'!C571, "ERROR")</f>
        <v>45755</v>
      </c>
      <c r="D571" s="9" t="str">
        <f>if('Point Intercept 1'!D571 = 'Point Intercept 2'!D571, 'Point Intercept 1'!D571, "ERROR")</f>
        <v>JC, TL</v>
      </c>
      <c r="E571" s="9" t="str">
        <f>if('Point Intercept 1'!E571 = 'Point Intercept 2'!E571, 'Point Intercept 1'!E571, "ERROR")</f>
        <v>VB</v>
      </c>
      <c r="F571" s="9">
        <f>if('Point Intercept 1'!F571 = 'Point Intercept 2'!F571, 'Point Intercept 1'!F571, "ERROR")</f>
        <v>3</v>
      </c>
      <c r="G571" s="9" t="str">
        <f>if('Point Intercept 1'!G571 = 'Point Intercept 2'!G571, 'Point Intercept 1'!G571, "ERROR")</f>
        <v>SU</v>
      </c>
      <c r="H571" s="9">
        <f>if('Point Intercept 1'!I571 = 'Point Intercept 2'!I571, 'Point Intercept 1'!I571, "ERROR")</f>
        <v>7</v>
      </c>
      <c r="I571" s="9">
        <f>if('Point Intercept 1'!H571 = 'Point Intercept 2'!H571, 'Point Intercept 1'!H571, "ERROR")</f>
        <v>2</v>
      </c>
      <c r="J571" s="9">
        <f>if('Point Intercept 1'!J571 = 'Point Intercept 2'!J571, 'Point Intercept 1'!J571, "ERROR")</f>
        <v>4</v>
      </c>
      <c r="K571" s="9" t="str">
        <f>if('Point Intercept 1'!K571 = 'Point Intercept 2'!K571, 'Point Intercept 1'!K571, "ERROR")</f>
        <v>FESMYU</v>
      </c>
      <c r="L571" s="9" t="str">
        <f>if('Point Intercept 1'!L571 = 'Point Intercept 2'!L571, 'Point Intercept 1'!L571, "ERROR")</f>
        <v>Festuca myuros</v>
      </c>
    </row>
    <row r="572">
      <c r="A572" s="9">
        <f>if('Point Intercept 1'!A572 = 'Point Intercept 2'!A572, 'Point Intercept 1'!A572, "ERROR")</f>
        <v>6</v>
      </c>
      <c r="B572" s="9">
        <f>if('Point Intercept 1'!B572 = 'Point Intercept 2'!B572, 'Point Intercept 1'!B572, "ERROR")</f>
        <v>2025</v>
      </c>
      <c r="C572" s="14">
        <f>if('Point Intercept 1'!C572 = 'Point Intercept 2'!C572, 'Point Intercept 1'!C572, "ERROR")</f>
        <v>45755</v>
      </c>
      <c r="D572" s="9" t="str">
        <f>if('Point Intercept 1'!D572 = 'Point Intercept 2'!D572, 'Point Intercept 1'!D572, "ERROR")</f>
        <v>JC, TL</v>
      </c>
      <c r="E572" s="9" t="str">
        <f>if('Point Intercept 1'!E572 = 'Point Intercept 2'!E572, 'Point Intercept 1'!E572, "ERROR")</f>
        <v>VB</v>
      </c>
      <c r="F572" s="9">
        <f>if('Point Intercept 1'!F572 = 'Point Intercept 2'!F572, 'Point Intercept 1'!F572, "ERROR")</f>
        <v>3</v>
      </c>
      <c r="G572" s="9" t="str">
        <f>if('Point Intercept 1'!G572 = 'Point Intercept 2'!G572, 'Point Intercept 1'!G572, "ERROR")</f>
        <v>SU</v>
      </c>
      <c r="H572" s="9">
        <f>if('Point Intercept 1'!I572 = 'Point Intercept 2'!I572, 'Point Intercept 1'!I572, "ERROR")</f>
        <v>8</v>
      </c>
      <c r="I572" s="9">
        <f>if('Point Intercept 1'!H572 = 'Point Intercept 2'!H572, 'Point Intercept 1'!H572, "ERROR")</f>
        <v>2</v>
      </c>
      <c r="J572" s="9">
        <f>if('Point Intercept 1'!J572 = 'Point Intercept 2'!J572, 'Point Intercept 1'!J572, "ERROR")</f>
        <v>5</v>
      </c>
      <c r="K572" s="9" t="str">
        <f>if('Point Intercept 1'!K572 = 'Point Intercept 2'!K572, 'Point Intercept 1'!K572, "ERROR")</f>
        <v>L</v>
      </c>
      <c r="L572" s="9" t="str">
        <f>if('Point Intercept 1'!L572 = 'Point Intercept 2'!L572, 'Point Intercept 1'!L572, "ERROR")</f>
        <v>Litter</v>
      </c>
    </row>
    <row r="573">
      <c r="A573" s="9">
        <f>if('Point Intercept 1'!A573 = 'Point Intercept 2'!A573, 'Point Intercept 1'!A573, "ERROR")</f>
        <v>6</v>
      </c>
      <c r="B573" s="9">
        <f>if('Point Intercept 1'!B573 = 'Point Intercept 2'!B573, 'Point Intercept 1'!B573, "ERROR")</f>
        <v>2025</v>
      </c>
      <c r="C573" s="14">
        <f>if('Point Intercept 1'!C573 = 'Point Intercept 2'!C573, 'Point Intercept 1'!C573, "ERROR")</f>
        <v>45755</v>
      </c>
      <c r="D573" s="9" t="str">
        <f>if('Point Intercept 1'!D573 = 'Point Intercept 2'!D573, 'Point Intercept 1'!D573, "ERROR")</f>
        <v>JC, TL</v>
      </c>
      <c r="E573" s="9" t="str">
        <f>if('Point Intercept 1'!E573 = 'Point Intercept 2'!E573, 'Point Intercept 1'!E573, "ERROR")</f>
        <v>VB</v>
      </c>
      <c r="F573" s="9">
        <f>if('Point Intercept 1'!F573 = 'Point Intercept 2'!F573, 'Point Intercept 1'!F573, "ERROR")</f>
        <v>3</v>
      </c>
      <c r="G573" s="9" t="str">
        <f>if('Point Intercept 1'!G573 = 'Point Intercept 2'!G573, 'Point Intercept 1'!G573, "ERROR")</f>
        <v>SU</v>
      </c>
      <c r="H573" s="9">
        <f>if('Point Intercept 1'!I573 = 'Point Intercept 2'!I573, 'Point Intercept 1'!I573, "ERROR")</f>
        <v>8</v>
      </c>
      <c r="I573" s="9">
        <f>if('Point Intercept 1'!H573 = 'Point Intercept 2'!H573, 'Point Intercept 1'!H573, "ERROR")</f>
        <v>2</v>
      </c>
      <c r="J573" s="9">
        <f>if('Point Intercept 1'!J573 = 'Point Intercept 2'!J573, 'Point Intercept 1'!J573, "ERROR")</f>
        <v>5</v>
      </c>
      <c r="K573" s="9" t="str">
        <f>if('Point Intercept 1'!K573 = 'Point Intercept 2'!K573, 'Point Intercept 1'!K573, "ERROR")</f>
        <v>FESMYU</v>
      </c>
      <c r="L573" s="9" t="str">
        <f>if('Point Intercept 1'!L573 = 'Point Intercept 2'!L573, 'Point Intercept 1'!L573, "ERROR")</f>
        <v>Festuca myuros</v>
      </c>
    </row>
    <row r="574">
      <c r="A574" s="9">
        <f>if('Point Intercept 1'!A574 = 'Point Intercept 2'!A574, 'Point Intercept 1'!A574, "ERROR")</f>
        <v>6</v>
      </c>
      <c r="B574" s="9">
        <f>if('Point Intercept 1'!B574 = 'Point Intercept 2'!B574, 'Point Intercept 1'!B574, "ERROR")</f>
        <v>2025</v>
      </c>
      <c r="C574" s="14">
        <f>if('Point Intercept 1'!C574 = 'Point Intercept 2'!C574, 'Point Intercept 1'!C574, "ERROR")</f>
        <v>45755</v>
      </c>
      <c r="D574" s="9" t="str">
        <f>if('Point Intercept 1'!D574 = 'Point Intercept 2'!D574, 'Point Intercept 1'!D574, "ERROR")</f>
        <v>JC, TL</v>
      </c>
      <c r="E574" s="9" t="str">
        <f>if('Point Intercept 1'!E574 = 'Point Intercept 2'!E574, 'Point Intercept 1'!E574, "ERROR")</f>
        <v>VB</v>
      </c>
      <c r="F574" s="9">
        <f>if('Point Intercept 1'!F574 = 'Point Intercept 2'!F574, 'Point Intercept 1'!F574, "ERROR")</f>
        <v>3</v>
      </c>
      <c r="G574" s="9" t="str">
        <f>if('Point Intercept 1'!G574 = 'Point Intercept 2'!G574, 'Point Intercept 1'!G574, "ERROR")</f>
        <v>SU</v>
      </c>
      <c r="H574" s="9">
        <f>if('Point Intercept 1'!I574 = 'Point Intercept 2'!I574, 'Point Intercept 1'!I574, "ERROR")</f>
        <v>9</v>
      </c>
      <c r="I574" s="9">
        <f>if('Point Intercept 1'!H574 = 'Point Intercept 2'!H574, 'Point Intercept 1'!H574, "ERROR")</f>
        <v>2</v>
      </c>
      <c r="J574" s="9">
        <f>if('Point Intercept 1'!J574 = 'Point Intercept 2'!J574, 'Point Intercept 1'!J574, "ERROR")</f>
        <v>7</v>
      </c>
      <c r="K574" s="9" t="str">
        <f>if('Point Intercept 1'!K574 = 'Point Intercept 2'!K574, 'Point Intercept 1'!K574, "ERROR")</f>
        <v>L</v>
      </c>
      <c r="L574" s="9" t="str">
        <f>if('Point Intercept 1'!L574 = 'Point Intercept 2'!L574, 'Point Intercept 1'!L574, "ERROR")</f>
        <v>Litter</v>
      </c>
    </row>
    <row r="575">
      <c r="A575" s="9">
        <f>if('Point Intercept 1'!A575 = 'Point Intercept 2'!A575, 'Point Intercept 1'!A575, "ERROR")</f>
        <v>6</v>
      </c>
      <c r="B575" s="9">
        <f>if('Point Intercept 1'!B575 = 'Point Intercept 2'!B575, 'Point Intercept 1'!B575, "ERROR")</f>
        <v>2025</v>
      </c>
      <c r="C575" s="14">
        <f>if('Point Intercept 1'!C575 = 'Point Intercept 2'!C575, 'Point Intercept 1'!C575, "ERROR")</f>
        <v>45755</v>
      </c>
      <c r="D575" s="9" t="str">
        <f>if('Point Intercept 1'!D575 = 'Point Intercept 2'!D575, 'Point Intercept 1'!D575, "ERROR")</f>
        <v>JC, TL</v>
      </c>
      <c r="E575" s="9" t="str">
        <f>if('Point Intercept 1'!E575 = 'Point Intercept 2'!E575, 'Point Intercept 1'!E575, "ERROR")</f>
        <v>VB</v>
      </c>
      <c r="F575" s="9">
        <f>if('Point Intercept 1'!F575 = 'Point Intercept 2'!F575, 'Point Intercept 1'!F575, "ERROR")</f>
        <v>3</v>
      </c>
      <c r="G575" s="9" t="str">
        <f>if('Point Intercept 1'!G575 = 'Point Intercept 2'!G575, 'Point Intercept 1'!G575, "ERROR")</f>
        <v>SU</v>
      </c>
      <c r="H575" s="9">
        <f>if('Point Intercept 1'!I575 = 'Point Intercept 2'!I575, 'Point Intercept 1'!I575, "ERROR")</f>
        <v>9</v>
      </c>
      <c r="I575" s="9">
        <f>if('Point Intercept 1'!H575 = 'Point Intercept 2'!H575, 'Point Intercept 1'!H575, "ERROR")</f>
        <v>2</v>
      </c>
      <c r="J575" s="9">
        <f>if('Point Intercept 1'!J575 = 'Point Intercept 2'!J575, 'Point Intercept 1'!J575, "ERROR")</f>
        <v>7</v>
      </c>
      <c r="K575" s="9" t="str">
        <f>if('Point Intercept 1'!K575 = 'Point Intercept 2'!K575, 'Point Intercept 1'!K575, "ERROR")</f>
        <v>EROCIC</v>
      </c>
      <c r="L575" s="9" t="str">
        <f>if('Point Intercept 1'!L575 = 'Point Intercept 2'!L575, 'Point Intercept 1'!L575, "ERROR")</f>
        <v>Erodium cicutarium</v>
      </c>
    </row>
    <row r="576">
      <c r="A576" s="9">
        <f>if('Point Intercept 1'!A576 = 'Point Intercept 2'!A576, 'Point Intercept 1'!A576, "ERROR")</f>
        <v>6</v>
      </c>
      <c r="B576" s="9">
        <f>if('Point Intercept 1'!B576 = 'Point Intercept 2'!B576, 'Point Intercept 1'!B576, "ERROR")</f>
        <v>2025</v>
      </c>
      <c r="C576" s="14">
        <f>if('Point Intercept 1'!C576 = 'Point Intercept 2'!C576, 'Point Intercept 1'!C576, "ERROR")</f>
        <v>45755</v>
      </c>
      <c r="D576" s="9" t="str">
        <f>if('Point Intercept 1'!D576 = 'Point Intercept 2'!D576, 'Point Intercept 1'!D576, "ERROR")</f>
        <v>JC, TL</v>
      </c>
      <c r="E576" s="9" t="str">
        <f>if('Point Intercept 1'!E576 = 'Point Intercept 2'!E576, 'Point Intercept 1'!E576, "ERROR")</f>
        <v>VB</v>
      </c>
      <c r="F576" s="9">
        <f>if('Point Intercept 1'!F576 = 'Point Intercept 2'!F576, 'Point Intercept 1'!F576, "ERROR")</f>
        <v>3</v>
      </c>
      <c r="G576" s="9" t="str">
        <f>if('Point Intercept 1'!G576 = 'Point Intercept 2'!G576, 'Point Intercept 1'!G576, "ERROR")</f>
        <v>SU</v>
      </c>
      <c r="H576" s="9">
        <f>if('Point Intercept 1'!I576 = 'Point Intercept 2'!I576, 'Point Intercept 1'!I576, "ERROR")</f>
        <v>9</v>
      </c>
      <c r="I576" s="9">
        <f>if('Point Intercept 1'!H576 = 'Point Intercept 2'!H576, 'Point Intercept 1'!H576, "ERROR")</f>
        <v>2</v>
      </c>
      <c r="J576" s="9">
        <f>if('Point Intercept 1'!J576 = 'Point Intercept 2'!J576, 'Point Intercept 1'!J576, "ERROR")</f>
        <v>7</v>
      </c>
      <c r="K576" s="9" t="str">
        <f>if('Point Intercept 1'!K576 = 'Point Intercept 2'!K576, 'Point Intercept 1'!K576, "ERROR")</f>
        <v>DEIFAS</v>
      </c>
      <c r="L576" s="9" t="str">
        <f>if('Point Intercept 1'!L576 = 'Point Intercept 2'!L576, 'Point Intercept 1'!L576, "ERROR")</f>
        <v>Deinandra fasciculata</v>
      </c>
    </row>
    <row r="577">
      <c r="A577" s="9">
        <f>if('Point Intercept 1'!A577 = 'Point Intercept 2'!A577, 'Point Intercept 1'!A577, "ERROR")</f>
        <v>6</v>
      </c>
      <c r="B577" s="9">
        <f>if('Point Intercept 1'!B577 = 'Point Intercept 2'!B577, 'Point Intercept 1'!B577, "ERROR")</f>
        <v>2025</v>
      </c>
      <c r="C577" s="14">
        <f>if('Point Intercept 1'!C577 = 'Point Intercept 2'!C577, 'Point Intercept 1'!C577, "ERROR")</f>
        <v>45755</v>
      </c>
      <c r="D577" s="9" t="str">
        <f>if('Point Intercept 1'!D577 = 'Point Intercept 2'!D577, 'Point Intercept 1'!D577, "ERROR")</f>
        <v>JC, TL</v>
      </c>
      <c r="E577" s="9" t="str">
        <f>if('Point Intercept 1'!E577 = 'Point Intercept 2'!E577, 'Point Intercept 1'!E577, "ERROR")</f>
        <v>VB</v>
      </c>
      <c r="F577" s="9">
        <f>if('Point Intercept 1'!F577 = 'Point Intercept 2'!F577, 'Point Intercept 1'!F577, "ERROR")</f>
        <v>3</v>
      </c>
      <c r="G577" s="9" t="str">
        <f>if('Point Intercept 1'!G577 = 'Point Intercept 2'!G577, 'Point Intercept 1'!G577, "ERROR")</f>
        <v>SU</v>
      </c>
      <c r="H577" s="9">
        <f>if('Point Intercept 1'!I577 = 'Point Intercept 2'!I577, 'Point Intercept 1'!I577, "ERROR")</f>
        <v>9</v>
      </c>
      <c r="I577" s="9">
        <f>if('Point Intercept 1'!H577 = 'Point Intercept 2'!H577, 'Point Intercept 1'!H577, "ERROR")</f>
        <v>2</v>
      </c>
      <c r="J577" s="9">
        <f>if('Point Intercept 1'!J577 = 'Point Intercept 2'!J577, 'Point Intercept 1'!J577, "ERROR")</f>
        <v>7</v>
      </c>
      <c r="K577" s="9" t="str">
        <f>if('Point Intercept 1'!K577 = 'Point Intercept 2'!K577, 'Point Intercept 1'!K577, "ERROR")</f>
        <v>FESMYU</v>
      </c>
      <c r="L577" s="9" t="str">
        <f>if('Point Intercept 1'!L577 = 'Point Intercept 2'!L577, 'Point Intercept 1'!L577, "ERROR")</f>
        <v>Festuca myuros</v>
      </c>
    </row>
    <row r="578">
      <c r="A578" s="9">
        <f>if('Point Intercept 1'!A578 = 'Point Intercept 2'!A578, 'Point Intercept 1'!A578, "ERROR")</f>
        <v>6</v>
      </c>
      <c r="B578" s="9">
        <f>if('Point Intercept 1'!B578 = 'Point Intercept 2'!B578, 'Point Intercept 1'!B578, "ERROR")</f>
        <v>2025</v>
      </c>
      <c r="C578" s="14">
        <f>if('Point Intercept 1'!C578 = 'Point Intercept 2'!C578, 'Point Intercept 1'!C578, "ERROR")</f>
        <v>45755</v>
      </c>
      <c r="D578" s="9" t="str">
        <f>if('Point Intercept 1'!D578 = 'Point Intercept 2'!D578, 'Point Intercept 1'!D578, "ERROR")</f>
        <v>JC, TL</v>
      </c>
      <c r="E578" s="9" t="str">
        <f>if('Point Intercept 1'!E578 = 'Point Intercept 2'!E578, 'Point Intercept 1'!E578, "ERROR")</f>
        <v>VB</v>
      </c>
      <c r="F578" s="9">
        <f>if('Point Intercept 1'!F578 = 'Point Intercept 2'!F578, 'Point Intercept 1'!F578, "ERROR")</f>
        <v>3</v>
      </c>
      <c r="G578" s="9" t="str">
        <f>if('Point Intercept 1'!G578 = 'Point Intercept 2'!G578, 'Point Intercept 1'!G578, "ERROR")</f>
        <v>SU</v>
      </c>
      <c r="H578" s="9">
        <f>if('Point Intercept 1'!I578 = 'Point Intercept 2'!I578, 'Point Intercept 1'!I578, "ERROR")</f>
        <v>10</v>
      </c>
      <c r="I578" s="9">
        <f>if('Point Intercept 1'!H578 = 'Point Intercept 2'!H578, 'Point Intercept 1'!H578, "ERROR")</f>
        <v>2</v>
      </c>
      <c r="J578" s="9">
        <f>if('Point Intercept 1'!J578 = 'Point Intercept 2'!J578, 'Point Intercept 1'!J578, "ERROR")</f>
        <v>8</v>
      </c>
      <c r="K578" s="9" t="str">
        <f>if('Point Intercept 1'!K578 = 'Point Intercept 2'!K578, 'Point Intercept 1'!K578, "ERROR")</f>
        <v>L</v>
      </c>
      <c r="L578" s="9" t="str">
        <f>if('Point Intercept 1'!L578 = 'Point Intercept 2'!L578, 'Point Intercept 1'!L578, "ERROR")</f>
        <v>Litter</v>
      </c>
    </row>
    <row r="579">
      <c r="A579" s="9">
        <f>if('Point Intercept 1'!A579 = 'Point Intercept 2'!A579, 'Point Intercept 1'!A579, "ERROR")</f>
        <v>6</v>
      </c>
      <c r="B579" s="9">
        <f>if('Point Intercept 1'!B579 = 'Point Intercept 2'!B579, 'Point Intercept 1'!B579, "ERROR")</f>
        <v>2025</v>
      </c>
      <c r="C579" s="14">
        <f>if('Point Intercept 1'!C579 = 'Point Intercept 2'!C579, 'Point Intercept 1'!C579, "ERROR")</f>
        <v>45755</v>
      </c>
      <c r="D579" s="9" t="str">
        <f>if('Point Intercept 1'!D579 = 'Point Intercept 2'!D579, 'Point Intercept 1'!D579, "ERROR")</f>
        <v>JC, TL</v>
      </c>
      <c r="E579" s="9" t="str">
        <f>if('Point Intercept 1'!E579 = 'Point Intercept 2'!E579, 'Point Intercept 1'!E579, "ERROR")</f>
        <v>VB</v>
      </c>
      <c r="F579" s="9">
        <f>if('Point Intercept 1'!F579 = 'Point Intercept 2'!F579, 'Point Intercept 1'!F579, "ERROR")</f>
        <v>3</v>
      </c>
      <c r="G579" s="9" t="str">
        <f>if('Point Intercept 1'!G579 = 'Point Intercept 2'!G579, 'Point Intercept 1'!G579, "ERROR")</f>
        <v>SU</v>
      </c>
      <c r="H579" s="9">
        <f>if('Point Intercept 1'!I579 = 'Point Intercept 2'!I579, 'Point Intercept 1'!I579, "ERROR")</f>
        <v>10</v>
      </c>
      <c r="I579" s="9">
        <f>if('Point Intercept 1'!H579 = 'Point Intercept 2'!H579, 'Point Intercept 1'!H579, "ERROR")</f>
        <v>2</v>
      </c>
      <c r="J579" s="9">
        <f>if('Point Intercept 1'!J579 = 'Point Intercept 2'!J579, 'Point Intercept 1'!J579, "ERROR")</f>
        <v>8</v>
      </c>
      <c r="K579" s="9" t="str">
        <f>if('Point Intercept 1'!K579 = 'Point Intercept 2'!K579, 'Point Intercept 1'!K579, "ERROR")</f>
        <v>FESMYU</v>
      </c>
      <c r="L579" s="9" t="str">
        <f>if('Point Intercept 1'!L579 = 'Point Intercept 2'!L579, 'Point Intercept 1'!L579, "ERROR")</f>
        <v>Festuca myuros</v>
      </c>
    </row>
    <row r="580">
      <c r="A580" s="9">
        <f>if('Point Intercept 1'!A580 = 'Point Intercept 2'!A580, 'Point Intercept 1'!A580, "ERROR")</f>
        <v>6</v>
      </c>
      <c r="B580" s="9">
        <f>if('Point Intercept 1'!B580 = 'Point Intercept 2'!B580, 'Point Intercept 1'!B580, "ERROR")</f>
        <v>2025</v>
      </c>
      <c r="C580" s="14">
        <f>if('Point Intercept 1'!C580 = 'Point Intercept 2'!C580, 'Point Intercept 1'!C580, "ERROR")</f>
        <v>45755</v>
      </c>
      <c r="D580" s="9" t="str">
        <f>if('Point Intercept 1'!D580 = 'Point Intercept 2'!D580, 'Point Intercept 1'!D580, "ERROR")</f>
        <v>JC, TL</v>
      </c>
      <c r="E580" s="9" t="str">
        <f>if('Point Intercept 1'!E580 = 'Point Intercept 2'!E580, 'Point Intercept 1'!E580, "ERROR")</f>
        <v>VB</v>
      </c>
      <c r="F580" s="9">
        <f>if('Point Intercept 1'!F580 = 'Point Intercept 2'!F580, 'Point Intercept 1'!F580, "ERROR")</f>
        <v>3</v>
      </c>
      <c r="G580" s="9" t="str">
        <f>if('Point Intercept 1'!G580 = 'Point Intercept 2'!G580, 'Point Intercept 1'!G580, "ERROR")</f>
        <v>SU</v>
      </c>
      <c r="H580" s="9">
        <f>if('Point Intercept 1'!I580 = 'Point Intercept 2'!I580, 'Point Intercept 1'!I580, "ERROR")</f>
        <v>11</v>
      </c>
      <c r="I580" s="9">
        <f>if('Point Intercept 1'!H580 = 'Point Intercept 2'!H580, 'Point Intercept 1'!H580, "ERROR")</f>
        <v>2</v>
      </c>
      <c r="J580" s="9">
        <f>if('Point Intercept 1'!J580 = 'Point Intercept 2'!J580, 'Point Intercept 1'!J580, "ERROR")</f>
        <v>8.5</v>
      </c>
      <c r="K580" s="9" t="str">
        <f>if('Point Intercept 1'!K580 = 'Point Intercept 2'!K580, 'Point Intercept 1'!K580, "ERROR")</f>
        <v>B</v>
      </c>
      <c r="L580" s="9" t="str">
        <f>if('Point Intercept 1'!L580 = 'Point Intercept 2'!L580, 'Point Intercept 1'!L580, "ERROR")</f>
        <v>Bareground</v>
      </c>
    </row>
    <row r="581">
      <c r="A581" s="9">
        <f>if('Point Intercept 1'!A581 = 'Point Intercept 2'!A581, 'Point Intercept 1'!A581, "ERROR")</f>
        <v>6</v>
      </c>
      <c r="B581" s="9">
        <f>if('Point Intercept 1'!B581 = 'Point Intercept 2'!B581, 'Point Intercept 1'!B581, "ERROR")</f>
        <v>2025</v>
      </c>
      <c r="C581" s="14">
        <f>if('Point Intercept 1'!C581 = 'Point Intercept 2'!C581, 'Point Intercept 1'!C581, "ERROR")</f>
        <v>45755</v>
      </c>
      <c r="D581" s="9" t="str">
        <f>if('Point Intercept 1'!D581 = 'Point Intercept 2'!D581, 'Point Intercept 1'!D581, "ERROR")</f>
        <v>JC, TL</v>
      </c>
      <c r="E581" s="9" t="str">
        <f>if('Point Intercept 1'!E581 = 'Point Intercept 2'!E581, 'Point Intercept 1'!E581, "ERROR")</f>
        <v>VB</v>
      </c>
      <c r="F581" s="9">
        <f>if('Point Intercept 1'!F581 = 'Point Intercept 2'!F581, 'Point Intercept 1'!F581, "ERROR")</f>
        <v>3</v>
      </c>
      <c r="G581" s="9" t="str">
        <f>if('Point Intercept 1'!G581 = 'Point Intercept 2'!G581, 'Point Intercept 1'!G581, "ERROR")</f>
        <v>SU</v>
      </c>
      <c r="H581" s="9">
        <f>if('Point Intercept 1'!I581 = 'Point Intercept 2'!I581, 'Point Intercept 1'!I581, "ERROR")</f>
        <v>11</v>
      </c>
      <c r="I581" s="9">
        <f>if('Point Intercept 1'!H581 = 'Point Intercept 2'!H581, 'Point Intercept 1'!H581, "ERROR")</f>
        <v>2</v>
      </c>
      <c r="J581" s="9">
        <f>if('Point Intercept 1'!J581 = 'Point Intercept 2'!J581, 'Point Intercept 1'!J581, "ERROR")</f>
        <v>8.5</v>
      </c>
      <c r="K581" s="9" t="str">
        <f>if('Point Intercept 1'!K581 = 'Point Intercept 2'!K581, 'Point Intercept 1'!K581, "ERROR")</f>
        <v>FESMYU</v>
      </c>
      <c r="L581" s="9" t="str">
        <f>if('Point Intercept 1'!L581 = 'Point Intercept 2'!L581, 'Point Intercept 1'!L581, "ERROR")</f>
        <v>Festuca myuros</v>
      </c>
    </row>
    <row r="582">
      <c r="A582" s="9">
        <f>if('Point Intercept 1'!A582 = 'Point Intercept 2'!A582, 'Point Intercept 1'!A582, "ERROR")</f>
        <v>6</v>
      </c>
      <c r="B582" s="9">
        <f>if('Point Intercept 1'!B582 = 'Point Intercept 2'!B582, 'Point Intercept 1'!B582, "ERROR")</f>
        <v>2025</v>
      </c>
      <c r="C582" s="14">
        <f>if('Point Intercept 1'!C582 = 'Point Intercept 2'!C582, 'Point Intercept 1'!C582, "ERROR")</f>
        <v>45755</v>
      </c>
      <c r="D582" s="9" t="str">
        <f>if('Point Intercept 1'!D582 = 'Point Intercept 2'!D582, 'Point Intercept 1'!D582, "ERROR")</f>
        <v>JC, TL</v>
      </c>
      <c r="E582" s="9" t="str">
        <f>if('Point Intercept 1'!E582 = 'Point Intercept 2'!E582, 'Point Intercept 1'!E582, "ERROR")</f>
        <v>VB</v>
      </c>
      <c r="F582" s="9">
        <f>if('Point Intercept 1'!F582 = 'Point Intercept 2'!F582, 'Point Intercept 1'!F582, "ERROR")</f>
        <v>3</v>
      </c>
      <c r="G582" s="9" t="str">
        <f>if('Point Intercept 1'!G582 = 'Point Intercept 2'!G582, 'Point Intercept 1'!G582, "ERROR")</f>
        <v>SU</v>
      </c>
      <c r="H582" s="9">
        <f>if('Point Intercept 1'!I582 = 'Point Intercept 2'!I582, 'Point Intercept 1'!I582, "ERROR")</f>
        <v>12</v>
      </c>
      <c r="I582" s="9">
        <f>if('Point Intercept 1'!H582 = 'Point Intercept 2'!H582, 'Point Intercept 1'!H582, "ERROR")</f>
        <v>2</v>
      </c>
      <c r="J582" s="9">
        <f>if('Point Intercept 1'!J582 = 'Point Intercept 2'!J582, 'Point Intercept 1'!J582, "ERROR")</f>
        <v>9</v>
      </c>
      <c r="K582" s="9" t="str">
        <f>if('Point Intercept 1'!K582 = 'Point Intercept 2'!K582, 'Point Intercept 1'!K582, "ERROR")</f>
        <v>L</v>
      </c>
      <c r="L582" s="9" t="str">
        <f>if('Point Intercept 1'!L582 = 'Point Intercept 2'!L582, 'Point Intercept 1'!L582, "ERROR")</f>
        <v>Litter</v>
      </c>
    </row>
    <row r="583">
      <c r="A583" s="9">
        <f>if('Point Intercept 1'!A583 = 'Point Intercept 2'!A583, 'Point Intercept 1'!A583, "ERROR")</f>
        <v>6</v>
      </c>
      <c r="B583" s="9">
        <f>if('Point Intercept 1'!B583 = 'Point Intercept 2'!B583, 'Point Intercept 1'!B583, "ERROR")</f>
        <v>2025</v>
      </c>
      <c r="C583" s="14">
        <f>if('Point Intercept 1'!C583 = 'Point Intercept 2'!C583, 'Point Intercept 1'!C583, "ERROR")</f>
        <v>45755</v>
      </c>
      <c r="D583" s="9" t="str">
        <f>if('Point Intercept 1'!D583 = 'Point Intercept 2'!D583, 'Point Intercept 1'!D583, "ERROR")</f>
        <v>JC, TL</v>
      </c>
      <c r="E583" s="9" t="str">
        <f>if('Point Intercept 1'!E583 = 'Point Intercept 2'!E583, 'Point Intercept 1'!E583, "ERROR")</f>
        <v>VB</v>
      </c>
      <c r="F583" s="9">
        <f>if('Point Intercept 1'!F583 = 'Point Intercept 2'!F583, 'Point Intercept 1'!F583, "ERROR")</f>
        <v>3</v>
      </c>
      <c r="G583" s="9" t="str">
        <f>if('Point Intercept 1'!G583 = 'Point Intercept 2'!G583, 'Point Intercept 1'!G583, "ERROR")</f>
        <v>SU</v>
      </c>
      <c r="H583" s="9">
        <f>if('Point Intercept 1'!I583 = 'Point Intercept 2'!I583, 'Point Intercept 1'!I583, "ERROR")</f>
        <v>12</v>
      </c>
      <c r="I583" s="9">
        <f>if('Point Intercept 1'!H583 = 'Point Intercept 2'!H583, 'Point Intercept 1'!H583, "ERROR")</f>
        <v>2</v>
      </c>
      <c r="J583" s="9">
        <f>if('Point Intercept 1'!J583 = 'Point Intercept 2'!J583, 'Point Intercept 1'!J583, "ERROR")</f>
        <v>9</v>
      </c>
      <c r="K583" s="9" t="str">
        <f>if('Point Intercept 1'!K583 = 'Point Intercept 2'!K583, 'Point Intercept 1'!K583, "ERROR")</f>
        <v>DEIFAS</v>
      </c>
      <c r="L583" s="9" t="str">
        <f>if('Point Intercept 1'!L583 = 'Point Intercept 2'!L583, 'Point Intercept 1'!L583, "ERROR")</f>
        <v>Deinandra fasciculata</v>
      </c>
    </row>
    <row r="584">
      <c r="A584" s="9">
        <f>if('Point Intercept 1'!A584 = 'Point Intercept 2'!A584, 'Point Intercept 1'!A584, "ERROR")</f>
        <v>6</v>
      </c>
      <c r="B584" s="9">
        <f>if('Point Intercept 1'!B584 = 'Point Intercept 2'!B584, 'Point Intercept 1'!B584, "ERROR")</f>
        <v>2025</v>
      </c>
      <c r="C584" s="14">
        <f>if('Point Intercept 1'!C584 = 'Point Intercept 2'!C584, 'Point Intercept 1'!C584, "ERROR")</f>
        <v>45755</v>
      </c>
      <c r="D584" s="9" t="str">
        <f>if('Point Intercept 1'!D584 = 'Point Intercept 2'!D584, 'Point Intercept 1'!D584, "ERROR")</f>
        <v>JC, TL</v>
      </c>
      <c r="E584" s="9" t="str">
        <f>if('Point Intercept 1'!E584 = 'Point Intercept 2'!E584, 'Point Intercept 1'!E584, "ERROR")</f>
        <v>VB</v>
      </c>
      <c r="F584" s="9">
        <f>if('Point Intercept 1'!F584 = 'Point Intercept 2'!F584, 'Point Intercept 1'!F584, "ERROR")</f>
        <v>3</v>
      </c>
      <c r="G584" s="9" t="str">
        <f>if('Point Intercept 1'!G584 = 'Point Intercept 2'!G584, 'Point Intercept 1'!G584, "ERROR")</f>
        <v>SU</v>
      </c>
      <c r="H584" s="9">
        <f>if('Point Intercept 1'!I584 = 'Point Intercept 2'!I584, 'Point Intercept 1'!I584, "ERROR")</f>
        <v>13</v>
      </c>
      <c r="I584" s="9">
        <f>if('Point Intercept 1'!H584 = 'Point Intercept 2'!H584, 'Point Intercept 1'!H584, "ERROR")</f>
        <v>2</v>
      </c>
      <c r="J584" s="9">
        <f>if('Point Intercept 1'!J584 = 'Point Intercept 2'!J584, 'Point Intercept 1'!J584, "ERROR")</f>
        <v>10</v>
      </c>
      <c r="K584" s="9" t="str">
        <f>if('Point Intercept 1'!K584 = 'Point Intercept 2'!K584, 'Point Intercept 1'!K584, "ERROR")</f>
        <v>L</v>
      </c>
      <c r="L584" s="9" t="str">
        <f>if('Point Intercept 1'!L584 = 'Point Intercept 2'!L584, 'Point Intercept 1'!L584, "ERROR")</f>
        <v>Litter</v>
      </c>
    </row>
    <row r="585">
      <c r="A585" s="9">
        <f>if('Point Intercept 1'!A585 = 'Point Intercept 2'!A585, 'Point Intercept 1'!A585, "ERROR")</f>
        <v>6</v>
      </c>
      <c r="B585" s="9">
        <f>if('Point Intercept 1'!B585 = 'Point Intercept 2'!B585, 'Point Intercept 1'!B585, "ERROR")</f>
        <v>2025</v>
      </c>
      <c r="C585" s="14">
        <f>if('Point Intercept 1'!C585 = 'Point Intercept 2'!C585, 'Point Intercept 1'!C585, "ERROR")</f>
        <v>45755</v>
      </c>
      <c r="D585" s="9" t="str">
        <f>if('Point Intercept 1'!D585 = 'Point Intercept 2'!D585, 'Point Intercept 1'!D585, "ERROR")</f>
        <v>JC, TL</v>
      </c>
      <c r="E585" s="9" t="str">
        <f>if('Point Intercept 1'!E585 = 'Point Intercept 2'!E585, 'Point Intercept 1'!E585, "ERROR")</f>
        <v>VB</v>
      </c>
      <c r="F585" s="9">
        <f>if('Point Intercept 1'!F585 = 'Point Intercept 2'!F585, 'Point Intercept 1'!F585, "ERROR")</f>
        <v>3</v>
      </c>
      <c r="G585" s="9" t="str">
        <f>if('Point Intercept 1'!G585 = 'Point Intercept 2'!G585, 'Point Intercept 1'!G585, "ERROR")</f>
        <v>SU</v>
      </c>
      <c r="H585" s="9">
        <f>if('Point Intercept 1'!I585 = 'Point Intercept 2'!I585, 'Point Intercept 1'!I585, "ERROR")</f>
        <v>13</v>
      </c>
      <c r="I585" s="9">
        <f>if('Point Intercept 1'!H585 = 'Point Intercept 2'!H585, 'Point Intercept 1'!H585, "ERROR")</f>
        <v>2</v>
      </c>
      <c r="J585" s="9">
        <f>if('Point Intercept 1'!J585 = 'Point Intercept 2'!J585, 'Point Intercept 1'!J585, "ERROR")</f>
        <v>10</v>
      </c>
      <c r="K585" s="9" t="str">
        <f>if('Point Intercept 1'!K585 = 'Point Intercept 2'!K585, 'Point Intercept 1'!K585, "ERROR")</f>
        <v>FESMYU</v>
      </c>
      <c r="L585" s="9" t="str">
        <f>if('Point Intercept 1'!L585 = 'Point Intercept 2'!L585, 'Point Intercept 1'!L585, "ERROR")</f>
        <v>Festuca myuros</v>
      </c>
    </row>
    <row r="586">
      <c r="A586" s="9">
        <f>if('Point Intercept 1'!A586 = 'Point Intercept 2'!A586, 'Point Intercept 1'!A586, "ERROR")</f>
        <v>6</v>
      </c>
      <c r="B586" s="9">
        <f>if('Point Intercept 1'!B586 = 'Point Intercept 2'!B586, 'Point Intercept 1'!B586, "ERROR")</f>
        <v>2025</v>
      </c>
      <c r="C586" s="14">
        <f>if('Point Intercept 1'!C586 = 'Point Intercept 2'!C586, 'Point Intercept 1'!C586, "ERROR")</f>
        <v>45755</v>
      </c>
      <c r="D586" s="9" t="str">
        <f>if('Point Intercept 1'!D586 = 'Point Intercept 2'!D586, 'Point Intercept 1'!D586, "ERROR")</f>
        <v>JC, TL</v>
      </c>
      <c r="E586" s="9" t="str">
        <f>if('Point Intercept 1'!E586 = 'Point Intercept 2'!E586, 'Point Intercept 1'!E586, "ERROR")</f>
        <v>VB</v>
      </c>
      <c r="F586" s="9">
        <f>if('Point Intercept 1'!F586 = 'Point Intercept 2'!F586, 'Point Intercept 1'!F586, "ERROR")</f>
        <v>3</v>
      </c>
      <c r="G586" s="9" t="str">
        <f>if('Point Intercept 1'!G586 = 'Point Intercept 2'!G586, 'Point Intercept 1'!G586, "ERROR")</f>
        <v>SU</v>
      </c>
      <c r="H586" s="9">
        <f>if('Point Intercept 1'!I586 = 'Point Intercept 2'!I586, 'Point Intercept 1'!I586, "ERROR")</f>
        <v>13</v>
      </c>
      <c r="I586" s="9">
        <f>if('Point Intercept 1'!H586 = 'Point Intercept 2'!H586, 'Point Intercept 1'!H586, "ERROR")</f>
        <v>2</v>
      </c>
      <c r="J586" s="9">
        <f>if('Point Intercept 1'!J586 = 'Point Intercept 2'!J586, 'Point Intercept 1'!J586, "ERROR")</f>
        <v>10</v>
      </c>
      <c r="K586" s="9" t="str">
        <f>if('Point Intercept 1'!K586 = 'Point Intercept 2'!K586, 'Point Intercept 1'!K586, "ERROR")</f>
        <v>SONASP</v>
      </c>
      <c r="L586" s="9" t="str">
        <f>if('Point Intercept 1'!L586 = 'Point Intercept 2'!L586, 'Point Intercept 1'!L586, "ERROR")</f>
        <v>Sonchus asper</v>
      </c>
    </row>
    <row r="587">
      <c r="A587" s="9">
        <f>if('Point Intercept 1'!A587 = 'Point Intercept 2'!A587, 'Point Intercept 1'!A587, "ERROR")</f>
        <v>6</v>
      </c>
      <c r="B587" s="9">
        <f>if('Point Intercept 1'!B587 = 'Point Intercept 2'!B587, 'Point Intercept 1'!B587, "ERROR")</f>
        <v>2025</v>
      </c>
      <c r="C587" s="14">
        <f>if('Point Intercept 1'!C587 = 'Point Intercept 2'!C587, 'Point Intercept 1'!C587, "ERROR")</f>
        <v>45755</v>
      </c>
      <c r="D587" s="9" t="str">
        <f>if('Point Intercept 1'!D587 = 'Point Intercept 2'!D587, 'Point Intercept 1'!D587, "ERROR")</f>
        <v>JC, TL</v>
      </c>
      <c r="E587" s="9" t="str">
        <f>if('Point Intercept 1'!E587 = 'Point Intercept 2'!E587, 'Point Intercept 1'!E587, "ERROR")</f>
        <v>VB</v>
      </c>
      <c r="F587" s="9">
        <f>if('Point Intercept 1'!F587 = 'Point Intercept 2'!F587, 'Point Intercept 1'!F587, "ERROR")</f>
        <v>3</v>
      </c>
      <c r="G587" s="9" t="str">
        <f>if('Point Intercept 1'!G587 = 'Point Intercept 2'!G587, 'Point Intercept 1'!G587, "ERROR")</f>
        <v>SU</v>
      </c>
      <c r="H587" s="9">
        <f>if('Point Intercept 1'!I587 = 'Point Intercept 2'!I587, 'Point Intercept 1'!I587, "ERROR")</f>
        <v>14</v>
      </c>
      <c r="I587" s="9">
        <f>if('Point Intercept 1'!H587 = 'Point Intercept 2'!H587, 'Point Intercept 1'!H587, "ERROR")</f>
        <v>2</v>
      </c>
      <c r="J587" s="9">
        <f>if('Point Intercept 1'!J587 = 'Point Intercept 2'!J587, 'Point Intercept 1'!J587, "ERROR")</f>
        <v>11</v>
      </c>
      <c r="K587" s="9" t="str">
        <f>if('Point Intercept 1'!K587 = 'Point Intercept 2'!K587, 'Point Intercept 1'!K587, "ERROR")</f>
        <v>L</v>
      </c>
      <c r="L587" s="9" t="str">
        <f>if('Point Intercept 1'!L587 = 'Point Intercept 2'!L587, 'Point Intercept 1'!L587, "ERROR")</f>
        <v>Litter</v>
      </c>
    </row>
    <row r="588">
      <c r="A588" s="9">
        <f>if('Point Intercept 1'!A588 = 'Point Intercept 2'!A588, 'Point Intercept 1'!A588, "ERROR")</f>
        <v>6</v>
      </c>
      <c r="B588" s="9">
        <f>if('Point Intercept 1'!B588 = 'Point Intercept 2'!B588, 'Point Intercept 1'!B588, "ERROR")</f>
        <v>2025</v>
      </c>
      <c r="C588" s="14">
        <f>if('Point Intercept 1'!C588 = 'Point Intercept 2'!C588, 'Point Intercept 1'!C588, "ERROR")</f>
        <v>45755</v>
      </c>
      <c r="D588" s="9" t="str">
        <f>if('Point Intercept 1'!D588 = 'Point Intercept 2'!D588, 'Point Intercept 1'!D588, "ERROR")</f>
        <v>JC, TL</v>
      </c>
      <c r="E588" s="9" t="str">
        <f>if('Point Intercept 1'!E588 = 'Point Intercept 2'!E588, 'Point Intercept 1'!E588, "ERROR")</f>
        <v>VB</v>
      </c>
      <c r="F588" s="9">
        <f>if('Point Intercept 1'!F588 = 'Point Intercept 2'!F588, 'Point Intercept 1'!F588, "ERROR")</f>
        <v>3</v>
      </c>
      <c r="G588" s="9" t="str">
        <f>if('Point Intercept 1'!G588 = 'Point Intercept 2'!G588, 'Point Intercept 1'!G588, "ERROR")</f>
        <v>SU</v>
      </c>
      <c r="H588" s="9">
        <f>if('Point Intercept 1'!I588 = 'Point Intercept 2'!I588, 'Point Intercept 1'!I588, "ERROR")</f>
        <v>14</v>
      </c>
      <c r="I588" s="9">
        <f>if('Point Intercept 1'!H588 = 'Point Intercept 2'!H588, 'Point Intercept 1'!H588, "ERROR")</f>
        <v>2</v>
      </c>
      <c r="J588" s="9">
        <f>if('Point Intercept 1'!J588 = 'Point Intercept 2'!J588, 'Point Intercept 1'!J588, "ERROR")</f>
        <v>11</v>
      </c>
      <c r="K588" s="9" t="str">
        <f>if('Point Intercept 1'!K588 = 'Point Intercept 2'!K588, 'Point Intercept 1'!K588, "ERROR")</f>
        <v>OPULIT</v>
      </c>
      <c r="L588" s="9" t="str">
        <f>if('Point Intercept 1'!L588 = 'Point Intercept 2'!L588, 'Point Intercept 1'!L588, "ERROR")</f>
        <v>Opuntia littoralis</v>
      </c>
    </row>
    <row r="589">
      <c r="A589" s="9">
        <f>if('Point Intercept 1'!A589 = 'Point Intercept 2'!A589, 'Point Intercept 1'!A589, "ERROR")</f>
        <v>6</v>
      </c>
      <c r="B589" s="9">
        <f>if('Point Intercept 1'!B589 = 'Point Intercept 2'!B589, 'Point Intercept 1'!B589, "ERROR")</f>
        <v>2025</v>
      </c>
      <c r="C589" s="14">
        <f>if('Point Intercept 1'!C589 = 'Point Intercept 2'!C589, 'Point Intercept 1'!C589, "ERROR")</f>
        <v>45755</v>
      </c>
      <c r="D589" s="9" t="str">
        <f>if('Point Intercept 1'!D589 = 'Point Intercept 2'!D589, 'Point Intercept 1'!D589, "ERROR")</f>
        <v>JC, TL</v>
      </c>
      <c r="E589" s="9" t="str">
        <f>if('Point Intercept 1'!E589 = 'Point Intercept 2'!E589, 'Point Intercept 1'!E589, "ERROR")</f>
        <v>VB</v>
      </c>
      <c r="F589" s="9">
        <f>if('Point Intercept 1'!F589 = 'Point Intercept 2'!F589, 'Point Intercept 1'!F589, "ERROR")</f>
        <v>3</v>
      </c>
      <c r="G589" s="9" t="str">
        <f>if('Point Intercept 1'!G589 = 'Point Intercept 2'!G589, 'Point Intercept 1'!G589, "ERROR")</f>
        <v>SU</v>
      </c>
      <c r="H589" s="9">
        <f>if('Point Intercept 1'!I589 = 'Point Intercept 2'!I589, 'Point Intercept 1'!I589, "ERROR")</f>
        <v>14</v>
      </c>
      <c r="I589" s="9">
        <f>if('Point Intercept 1'!H589 = 'Point Intercept 2'!H589, 'Point Intercept 1'!H589, "ERROR")</f>
        <v>2</v>
      </c>
      <c r="J589" s="9">
        <f>if('Point Intercept 1'!J589 = 'Point Intercept 2'!J589, 'Point Intercept 1'!J589, "ERROR")</f>
        <v>11</v>
      </c>
      <c r="K589" s="9" t="str">
        <f>if('Point Intercept 1'!K589 = 'Point Intercept 2'!K589, 'Point Intercept 1'!K589, "ERROR")</f>
        <v>BROMAD</v>
      </c>
      <c r="L589" s="9" t="str">
        <f>if('Point Intercept 1'!L589 = 'Point Intercept 2'!L589, 'Point Intercept 1'!L589, "ERROR")</f>
        <v>Bromus madritensis</v>
      </c>
    </row>
    <row r="590">
      <c r="A590" s="9">
        <f>if('Point Intercept 1'!A590 = 'Point Intercept 2'!A590, 'Point Intercept 1'!A590, "ERROR")</f>
        <v>6</v>
      </c>
      <c r="B590" s="9">
        <f>if('Point Intercept 1'!B590 = 'Point Intercept 2'!B590, 'Point Intercept 1'!B590, "ERROR")</f>
        <v>2025</v>
      </c>
      <c r="C590" s="14">
        <f>if('Point Intercept 1'!C590 = 'Point Intercept 2'!C590, 'Point Intercept 1'!C590, "ERROR")</f>
        <v>45755</v>
      </c>
      <c r="D590" s="9" t="str">
        <f>if('Point Intercept 1'!D590 = 'Point Intercept 2'!D590, 'Point Intercept 1'!D590, "ERROR")</f>
        <v>JC, TL</v>
      </c>
      <c r="E590" s="9" t="str">
        <f>if('Point Intercept 1'!E590 = 'Point Intercept 2'!E590, 'Point Intercept 1'!E590, "ERROR")</f>
        <v>VB</v>
      </c>
      <c r="F590" s="9">
        <f>if('Point Intercept 1'!F590 = 'Point Intercept 2'!F590, 'Point Intercept 1'!F590, "ERROR")</f>
        <v>3</v>
      </c>
      <c r="G590" s="9" t="str">
        <f>if('Point Intercept 1'!G590 = 'Point Intercept 2'!G590, 'Point Intercept 1'!G590, "ERROR")</f>
        <v>SU</v>
      </c>
      <c r="H590" s="9">
        <f>if('Point Intercept 1'!I590 = 'Point Intercept 2'!I590, 'Point Intercept 1'!I590, "ERROR")</f>
        <v>14</v>
      </c>
      <c r="I590" s="9">
        <f>if('Point Intercept 1'!H590 = 'Point Intercept 2'!H590, 'Point Intercept 1'!H590, "ERROR")</f>
        <v>2</v>
      </c>
      <c r="J590" s="9">
        <f>if('Point Intercept 1'!J590 = 'Point Intercept 2'!J590, 'Point Intercept 1'!J590, "ERROR")</f>
        <v>11</v>
      </c>
      <c r="K590" s="9" t="str">
        <f>if('Point Intercept 1'!K590 = 'Point Intercept 2'!K590, 'Point Intercept 1'!K590, "ERROR")</f>
        <v>EROCIC</v>
      </c>
      <c r="L590" s="9" t="str">
        <f>if('Point Intercept 1'!L590 = 'Point Intercept 2'!L590, 'Point Intercept 1'!L590, "ERROR")</f>
        <v>Erodium cicutarium</v>
      </c>
    </row>
    <row r="591">
      <c r="A591" s="9">
        <f>if('Point Intercept 1'!A591 = 'Point Intercept 2'!A591, 'Point Intercept 1'!A591, "ERROR")</f>
        <v>6</v>
      </c>
      <c r="B591" s="9">
        <f>if('Point Intercept 1'!B591 = 'Point Intercept 2'!B591, 'Point Intercept 1'!B591, "ERROR")</f>
        <v>2025</v>
      </c>
      <c r="C591" s="14">
        <f>if('Point Intercept 1'!C591 = 'Point Intercept 2'!C591, 'Point Intercept 1'!C591, "ERROR")</f>
        <v>45755</v>
      </c>
      <c r="D591" s="9" t="str">
        <f>if('Point Intercept 1'!D591 = 'Point Intercept 2'!D591, 'Point Intercept 1'!D591, "ERROR")</f>
        <v>JC, TL</v>
      </c>
      <c r="E591" s="9" t="str">
        <f>if('Point Intercept 1'!E591 = 'Point Intercept 2'!E591, 'Point Intercept 1'!E591, "ERROR")</f>
        <v>VB</v>
      </c>
      <c r="F591" s="9">
        <f>if('Point Intercept 1'!F591 = 'Point Intercept 2'!F591, 'Point Intercept 1'!F591, "ERROR")</f>
        <v>3</v>
      </c>
      <c r="G591" s="9" t="str">
        <f>if('Point Intercept 1'!G591 = 'Point Intercept 2'!G591, 'Point Intercept 1'!G591, "ERROR")</f>
        <v>SU</v>
      </c>
      <c r="H591" s="9">
        <f>if('Point Intercept 1'!I591 = 'Point Intercept 2'!I591, 'Point Intercept 1'!I591, "ERROR")</f>
        <v>15</v>
      </c>
      <c r="I591" s="9">
        <f>if('Point Intercept 1'!H591 = 'Point Intercept 2'!H591, 'Point Intercept 1'!H591, "ERROR")</f>
        <v>2</v>
      </c>
      <c r="J591" s="9">
        <f>if('Point Intercept 1'!J591 = 'Point Intercept 2'!J591, 'Point Intercept 1'!J591, "ERROR")</f>
        <v>12</v>
      </c>
      <c r="K591" s="9" t="str">
        <f>if('Point Intercept 1'!K591 = 'Point Intercept 2'!K591, 'Point Intercept 1'!K591, "ERROR")</f>
        <v>L</v>
      </c>
      <c r="L591" s="9" t="str">
        <f>if('Point Intercept 1'!L591 = 'Point Intercept 2'!L591, 'Point Intercept 1'!L591, "ERROR")</f>
        <v>Litter</v>
      </c>
    </row>
    <row r="592">
      <c r="A592" s="9">
        <f>if('Point Intercept 1'!A592 = 'Point Intercept 2'!A592, 'Point Intercept 1'!A592, "ERROR")</f>
        <v>6</v>
      </c>
      <c r="B592" s="9">
        <f>if('Point Intercept 1'!B592 = 'Point Intercept 2'!B592, 'Point Intercept 1'!B592, "ERROR")</f>
        <v>2025</v>
      </c>
      <c r="C592" s="14">
        <f>if('Point Intercept 1'!C592 = 'Point Intercept 2'!C592, 'Point Intercept 1'!C592, "ERROR")</f>
        <v>45755</v>
      </c>
      <c r="D592" s="9" t="str">
        <f>if('Point Intercept 1'!D592 = 'Point Intercept 2'!D592, 'Point Intercept 1'!D592, "ERROR")</f>
        <v>JC, TL</v>
      </c>
      <c r="E592" s="9" t="str">
        <f>if('Point Intercept 1'!E592 = 'Point Intercept 2'!E592, 'Point Intercept 1'!E592, "ERROR")</f>
        <v>VB</v>
      </c>
      <c r="F592" s="9">
        <f>if('Point Intercept 1'!F592 = 'Point Intercept 2'!F592, 'Point Intercept 1'!F592, "ERROR")</f>
        <v>3</v>
      </c>
      <c r="G592" s="9" t="str">
        <f>if('Point Intercept 1'!G592 = 'Point Intercept 2'!G592, 'Point Intercept 1'!G592, "ERROR")</f>
        <v>SU</v>
      </c>
      <c r="H592" s="9">
        <f>if('Point Intercept 1'!I592 = 'Point Intercept 2'!I592, 'Point Intercept 1'!I592, "ERROR")</f>
        <v>15</v>
      </c>
      <c r="I592" s="9">
        <f>if('Point Intercept 1'!H592 = 'Point Intercept 2'!H592, 'Point Intercept 1'!H592, "ERROR")</f>
        <v>2</v>
      </c>
      <c r="J592" s="9">
        <f>if('Point Intercept 1'!J592 = 'Point Intercept 2'!J592, 'Point Intercept 1'!J592, "ERROR")</f>
        <v>12</v>
      </c>
      <c r="K592" s="9" t="str">
        <f>if('Point Intercept 1'!K592 = 'Point Intercept 2'!K592, 'Point Intercept 1'!K592, "ERROR")</f>
        <v>DEIFAS</v>
      </c>
      <c r="L592" s="9" t="str">
        <f>if('Point Intercept 1'!L592 = 'Point Intercept 2'!L592, 'Point Intercept 1'!L592, "ERROR")</f>
        <v>Deinandra fasciculata</v>
      </c>
    </row>
    <row r="593">
      <c r="A593" s="9">
        <f>if('Point Intercept 1'!A593 = 'Point Intercept 2'!A593, 'Point Intercept 1'!A593, "ERROR")</f>
        <v>6</v>
      </c>
      <c r="B593" s="9">
        <f>if('Point Intercept 1'!B593 = 'Point Intercept 2'!B593, 'Point Intercept 1'!B593, "ERROR")</f>
        <v>2025</v>
      </c>
      <c r="C593" s="14">
        <f>if('Point Intercept 1'!C593 = 'Point Intercept 2'!C593, 'Point Intercept 1'!C593, "ERROR")</f>
        <v>45755</v>
      </c>
      <c r="D593" s="9" t="str">
        <f>if('Point Intercept 1'!D593 = 'Point Intercept 2'!D593, 'Point Intercept 1'!D593, "ERROR")</f>
        <v>JC, TL</v>
      </c>
      <c r="E593" s="9" t="str">
        <f>if('Point Intercept 1'!E593 = 'Point Intercept 2'!E593, 'Point Intercept 1'!E593, "ERROR")</f>
        <v>VB</v>
      </c>
      <c r="F593" s="9">
        <f>if('Point Intercept 1'!F593 = 'Point Intercept 2'!F593, 'Point Intercept 1'!F593, "ERROR")</f>
        <v>3</v>
      </c>
      <c r="G593" s="9" t="str">
        <f>if('Point Intercept 1'!G593 = 'Point Intercept 2'!G593, 'Point Intercept 1'!G593, "ERROR")</f>
        <v>SU</v>
      </c>
      <c r="H593" s="9">
        <f>if('Point Intercept 1'!I593 = 'Point Intercept 2'!I593, 'Point Intercept 1'!I593, "ERROR")</f>
        <v>15</v>
      </c>
      <c r="I593" s="9">
        <f>if('Point Intercept 1'!H593 = 'Point Intercept 2'!H593, 'Point Intercept 1'!H593, "ERROR")</f>
        <v>2</v>
      </c>
      <c r="J593" s="9">
        <f>if('Point Intercept 1'!J593 = 'Point Intercept 2'!J593, 'Point Intercept 1'!J593, "ERROR")</f>
        <v>12</v>
      </c>
      <c r="K593" s="9" t="str">
        <f>if('Point Intercept 1'!K593 = 'Point Intercept 2'!K593, 'Point Intercept 1'!K593, "ERROR")</f>
        <v>FESMYU</v>
      </c>
      <c r="L593" s="9" t="str">
        <f>if('Point Intercept 1'!L593 = 'Point Intercept 2'!L593, 'Point Intercept 1'!L593, "ERROR")</f>
        <v>Festuca myuros</v>
      </c>
    </row>
    <row r="594">
      <c r="A594" s="9">
        <f>if('Point Intercept 1'!A594 = 'Point Intercept 2'!A594, 'Point Intercept 1'!A594, "ERROR")</f>
        <v>7</v>
      </c>
      <c r="B594" s="9">
        <f>if('Point Intercept 1'!B594 = 'Point Intercept 2'!B594, 'Point Intercept 1'!B594, "ERROR")</f>
        <v>2025</v>
      </c>
      <c r="C594" s="14">
        <f>if('Point Intercept 1'!C594 = 'Point Intercept 2'!C594, 'Point Intercept 1'!C594, "ERROR")</f>
        <v>45764</v>
      </c>
      <c r="D594" s="9" t="str">
        <f>if('Point Intercept 1'!D594 = 'Point Intercept 2'!D594, 'Point Intercept 1'!D594, "ERROR")</f>
        <v>ERROR</v>
      </c>
      <c r="E594" s="9" t="str">
        <f>if('Point Intercept 1'!E594 = 'Point Intercept 2'!E594, 'Point Intercept 1'!E594, "ERROR")</f>
        <v>VB</v>
      </c>
      <c r="F594" s="9">
        <f>if('Point Intercept 1'!F594 = 'Point Intercept 2'!F594, 'Point Intercept 1'!F594, "ERROR")</f>
        <v>1</v>
      </c>
      <c r="G594" s="9" t="str">
        <f>if('Point Intercept 1'!G594 = 'Point Intercept 2'!G594, 'Point Intercept 1'!G594, "ERROR")</f>
        <v>SU</v>
      </c>
      <c r="H594" s="9">
        <f>if('Point Intercept 1'!I594 = 'Point Intercept 2'!I594, 'Point Intercept 1'!I594, "ERROR")</f>
        <v>1</v>
      </c>
      <c r="I594" s="9">
        <f>if('Point Intercept 1'!H594 = 'Point Intercept 2'!H594, 'Point Intercept 1'!H594, "ERROR")</f>
        <v>1</v>
      </c>
      <c r="J594" s="9">
        <f>if('Point Intercept 1'!J594 = 'Point Intercept 2'!J594, 'Point Intercept 1'!J594, "ERROR")</f>
        <v>0</v>
      </c>
      <c r="K594" s="9" t="str">
        <f>if('Point Intercept 1'!K594 = 'Point Intercept 2'!K594, 'Point Intercept 1'!K594, "ERROR")</f>
        <v>L</v>
      </c>
      <c r="L594" s="9" t="str">
        <f>if('Point Intercept 1'!L594 = 'Point Intercept 2'!L594, 'Point Intercept 1'!L594, "ERROR")</f>
        <v>Litter</v>
      </c>
    </row>
    <row r="595">
      <c r="A595" s="9">
        <f>if('Point Intercept 1'!A595 = 'Point Intercept 2'!A595, 'Point Intercept 1'!A595, "ERROR")</f>
        <v>7</v>
      </c>
      <c r="B595" s="9">
        <f>if('Point Intercept 1'!B595 = 'Point Intercept 2'!B595, 'Point Intercept 1'!B595, "ERROR")</f>
        <v>2025</v>
      </c>
      <c r="C595" s="14">
        <f>if('Point Intercept 1'!C595 = 'Point Intercept 2'!C595, 'Point Intercept 1'!C595, "ERROR")</f>
        <v>45764</v>
      </c>
      <c r="D595" s="9" t="str">
        <f>if('Point Intercept 1'!D595 = 'Point Intercept 2'!D595, 'Point Intercept 1'!D595, "ERROR")</f>
        <v>ERROR</v>
      </c>
      <c r="E595" s="9" t="str">
        <f>if('Point Intercept 1'!E595 = 'Point Intercept 2'!E595, 'Point Intercept 1'!E595, "ERROR")</f>
        <v>VB</v>
      </c>
      <c r="F595" s="9">
        <f>if('Point Intercept 1'!F595 = 'Point Intercept 2'!F595, 'Point Intercept 1'!F595, "ERROR")</f>
        <v>1</v>
      </c>
      <c r="G595" s="9" t="str">
        <f>if('Point Intercept 1'!G595 = 'Point Intercept 2'!G595, 'Point Intercept 1'!G595, "ERROR")</f>
        <v>SU</v>
      </c>
      <c r="H595" s="9">
        <f>if('Point Intercept 1'!I595 = 'Point Intercept 2'!I595, 'Point Intercept 1'!I595, "ERROR")</f>
        <v>1</v>
      </c>
      <c r="I595" s="9">
        <f>if('Point Intercept 1'!H595 = 'Point Intercept 2'!H595, 'Point Intercept 1'!H595, "ERROR")</f>
        <v>1</v>
      </c>
      <c r="J595" s="9">
        <f>if('Point Intercept 1'!J595 = 'Point Intercept 2'!J595, 'Point Intercept 1'!J595, "ERROR")</f>
        <v>0</v>
      </c>
      <c r="K595" s="9" t="str">
        <f>if('Point Intercept 1'!K595 = 'Point Intercept 2'!K595, 'Point Intercept 1'!K595, "ERROR")</f>
        <v>EROCIC</v>
      </c>
      <c r="L595" s="9" t="str">
        <f>if('Point Intercept 1'!L595 = 'Point Intercept 2'!L595, 'Point Intercept 1'!L595, "ERROR")</f>
        <v>Erodium cicutarium</v>
      </c>
    </row>
    <row r="596">
      <c r="A596" s="9">
        <f>if('Point Intercept 1'!A596 = 'Point Intercept 2'!A596, 'Point Intercept 1'!A596, "ERROR")</f>
        <v>7</v>
      </c>
      <c r="B596" s="9">
        <f>if('Point Intercept 1'!B596 = 'Point Intercept 2'!B596, 'Point Intercept 1'!B596, "ERROR")</f>
        <v>2025</v>
      </c>
      <c r="C596" s="14">
        <f>if('Point Intercept 1'!C596 = 'Point Intercept 2'!C596, 'Point Intercept 1'!C596, "ERROR")</f>
        <v>45764</v>
      </c>
      <c r="D596" s="9" t="str">
        <f>if('Point Intercept 1'!D596 = 'Point Intercept 2'!D596, 'Point Intercept 1'!D596, "ERROR")</f>
        <v>ERROR</v>
      </c>
      <c r="E596" s="9" t="str">
        <f>if('Point Intercept 1'!E596 = 'Point Intercept 2'!E596, 'Point Intercept 1'!E596, "ERROR")</f>
        <v>VB</v>
      </c>
      <c r="F596" s="9">
        <f>if('Point Intercept 1'!F596 = 'Point Intercept 2'!F596, 'Point Intercept 1'!F596, "ERROR")</f>
        <v>1</v>
      </c>
      <c r="G596" s="9" t="str">
        <f>if('Point Intercept 1'!G596 = 'Point Intercept 2'!G596, 'Point Intercept 1'!G596, "ERROR")</f>
        <v>SU</v>
      </c>
      <c r="H596" s="9">
        <f>if('Point Intercept 1'!I596 = 'Point Intercept 2'!I596, 'Point Intercept 1'!I596, "ERROR")</f>
        <v>1</v>
      </c>
      <c r="I596" s="9">
        <f>if('Point Intercept 1'!H596 = 'Point Intercept 2'!H596, 'Point Intercept 1'!H596, "ERROR")</f>
        <v>1</v>
      </c>
      <c r="J596" s="9">
        <f>if('Point Intercept 1'!J596 = 'Point Intercept 2'!J596, 'Point Intercept 1'!J596, "ERROR")</f>
        <v>0</v>
      </c>
      <c r="K596" s="9" t="str">
        <f>if('Point Intercept 1'!K596 = 'Point Intercept 2'!K596, 'Point Intercept 1'!K596, "ERROR")</f>
        <v>DEIFAS</v>
      </c>
      <c r="L596" s="9" t="str">
        <f>if('Point Intercept 1'!L596 = 'Point Intercept 2'!L596, 'Point Intercept 1'!L596, "ERROR")</f>
        <v>Deinandra fasciculata</v>
      </c>
    </row>
    <row r="597">
      <c r="A597" s="9">
        <f>if('Point Intercept 1'!A597 = 'Point Intercept 2'!A597, 'Point Intercept 1'!A597, "ERROR")</f>
        <v>7</v>
      </c>
      <c r="B597" s="9">
        <f>if('Point Intercept 1'!B597 = 'Point Intercept 2'!B597, 'Point Intercept 1'!B597, "ERROR")</f>
        <v>2025</v>
      </c>
      <c r="C597" s="14">
        <f>if('Point Intercept 1'!C597 = 'Point Intercept 2'!C597, 'Point Intercept 1'!C597, "ERROR")</f>
        <v>45764</v>
      </c>
      <c r="D597" s="9" t="str">
        <f>if('Point Intercept 1'!D597 = 'Point Intercept 2'!D597, 'Point Intercept 1'!D597, "ERROR")</f>
        <v>ERROR</v>
      </c>
      <c r="E597" s="9" t="str">
        <f>if('Point Intercept 1'!E597 = 'Point Intercept 2'!E597, 'Point Intercept 1'!E597, "ERROR")</f>
        <v>VB</v>
      </c>
      <c r="F597" s="9">
        <f>if('Point Intercept 1'!F597 = 'Point Intercept 2'!F597, 'Point Intercept 1'!F597, "ERROR")</f>
        <v>1</v>
      </c>
      <c r="G597" s="9" t="str">
        <f>if('Point Intercept 1'!G597 = 'Point Intercept 2'!G597, 'Point Intercept 1'!G597, "ERROR")</f>
        <v>SU</v>
      </c>
      <c r="H597" s="9">
        <f>if('Point Intercept 1'!I597 = 'Point Intercept 2'!I597, 'Point Intercept 1'!I597, "ERROR")</f>
        <v>2</v>
      </c>
      <c r="I597" s="9">
        <f>if('Point Intercept 1'!H597 = 'Point Intercept 2'!H597, 'Point Intercept 1'!H597, "ERROR")</f>
        <v>1</v>
      </c>
      <c r="J597" s="9">
        <f>if('Point Intercept 1'!J597 = 'Point Intercept 2'!J597, 'Point Intercept 1'!J597, "ERROR")</f>
        <v>1</v>
      </c>
      <c r="K597" s="9" t="str">
        <f>if('Point Intercept 1'!K597 = 'Point Intercept 2'!K597, 'Point Intercept 1'!K597, "ERROR")</f>
        <v>L</v>
      </c>
      <c r="L597" s="9" t="str">
        <f>if('Point Intercept 1'!L597 = 'Point Intercept 2'!L597, 'Point Intercept 1'!L597, "ERROR")</f>
        <v>Litter</v>
      </c>
    </row>
    <row r="598">
      <c r="A598" s="9">
        <f>if('Point Intercept 1'!A598 = 'Point Intercept 2'!A598, 'Point Intercept 1'!A598, "ERROR")</f>
        <v>7</v>
      </c>
      <c r="B598" s="9">
        <f>if('Point Intercept 1'!B598 = 'Point Intercept 2'!B598, 'Point Intercept 1'!B598, "ERROR")</f>
        <v>2025</v>
      </c>
      <c r="C598" s="14">
        <f>if('Point Intercept 1'!C598 = 'Point Intercept 2'!C598, 'Point Intercept 1'!C598, "ERROR")</f>
        <v>45764</v>
      </c>
      <c r="D598" s="9" t="str">
        <f>if('Point Intercept 1'!D598 = 'Point Intercept 2'!D598, 'Point Intercept 1'!D598, "ERROR")</f>
        <v>ERROR</v>
      </c>
      <c r="E598" s="9" t="str">
        <f>if('Point Intercept 1'!E598 = 'Point Intercept 2'!E598, 'Point Intercept 1'!E598, "ERROR")</f>
        <v>VB</v>
      </c>
      <c r="F598" s="9">
        <f>if('Point Intercept 1'!F598 = 'Point Intercept 2'!F598, 'Point Intercept 1'!F598, "ERROR")</f>
        <v>1</v>
      </c>
      <c r="G598" s="9" t="str">
        <f>if('Point Intercept 1'!G598 = 'Point Intercept 2'!G598, 'Point Intercept 1'!G598, "ERROR")</f>
        <v>SU</v>
      </c>
      <c r="H598" s="9">
        <f>if('Point Intercept 1'!I598 = 'Point Intercept 2'!I598, 'Point Intercept 1'!I598, "ERROR")</f>
        <v>2</v>
      </c>
      <c r="I598" s="9">
        <f>if('Point Intercept 1'!H598 = 'Point Intercept 2'!H598, 'Point Intercept 1'!H598, "ERROR")</f>
        <v>1</v>
      </c>
      <c r="J598" s="9">
        <f>if('Point Intercept 1'!J598 = 'Point Intercept 2'!J598, 'Point Intercept 1'!J598, "ERROR")</f>
        <v>1</v>
      </c>
      <c r="K598" s="9" t="str">
        <f>if('Point Intercept 1'!K598 = 'Point Intercept 2'!K598, 'Point Intercept 1'!K598, "ERROR")</f>
        <v>BROMAD</v>
      </c>
      <c r="L598" s="9" t="str">
        <f>if('Point Intercept 1'!L598 = 'Point Intercept 2'!L598, 'Point Intercept 1'!L598, "ERROR")</f>
        <v>Bromus madritensis</v>
      </c>
    </row>
    <row r="599">
      <c r="A599" s="9">
        <f>if('Point Intercept 1'!A599 = 'Point Intercept 2'!A599, 'Point Intercept 1'!A599, "ERROR")</f>
        <v>7</v>
      </c>
      <c r="B599" s="9">
        <f>if('Point Intercept 1'!B599 = 'Point Intercept 2'!B599, 'Point Intercept 1'!B599, "ERROR")</f>
        <v>2025</v>
      </c>
      <c r="C599" s="14">
        <f>if('Point Intercept 1'!C599 = 'Point Intercept 2'!C599, 'Point Intercept 1'!C599, "ERROR")</f>
        <v>45764</v>
      </c>
      <c r="D599" s="9" t="str">
        <f>if('Point Intercept 1'!D599 = 'Point Intercept 2'!D599, 'Point Intercept 1'!D599, "ERROR")</f>
        <v>ERROR</v>
      </c>
      <c r="E599" s="9" t="str">
        <f>if('Point Intercept 1'!E599 = 'Point Intercept 2'!E599, 'Point Intercept 1'!E599, "ERROR")</f>
        <v>VB</v>
      </c>
      <c r="F599" s="9">
        <f>if('Point Intercept 1'!F599 = 'Point Intercept 2'!F599, 'Point Intercept 1'!F599, "ERROR")</f>
        <v>1</v>
      </c>
      <c r="G599" s="9" t="str">
        <f>if('Point Intercept 1'!G599 = 'Point Intercept 2'!G599, 'Point Intercept 1'!G599, "ERROR")</f>
        <v>SU</v>
      </c>
      <c r="H599" s="9">
        <f>if('Point Intercept 1'!I599 = 'Point Intercept 2'!I599, 'Point Intercept 1'!I599, "ERROR")</f>
        <v>2</v>
      </c>
      <c r="I599" s="9">
        <f>if('Point Intercept 1'!H599 = 'Point Intercept 2'!H599, 'Point Intercept 1'!H599, "ERROR")</f>
        <v>1</v>
      </c>
      <c r="J599" s="9">
        <f>if('Point Intercept 1'!J599 = 'Point Intercept 2'!J599, 'Point Intercept 1'!J599, "ERROR")</f>
        <v>1</v>
      </c>
      <c r="K599" s="9" t="str">
        <f>if('Point Intercept 1'!K599 = 'Point Intercept 2'!K599, 'Point Intercept 1'!K599, "ERROR")</f>
        <v>CENMEL</v>
      </c>
      <c r="L599" s="9" t="str">
        <f>if('Point Intercept 1'!L599 = 'Point Intercept 2'!L599, 'Point Intercept 1'!L599, "ERROR")</f>
        <v>Centaurea melitensis</v>
      </c>
    </row>
    <row r="600">
      <c r="A600" s="9">
        <f>if('Point Intercept 1'!A600 = 'Point Intercept 2'!A600, 'Point Intercept 1'!A600, "ERROR")</f>
        <v>7</v>
      </c>
      <c r="B600" s="9">
        <f>if('Point Intercept 1'!B600 = 'Point Intercept 2'!B600, 'Point Intercept 1'!B600, "ERROR")</f>
        <v>2025</v>
      </c>
      <c r="C600" s="14">
        <f>if('Point Intercept 1'!C600 = 'Point Intercept 2'!C600, 'Point Intercept 1'!C600, "ERROR")</f>
        <v>45764</v>
      </c>
      <c r="D600" s="9" t="str">
        <f>if('Point Intercept 1'!D600 = 'Point Intercept 2'!D600, 'Point Intercept 1'!D600, "ERROR")</f>
        <v>ERROR</v>
      </c>
      <c r="E600" s="9" t="str">
        <f>if('Point Intercept 1'!E600 = 'Point Intercept 2'!E600, 'Point Intercept 1'!E600, "ERROR")</f>
        <v>VB</v>
      </c>
      <c r="F600" s="9">
        <f>if('Point Intercept 1'!F600 = 'Point Intercept 2'!F600, 'Point Intercept 1'!F600, "ERROR")</f>
        <v>1</v>
      </c>
      <c r="G600" s="9" t="str">
        <f>if('Point Intercept 1'!G600 = 'Point Intercept 2'!G600, 'Point Intercept 1'!G600, "ERROR")</f>
        <v>SU</v>
      </c>
      <c r="H600" s="9">
        <f>if('Point Intercept 1'!I600 = 'Point Intercept 2'!I600, 'Point Intercept 1'!I600, "ERROR")</f>
        <v>3</v>
      </c>
      <c r="I600" s="9">
        <f>if('Point Intercept 1'!H600 = 'Point Intercept 2'!H600, 'Point Intercept 1'!H600, "ERROR")</f>
        <v>1</v>
      </c>
      <c r="J600" s="9">
        <f>if('Point Intercept 1'!J600 = 'Point Intercept 2'!J600, 'Point Intercept 1'!J600, "ERROR")</f>
        <v>1.5</v>
      </c>
      <c r="K600" s="9" t="str">
        <f>if('Point Intercept 1'!K600 = 'Point Intercept 2'!K600, 'Point Intercept 1'!K600, "ERROR")</f>
        <v>L</v>
      </c>
      <c r="L600" s="9" t="str">
        <f>if('Point Intercept 1'!L600 = 'Point Intercept 2'!L600, 'Point Intercept 1'!L600, "ERROR")</f>
        <v>Litter</v>
      </c>
    </row>
    <row r="601">
      <c r="A601" s="9">
        <f>if('Point Intercept 1'!A601 = 'Point Intercept 2'!A601, 'Point Intercept 1'!A601, "ERROR")</f>
        <v>7</v>
      </c>
      <c r="B601" s="9">
        <f>if('Point Intercept 1'!B601 = 'Point Intercept 2'!B601, 'Point Intercept 1'!B601, "ERROR")</f>
        <v>2025</v>
      </c>
      <c r="C601" s="14">
        <f>if('Point Intercept 1'!C601 = 'Point Intercept 2'!C601, 'Point Intercept 1'!C601, "ERROR")</f>
        <v>45764</v>
      </c>
      <c r="D601" s="9" t="str">
        <f>if('Point Intercept 1'!D601 = 'Point Intercept 2'!D601, 'Point Intercept 1'!D601, "ERROR")</f>
        <v>ERROR</v>
      </c>
      <c r="E601" s="9" t="str">
        <f>if('Point Intercept 1'!E601 = 'Point Intercept 2'!E601, 'Point Intercept 1'!E601, "ERROR")</f>
        <v>VB</v>
      </c>
      <c r="F601" s="9">
        <f>if('Point Intercept 1'!F601 = 'Point Intercept 2'!F601, 'Point Intercept 1'!F601, "ERROR")</f>
        <v>1</v>
      </c>
      <c r="G601" s="9" t="str">
        <f>if('Point Intercept 1'!G601 = 'Point Intercept 2'!G601, 'Point Intercept 1'!G601, "ERROR")</f>
        <v>SU</v>
      </c>
      <c r="H601" s="9">
        <f>if('Point Intercept 1'!I601 = 'Point Intercept 2'!I601, 'Point Intercept 1'!I601, "ERROR")</f>
        <v>3</v>
      </c>
      <c r="I601" s="9">
        <f>if('Point Intercept 1'!H601 = 'Point Intercept 2'!H601, 'Point Intercept 1'!H601, "ERROR")</f>
        <v>1</v>
      </c>
      <c r="J601" s="9">
        <f>if('Point Intercept 1'!J601 = 'Point Intercept 2'!J601, 'Point Intercept 1'!J601, "ERROR")</f>
        <v>1.5</v>
      </c>
      <c r="K601" s="9" t="str">
        <f>if('Point Intercept 1'!K601 = 'Point Intercept 2'!K601, 'Point Intercept 1'!K601, "ERROR")</f>
        <v>DEIFAS</v>
      </c>
      <c r="L601" s="9" t="str">
        <f>if('Point Intercept 1'!L601 = 'Point Intercept 2'!L601, 'Point Intercept 1'!L601, "ERROR")</f>
        <v>Deinandra fasciculata</v>
      </c>
    </row>
    <row r="602">
      <c r="A602" s="9">
        <f>if('Point Intercept 1'!A602 = 'Point Intercept 2'!A602, 'Point Intercept 1'!A602, "ERROR")</f>
        <v>7</v>
      </c>
      <c r="B602" s="9">
        <f>if('Point Intercept 1'!B602 = 'Point Intercept 2'!B602, 'Point Intercept 1'!B602, "ERROR")</f>
        <v>2025</v>
      </c>
      <c r="C602" s="14">
        <f>if('Point Intercept 1'!C602 = 'Point Intercept 2'!C602, 'Point Intercept 1'!C602, "ERROR")</f>
        <v>45764</v>
      </c>
      <c r="D602" s="9" t="str">
        <f>if('Point Intercept 1'!D602 = 'Point Intercept 2'!D602, 'Point Intercept 1'!D602, "ERROR")</f>
        <v>ERROR</v>
      </c>
      <c r="E602" s="9" t="str">
        <f>if('Point Intercept 1'!E602 = 'Point Intercept 2'!E602, 'Point Intercept 1'!E602, "ERROR")</f>
        <v>VB</v>
      </c>
      <c r="F602" s="9">
        <f>if('Point Intercept 1'!F602 = 'Point Intercept 2'!F602, 'Point Intercept 1'!F602, "ERROR")</f>
        <v>1</v>
      </c>
      <c r="G602" s="9" t="str">
        <f>if('Point Intercept 1'!G602 = 'Point Intercept 2'!G602, 'Point Intercept 1'!G602, "ERROR")</f>
        <v>SU</v>
      </c>
      <c r="H602" s="9">
        <f>if('Point Intercept 1'!I602 = 'Point Intercept 2'!I602, 'Point Intercept 1'!I602, "ERROR")</f>
        <v>3</v>
      </c>
      <c r="I602" s="9">
        <f>if('Point Intercept 1'!H602 = 'Point Intercept 2'!H602, 'Point Intercept 1'!H602, "ERROR")</f>
        <v>1</v>
      </c>
      <c r="J602" s="9">
        <f>if('Point Intercept 1'!J602 = 'Point Intercept 2'!J602, 'Point Intercept 1'!J602, "ERROR")</f>
        <v>1.5</v>
      </c>
      <c r="K602" s="9" t="str">
        <f>if('Point Intercept 1'!K602 = 'Point Intercept 2'!K602, 'Point Intercept 1'!K602, "ERROR")</f>
        <v>CENMEL</v>
      </c>
      <c r="L602" s="9" t="str">
        <f>if('Point Intercept 1'!L602 = 'Point Intercept 2'!L602, 'Point Intercept 1'!L602, "ERROR")</f>
        <v>Centaurea melitensis</v>
      </c>
    </row>
    <row r="603">
      <c r="A603" s="9">
        <f>if('Point Intercept 1'!A603 = 'Point Intercept 2'!A603, 'Point Intercept 1'!A603, "ERROR")</f>
        <v>7</v>
      </c>
      <c r="B603" s="9">
        <f>if('Point Intercept 1'!B603 = 'Point Intercept 2'!B603, 'Point Intercept 1'!B603, "ERROR")</f>
        <v>2025</v>
      </c>
      <c r="C603" s="14">
        <f>if('Point Intercept 1'!C603 = 'Point Intercept 2'!C603, 'Point Intercept 1'!C603, "ERROR")</f>
        <v>45764</v>
      </c>
      <c r="D603" s="9" t="str">
        <f>if('Point Intercept 1'!D603 = 'Point Intercept 2'!D603, 'Point Intercept 1'!D603, "ERROR")</f>
        <v>ERROR</v>
      </c>
      <c r="E603" s="9" t="str">
        <f>if('Point Intercept 1'!E603 = 'Point Intercept 2'!E603, 'Point Intercept 1'!E603, "ERROR")</f>
        <v>VB</v>
      </c>
      <c r="F603" s="9">
        <f>if('Point Intercept 1'!F603 = 'Point Intercept 2'!F603, 'Point Intercept 1'!F603, "ERROR")</f>
        <v>1</v>
      </c>
      <c r="G603" s="9" t="str">
        <f>if('Point Intercept 1'!G603 = 'Point Intercept 2'!G603, 'Point Intercept 1'!G603, "ERROR")</f>
        <v>SU</v>
      </c>
      <c r="H603" s="9">
        <f>if('Point Intercept 1'!I603 = 'Point Intercept 2'!I603, 'Point Intercept 1'!I603, "ERROR")</f>
        <v>3</v>
      </c>
      <c r="I603" s="9">
        <f>if('Point Intercept 1'!H603 = 'Point Intercept 2'!H603, 'Point Intercept 1'!H603, "ERROR")</f>
        <v>1</v>
      </c>
      <c r="J603" s="9">
        <f>if('Point Intercept 1'!J603 = 'Point Intercept 2'!J603, 'Point Intercept 1'!J603, "ERROR")</f>
        <v>1.5</v>
      </c>
      <c r="K603" s="9" t="str">
        <f>if('Point Intercept 1'!K603 = 'Point Intercept 2'!K603, 'Point Intercept 1'!K603, "ERROR")</f>
        <v>ANAARV</v>
      </c>
      <c r="L603" s="9" t="str">
        <f>if('Point Intercept 1'!L603 = 'Point Intercept 2'!L603, 'Point Intercept 1'!L603, "ERROR")</f>
        <v>Anagallis arvensis</v>
      </c>
    </row>
    <row r="604">
      <c r="A604" s="9">
        <f>if('Point Intercept 1'!A604 = 'Point Intercept 2'!A604, 'Point Intercept 1'!A604, "ERROR")</f>
        <v>7</v>
      </c>
      <c r="B604" s="9">
        <f>if('Point Intercept 1'!B604 = 'Point Intercept 2'!B604, 'Point Intercept 1'!B604, "ERROR")</f>
        <v>2025</v>
      </c>
      <c r="C604" s="14">
        <f>if('Point Intercept 1'!C604 = 'Point Intercept 2'!C604, 'Point Intercept 1'!C604, "ERROR")</f>
        <v>45764</v>
      </c>
      <c r="D604" s="9" t="str">
        <f>if('Point Intercept 1'!D604 = 'Point Intercept 2'!D604, 'Point Intercept 1'!D604, "ERROR")</f>
        <v>ERROR</v>
      </c>
      <c r="E604" s="9" t="str">
        <f>if('Point Intercept 1'!E604 = 'Point Intercept 2'!E604, 'Point Intercept 1'!E604, "ERROR")</f>
        <v>VB</v>
      </c>
      <c r="F604" s="9">
        <f>if('Point Intercept 1'!F604 = 'Point Intercept 2'!F604, 'Point Intercept 1'!F604, "ERROR")</f>
        <v>1</v>
      </c>
      <c r="G604" s="9" t="str">
        <f>if('Point Intercept 1'!G604 = 'Point Intercept 2'!G604, 'Point Intercept 1'!G604, "ERROR")</f>
        <v>SU</v>
      </c>
      <c r="H604" s="9">
        <f>if('Point Intercept 1'!I604 = 'Point Intercept 2'!I604, 'Point Intercept 1'!I604, "ERROR")</f>
        <v>4</v>
      </c>
      <c r="I604" s="9">
        <f>if('Point Intercept 1'!H604 = 'Point Intercept 2'!H604, 'Point Intercept 1'!H604, "ERROR")</f>
        <v>1</v>
      </c>
      <c r="J604" s="9">
        <f>if('Point Intercept 1'!J604 = 'Point Intercept 2'!J604, 'Point Intercept 1'!J604, "ERROR")</f>
        <v>2</v>
      </c>
      <c r="K604" s="9" t="str">
        <f>if('Point Intercept 1'!K604 = 'Point Intercept 2'!K604, 'Point Intercept 1'!K604, "ERROR")</f>
        <v>S</v>
      </c>
      <c r="L604" s="9" t="str">
        <f>if('Point Intercept 1'!L604 = 'Point Intercept 2'!L604, 'Point Intercept 1'!L604, "ERROR")</f>
        <v>Stem</v>
      </c>
    </row>
    <row r="605">
      <c r="A605" s="9">
        <f>if('Point Intercept 1'!A605 = 'Point Intercept 2'!A605, 'Point Intercept 1'!A605, "ERROR")</f>
        <v>7</v>
      </c>
      <c r="B605" s="9">
        <f>if('Point Intercept 1'!B605 = 'Point Intercept 2'!B605, 'Point Intercept 1'!B605, "ERROR")</f>
        <v>2025</v>
      </c>
      <c r="C605" s="14">
        <f>if('Point Intercept 1'!C605 = 'Point Intercept 2'!C605, 'Point Intercept 1'!C605, "ERROR")</f>
        <v>45764</v>
      </c>
      <c r="D605" s="9" t="str">
        <f>if('Point Intercept 1'!D605 = 'Point Intercept 2'!D605, 'Point Intercept 1'!D605, "ERROR")</f>
        <v>ERROR</v>
      </c>
      <c r="E605" s="9" t="str">
        <f>if('Point Intercept 1'!E605 = 'Point Intercept 2'!E605, 'Point Intercept 1'!E605, "ERROR")</f>
        <v>VB</v>
      </c>
      <c r="F605" s="9">
        <f>if('Point Intercept 1'!F605 = 'Point Intercept 2'!F605, 'Point Intercept 1'!F605, "ERROR")</f>
        <v>1</v>
      </c>
      <c r="G605" s="9" t="str">
        <f>if('Point Intercept 1'!G605 = 'Point Intercept 2'!G605, 'Point Intercept 1'!G605, "ERROR")</f>
        <v>SU</v>
      </c>
      <c r="H605" s="9">
        <f>if('Point Intercept 1'!I605 = 'Point Intercept 2'!I605, 'Point Intercept 1'!I605, "ERROR")</f>
        <v>4</v>
      </c>
      <c r="I605" s="9">
        <f>if('Point Intercept 1'!H605 = 'Point Intercept 2'!H605, 'Point Intercept 1'!H605, "ERROR")</f>
        <v>1</v>
      </c>
      <c r="J605" s="9">
        <f>if('Point Intercept 1'!J605 = 'Point Intercept 2'!J605, 'Point Intercept 1'!J605, "ERROR")</f>
        <v>2</v>
      </c>
      <c r="K605" s="9" t="str">
        <f>if('Point Intercept 1'!K605 = 'Point Intercept 2'!K605, 'Point Intercept 1'!K605, "ERROR")</f>
        <v>EROMOS</v>
      </c>
      <c r="L605" s="9" t="str">
        <f>if('Point Intercept 1'!L605 = 'Point Intercept 2'!L605, 'Point Intercept 1'!L605, "ERROR")</f>
        <v>Erodium moschatum</v>
      </c>
    </row>
    <row r="606">
      <c r="A606" s="9">
        <f>if('Point Intercept 1'!A606 = 'Point Intercept 2'!A606, 'Point Intercept 1'!A606, "ERROR")</f>
        <v>7</v>
      </c>
      <c r="B606" s="9">
        <f>if('Point Intercept 1'!B606 = 'Point Intercept 2'!B606, 'Point Intercept 1'!B606, "ERROR")</f>
        <v>2025</v>
      </c>
      <c r="C606" s="14">
        <f>if('Point Intercept 1'!C606 = 'Point Intercept 2'!C606, 'Point Intercept 1'!C606, "ERROR")</f>
        <v>45764</v>
      </c>
      <c r="D606" s="9" t="str">
        <f>if('Point Intercept 1'!D606 = 'Point Intercept 2'!D606, 'Point Intercept 1'!D606, "ERROR")</f>
        <v>ERROR</v>
      </c>
      <c r="E606" s="9" t="str">
        <f>if('Point Intercept 1'!E606 = 'Point Intercept 2'!E606, 'Point Intercept 1'!E606, "ERROR")</f>
        <v>VB</v>
      </c>
      <c r="F606" s="9">
        <f>if('Point Intercept 1'!F606 = 'Point Intercept 2'!F606, 'Point Intercept 1'!F606, "ERROR")</f>
        <v>1</v>
      </c>
      <c r="G606" s="9" t="str">
        <f>if('Point Intercept 1'!G606 = 'Point Intercept 2'!G606, 'Point Intercept 1'!G606, "ERROR")</f>
        <v>SU</v>
      </c>
      <c r="H606" s="9">
        <f>if('Point Intercept 1'!I606 = 'Point Intercept 2'!I606, 'Point Intercept 1'!I606, "ERROR")</f>
        <v>5</v>
      </c>
      <c r="I606" s="9">
        <f>if('Point Intercept 1'!H606 = 'Point Intercept 2'!H606, 'Point Intercept 1'!H606, "ERROR")</f>
        <v>1</v>
      </c>
      <c r="J606" s="9">
        <f>if('Point Intercept 1'!J606 = 'Point Intercept 2'!J606, 'Point Intercept 1'!J606, "ERROR")</f>
        <v>3</v>
      </c>
      <c r="K606" s="9" t="str">
        <f>if('Point Intercept 1'!K606 = 'Point Intercept 2'!K606, 'Point Intercept 1'!K606, "ERROR")</f>
        <v>B</v>
      </c>
      <c r="L606" s="9" t="str">
        <f>if('Point Intercept 1'!L606 = 'Point Intercept 2'!L606, 'Point Intercept 1'!L606, "ERROR")</f>
        <v>Bareground</v>
      </c>
    </row>
    <row r="607">
      <c r="A607" s="9">
        <f>if('Point Intercept 1'!A607 = 'Point Intercept 2'!A607, 'Point Intercept 1'!A607, "ERROR")</f>
        <v>7</v>
      </c>
      <c r="B607" s="9">
        <f>if('Point Intercept 1'!B607 = 'Point Intercept 2'!B607, 'Point Intercept 1'!B607, "ERROR")</f>
        <v>2025</v>
      </c>
      <c r="C607" s="14">
        <f>if('Point Intercept 1'!C607 = 'Point Intercept 2'!C607, 'Point Intercept 1'!C607, "ERROR")</f>
        <v>45764</v>
      </c>
      <c r="D607" s="9" t="str">
        <f>if('Point Intercept 1'!D607 = 'Point Intercept 2'!D607, 'Point Intercept 1'!D607, "ERROR")</f>
        <v>ERROR</v>
      </c>
      <c r="E607" s="9" t="str">
        <f>if('Point Intercept 1'!E607 = 'Point Intercept 2'!E607, 'Point Intercept 1'!E607, "ERROR")</f>
        <v>VB</v>
      </c>
      <c r="F607" s="9">
        <f>if('Point Intercept 1'!F607 = 'Point Intercept 2'!F607, 'Point Intercept 1'!F607, "ERROR")</f>
        <v>1</v>
      </c>
      <c r="G607" s="9" t="str">
        <f>if('Point Intercept 1'!G607 = 'Point Intercept 2'!G607, 'Point Intercept 1'!G607, "ERROR")</f>
        <v>SU</v>
      </c>
      <c r="H607" s="9">
        <f>if('Point Intercept 1'!I607 = 'Point Intercept 2'!I607, 'Point Intercept 1'!I607, "ERROR")</f>
        <v>5</v>
      </c>
      <c r="I607" s="9">
        <f>if('Point Intercept 1'!H607 = 'Point Intercept 2'!H607, 'Point Intercept 1'!H607, "ERROR")</f>
        <v>1</v>
      </c>
      <c r="J607" s="9">
        <f>if('Point Intercept 1'!J607 = 'Point Intercept 2'!J607, 'Point Intercept 1'!J607, "ERROR")</f>
        <v>3</v>
      </c>
      <c r="K607" s="9" t="str">
        <f>if('Point Intercept 1'!K607 = 'Point Intercept 2'!K607, 'Point Intercept 1'!K607, "ERROR")</f>
        <v>SONOLE</v>
      </c>
      <c r="L607" s="9" t="str">
        <f>if('Point Intercept 1'!L607 = 'Point Intercept 2'!L607, 'Point Intercept 1'!L607, "ERROR")</f>
        <v>Sonchus oleraceus</v>
      </c>
    </row>
    <row r="608">
      <c r="A608" s="9">
        <f>if('Point Intercept 1'!A608 = 'Point Intercept 2'!A608, 'Point Intercept 1'!A608, "ERROR")</f>
        <v>7</v>
      </c>
      <c r="B608" s="9">
        <f>if('Point Intercept 1'!B608 = 'Point Intercept 2'!B608, 'Point Intercept 1'!B608, "ERROR")</f>
        <v>2025</v>
      </c>
      <c r="C608" s="14">
        <f>if('Point Intercept 1'!C608 = 'Point Intercept 2'!C608, 'Point Intercept 1'!C608, "ERROR")</f>
        <v>45764</v>
      </c>
      <c r="D608" s="9" t="str">
        <f>if('Point Intercept 1'!D608 = 'Point Intercept 2'!D608, 'Point Intercept 1'!D608, "ERROR")</f>
        <v>ERROR</v>
      </c>
      <c r="E608" s="9" t="str">
        <f>if('Point Intercept 1'!E608 = 'Point Intercept 2'!E608, 'Point Intercept 1'!E608, "ERROR")</f>
        <v>VB</v>
      </c>
      <c r="F608" s="9">
        <f>if('Point Intercept 1'!F608 = 'Point Intercept 2'!F608, 'Point Intercept 1'!F608, "ERROR")</f>
        <v>1</v>
      </c>
      <c r="G608" s="9" t="str">
        <f>if('Point Intercept 1'!G608 = 'Point Intercept 2'!G608, 'Point Intercept 1'!G608, "ERROR")</f>
        <v>SU</v>
      </c>
      <c r="H608" s="9">
        <f>if('Point Intercept 1'!I608 = 'Point Intercept 2'!I608, 'Point Intercept 1'!I608, "ERROR")</f>
        <v>6</v>
      </c>
      <c r="I608" s="9">
        <f>if('Point Intercept 1'!H608 = 'Point Intercept 2'!H608, 'Point Intercept 1'!H608, "ERROR")</f>
        <v>1</v>
      </c>
      <c r="J608" s="9">
        <f>if('Point Intercept 1'!J608 = 'Point Intercept 2'!J608, 'Point Intercept 1'!J608, "ERROR")</f>
        <v>3.5</v>
      </c>
      <c r="K608" s="9" t="str">
        <f>if('Point Intercept 1'!K608 = 'Point Intercept 2'!K608, 'Point Intercept 1'!K608, "ERROR")</f>
        <v>L</v>
      </c>
      <c r="L608" s="9" t="str">
        <f>if('Point Intercept 1'!L608 = 'Point Intercept 2'!L608, 'Point Intercept 1'!L608, "ERROR")</f>
        <v>Litter</v>
      </c>
    </row>
    <row r="609">
      <c r="A609" s="9">
        <f>if('Point Intercept 1'!A609 = 'Point Intercept 2'!A609, 'Point Intercept 1'!A609, "ERROR")</f>
        <v>7</v>
      </c>
      <c r="B609" s="9">
        <f>if('Point Intercept 1'!B609 = 'Point Intercept 2'!B609, 'Point Intercept 1'!B609, "ERROR")</f>
        <v>2025</v>
      </c>
      <c r="C609" s="14">
        <f>if('Point Intercept 1'!C609 = 'Point Intercept 2'!C609, 'Point Intercept 1'!C609, "ERROR")</f>
        <v>45764</v>
      </c>
      <c r="D609" s="9" t="str">
        <f>if('Point Intercept 1'!D609 = 'Point Intercept 2'!D609, 'Point Intercept 1'!D609, "ERROR")</f>
        <v>ERROR</v>
      </c>
      <c r="E609" s="9" t="str">
        <f>if('Point Intercept 1'!E609 = 'Point Intercept 2'!E609, 'Point Intercept 1'!E609, "ERROR")</f>
        <v>VB</v>
      </c>
      <c r="F609" s="9">
        <f>if('Point Intercept 1'!F609 = 'Point Intercept 2'!F609, 'Point Intercept 1'!F609, "ERROR")</f>
        <v>1</v>
      </c>
      <c r="G609" s="9" t="str">
        <f>if('Point Intercept 1'!G609 = 'Point Intercept 2'!G609, 'Point Intercept 1'!G609, "ERROR")</f>
        <v>SU</v>
      </c>
      <c r="H609" s="9">
        <f>if('Point Intercept 1'!I609 = 'Point Intercept 2'!I609, 'Point Intercept 1'!I609, "ERROR")</f>
        <v>6</v>
      </c>
      <c r="I609" s="9">
        <f>if('Point Intercept 1'!H609 = 'Point Intercept 2'!H609, 'Point Intercept 1'!H609, "ERROR")</f>
        <v>1</v>
      </c>
      <c r="J609" s="9">
        <f>if('Point Intercept 1'!J609 = 'Point Intercept 2'!J609, 'Point Intercept 1'!J609, "ERROR")</f>
        <v>3.5</v>
      </c>
      <c r="K609" s="9" t="str">
        <f>if('Point Intercept 1'!K609 = 'Point Intercept 2'!K609, 'Point Intercept 1'!K609, "ERROR")</f>
        <v>FESMYU</v>
      </c>
      <c r="L609" s="9" t="str">
        <f>if('Point Intercept 1'!L609 = 'Point Intercept 2'!L609, 'Point Intercept 1'!L609, "ERROR")</f>
        <v>Festuca myuros</v>
      </c>
    </row>
    <row r="610">
      <c r="A610" s="9">
        <f>if('Point Intercept 1'!A610 = 'Point Intercept 2'!A610, 'Point Intercept 1'!A610, "ERROR")</f>
        <v>7</v>
      </c>
      <c r="B610" s="9">
        <f>if('Point Intercept 1'!B610 = 'Point Intercept 2'!B610, 'Point Intercept 1'!B610, "ERROR")</f>
        <v>2025</v>
      </c>
      <c r="C610" s="14">
        <f>if('Point Intercept 1'!C610 = 'Point Intercept 2'!C610, 'Point Intercept 1'!C610, "ERROR")</f>
        <v>45764</v>
      </c>
      <c r="D610" s="9" t="str">
        <f>if('Point Intercept 1'!D610 = 'Point Intercept 2'!D610, 'Point Intercept 1'!D610, "ERROR")</f>
        <v>ERROR</v>
      </c>
      <c r="E610" s="9" t="str">
        <f>if('Point Intercept 1'!E610 = 'Point Intercept 2'!E610, 'Point Intercept 1'!E610, "ERROR")</f>
        <v>VB</v>
      </c>
      <c r="F610" s="9">
        <f>if('Point Intercept 1'!F610 = 'Point Intercept 2'!F610, 'Point Intercept 1'!F610, "ERROR")</f>
        <v>1</v>
      </c>
      <c r="G610" s="9" t="str">
        <f>if('Point Intercept 1'!G610 = 'Point Intercept 2'!G610, 'Point Intercept 1'!G610, "ERROR")</f>
        <v>SU</v>
      </c>
      <c r="H610" s="9">
        <f>if('Point Intercept 1'!I610 = 'Point Intercept 2'!I610, 'Point Intercept 1'!I610, "ERROR")</f>
        <v>6</v>
      </c>
      <c r="I610" s="9">
        <f>if('Point Intercept 1'!H610 = 'Point Intercept 2'!H610, 'Point Intercept 1'!H610, "ERROR")</f>
        <v>1</v>
      </c>
      <c r="J610" s="9">
        <f>if('Point Intercept 1'!J610 = 'Point Intercept 2'!J610, 'Point Intercept 1'!J610, "ERROR")</f>
        <v>3.5</v>
      </c>
      <c r="K610" s="9" t="str">
        <f>if('Point Intercept 1'!K610 = 'Point Intercept 2'!K610, 'Point Intercept 1'!K610, "ERROR")</f>
        <v>DEIFAS</v>
      </c>
      <c r="L610" s="9" t="str">
        <f>if('Point Intercept 1'!L610 = 'Point Intercept 2'!L610, 'Point Intercept 1'!L610, "ERROR")</f>
        <v>Deinandra fasciculata</v>
      </c>
    </row>
    <row r="611">
      <c r="A611" s="9">
        <f>if('Point Intercept 1'!A611 = 'Point Intercept 2'!A611, 'Point Intercept 1'!A611, "ERROR")</f>
        <v>7</v>
      </c>
      <c r="B611" s="9">
        <f>if('Point Intercept 1'!B611 = 'Point Intercept 2'!B611, 'Point Intercept 1'!B611, "ERROR")</f>
        <v>2025</v>
      </c>
      <c r="C611" s="14">
        <f>if('Point Intercept 1'!C611 = 'Point Intercept 2'!C611, 'Point Intercept 1'!C611, "ERROR")</f>
        <v>45764</v>
      </c>
      <c r="D611" s="9" t="str">
        <f>if('Point Intercept 1'!D611 = 'Point Intercept 2'!D611, 'Point Intercept 1'!D611, "ERROR")</f>
        <v>ERROR</v>
      </c>
      <c r="E611" s="9" t="str">
        <f>if('Point Intercept 1'!E611 = 'Point Intercept 2'!E611, 'Point Intercept 1'!E611, "ERROR")</f>
        <v>VB</v>
      </c>
      <c r="F611" s="9">
        <f>if('Point Intercept 1'!F611 = 'Point Intercept 2'!F611, 'Point Intercept 1'!F611, "ERROR")</f>
        <v>1</v>
      </c>
      <c r="G611" s="9" t="str">
        <f>if('Point Intercept 1'!G611 = 'Point Intercept 2'!G611, 'Point Intercept 1'!G611, "ERROR")</f>
        <v>SU</v>
      </c>
      <c r="H611" s="9">
        <f>if('Point Intercept 1'!I611 = 'Point Intercept 2'!I611, 'Point Intercept 1'!I611, "ERROR")</f>
        <v>7</v>
      </c>
      <c r="I611" s="9">
        <f>if('Point Intercept 1'!H611 = 'Point Intercept 2'!H611, 'Point Intercept 1'!H611, "ERROR")</f>
        <v>1</v>
      </c>
      <c r="J611" s="9">
        <f>if('Point Intercept 1'!J611 = 'Point Intercept 2'!J611, 'Point Intercept 1'!J611, "ERROR")</f>
        <v>4</v>
      </c>
      <c r="K611" s="9" t="str">
        <f>if('Point Intercept 1'!K611 = 'Point Intercept 2'!K611, 'Point Intercept 1'!K611, "ERROR")</f>
        <v>B</v>
      </c>
      <c r="L611" s="9" t="str">
        <f>if('Point Intercept 1'!L611 = 'Point Intercept 2'!L611, 'Point Intercept 1'!L611, "ERROR")</f>
        <v>Bareground</v>
      </c>
    </row>
    <row r="612">
      <c r="A612" s="9">
        <f>if('Point Intercept 1'!A612 = 'Point Intercept 2'!A612, 'Point Intercept 1'!A612, "ERROR")</f>
        <v>7</v>
      </c>
      <c r="B612" s="9">
        <f>if('Point Intercept 1'!B612 = 'Point Intercept 2'!B612, 'Point Intercept 1'!B612, "ERROR")</f>
        <v>2025</v>
      </c>
      <c r="C612" s="14">
        <f>if('Point Intercept 1'!C612 = 'Point Intercept 2'!C612, 'Point Intercept 1'!C612, "ERROR")</f>
        <v>45764</v>
      </c>
      <c r="D612" s="9" t="str">
        <f>if('Point Intercept 1'!D612 = 'Point Intercept 2'!D612, 'Point Intercept 1'!D612, "ERROR")</f>
        <v>ERROR</v>
      </c>
      <c r="E612" s="9" t="str">
        <f>if('Point Intercept 1'!E612 = 'Point Intercept 2'!E612, 'Point Intercept 1'!E612, "ERROR")</f>
        <v>VB</v>
      </c>
      <c r="F612" s="9">
        <f>if('Point Intercept 1'!F612 = 'Point Intercept 2'!F612, 'Point Intercept 1'!F612, "ERROR")</f>
        <v>1</v>
      </c>
      <c r="G612" s="9" t="str">
        <f>if('Point Intercept 1'!G612 = 'Point Intercept 2'!G612, 'Point Intercept 1'!G612, "ERROR")</f>
        <v>SU</v>
      </c>
      <c r="H612" s="9">
        <f>if('Point Intercept 1'!I612 = 'Point Intercept 2'!I612, 'Point Intercept 1'!I612, "ERROR")</f>
        <v>7</v>
      </c>
      <c r="I612" s="9">
        <f>if('Point Intercept 1'!H612 = 'Point Intercept 2'!H612, 'Point Intercept 1'!H612, "ERROR")</f>
        <v>1</v>
      </c>
      <c r="J612" s="9">
        <f>if('Point Intercept 1'!J612 = 'Point Intercept 2'!J612, 'Point Intercept 1'!J612, "ERROR")</f>
        <v>4</v>
      </c>
      <c r="K612" s="9" t="str">
        <f>if('Point Intercept 1'!K612 = 'Point Intercept 2'!K612, 'Point Intercept 1'!K612, "ERROR")</f>
        <v>DEIFAS</v>
      </c>
      <c r="L612" s="9" t="str">
        <f>if('Point Intercept 1'!L612 = 'Point Intercept 2'!L612, 'Point Intercept 1'!L612, "ERROR")</f>
        <v>Deinandra fasciculata</v>
      </c>
    </row>
    <row r="613">
      <c r="A613" s="9">
        <f>if('Point Intercept 1'!A613 = 'Point Intercept 2'!A613, 'Point Intercept 1'!A613, "ERROR")</f>
        <v>7</v>
      </c>
      <c r="B613" s="9">
        <f>if('Point Intercept 1'!B613 = 'Point Intercept 2'!B613, 'Point Intercept 1'!B613, "ERROR")</f>
        <v>2025</v>
      </c>
      <c r="C613" s="14">
        <f>if('Point Intercept 1'!C613 = 'Point Intercept 2'!C613, 'Point Intercept 1'!C613, "ERROR")</f>
        <v>45764</v>
      </c>
      <c r="D613" s="9" t="str">
        <f>if('Point Intercept 1'!D613 = 'Point Intercept 2'!D613, 'Point Intercept 1'!D613, "ERROR")</f>
        <v>ERROR</v>
      </c>
      <c r="E613" s="9" t="str">
        <f>if('Point Intercept 1'!E613 = 'Point Intercept 2'!E613, 'Point Intercept 1'!E613, "ERROR")</f>
        <v>VB</v>
      </c>
      <c r="F613" s="9">
        <f>if('Point Intercept 1'!F613 = 'Point Intercept 2'!F613, 'Point Intercept 1'!F613, "ERROR")</f>
        <v>1</v>
      </c>
      <c r="G613" s="9" t="str">
        <f>if('Point Intercept 1'!G613 = 'Point Intercept 2'!G613, 'Point Intercept 1'!G613, "ERROR")</f>
        <v>SU</v>
      </c>
      <c r="H613" s="9">
        <f>if('Point Intercept 1'!I613 = 'Point Intercept 2'!I613, 'Point Intercept 1'!I613, "ERROR")</f>
        <v>7</v>
      </c>
      <c r="I613" s="9">
        <f>if('Point Intercept 1'!H613 = 'Point Intercept 2'!H613, 'Point Intercept 1'!H613, "ERROR")</f>
        <v>1</v>
      </c>
      <c r="J613" s="9">
        <f>if('Point Intercept 1'!J613 = 'Point Intercept 2'!J613, 'Point Intercept 1'!J613, "ERROR")</f>
        <v>4</v>
      </c>
      <c r="K613" s="9" t="str">
        <f>if('Point Intercept 1'!K613 = 'Point Intercept 2'!K613, 'Point Intercept 1'!K613, "ERROR")</f>
        <v>EROCIC</v>
      </c>
      <c r="L613" s="9" t="str">
        <f>if('Point Intercept 1'!L613 = 'Point Intercept 2'!L613, 'Point Intercept 1'!L613, "ERROR")</f>
        <v>Erodium cicutarium</v>
      </c>
    </row>
    <row r="614">
      <c r="A614" s="9">
        <f>if('Point Intercept 1'!A614 = 'Point Intercept 2'!A614, 'Point Intercept 1'!A614, "ERROR")</f>
        <v>7</v>
      </c>
      <c r="B614" s="9">
        <f>if('Point Intercept 1'!B614 = 'Point Intercept 2'!B614, 'Point Intercept 1'!B614, "ERROR")</f>
        <v>2025</v>
      </c>
      <c r="C614" s="14">
        <f>if('Point Intercept 1'!C614 = 'Point Intercept 2'!C614, 'Point Intercept 1'!C614, "ERROR")</f>
        <v>45764</v>
      </c>
      <c r="D614" s="9" t="str">
        <f>if('Point Intercept 1'!D614 = 'Point Intercept 2'!D614, 'Point Intercept 1'!D614, "ERROR")</f>
        <v>ERROR</v>
      </c>
      <c r="E614" s="9" t="str">
        <f>if('Point Intercept 1'!E614 = 'Point Intercept 2'!E614, 'Point Intercept 1'!E614, "ERROR")</f>
        <v>VB</v>
      </c>
      <c r="F614" s="9">
        <f>if('Point Intercept 1'!F614 = 'Point Intercept 2'!F614, 'Point Intercept 1'!F614, "ERROR")</f>
        <v>1</v>
      </c>
      <c r="G614" s="9" t="str">
        <f>if('Point Intercept 1'!G614 = 'Point Intercept 2'!G614, 'Point Intercept 1'!G614, "ERROR")</f>
        <v>SU</v>
      </c>
      <c r="H614" s="9">
        <f>if('Point Intercept 1'!I614 = 'Point Intercept 2'!I614, 'Point Intercept 1'!I614, "ERROR")</f>
        <v>8</v>
      </c>
      <c r="I614" s="9">
        <f>if('Point Intercept 1'!H614 = 'Point Intercept 2'!H614, 'Point Intercept 1'!H614, "ERROR")</f>
        <v>1</v>
      </c>
      <c r="J614" s="9">
        <f>if('Point Intercept 1'!J614 = 'Point Intercept 2'!J614, 'Point Intercept 1'!J614, "ERROR")</f>
        <v>5</v>
      </c>
      <c r="K614" s="9" t="str">
        <f>if('Point Intercept 1'!K614 = 'Point Intercept 2'!K614, 'Point Intercept 1'!K614, "ERROR")</f>
        <v>L</v>
      </c>
      <c r="L614" s="9" t="str">
        <f>if('Point Intercept 1'!L614 = 'Point Intercept 2'!L614, 'Point Intercept 1'!L614, "ERROR")</f>
        <v>Litter</v>
      </c>
    </row>
    <row r="615">
      <c r="A615" s="9">
        <f>if('Point Intercept 1'!A615 = 'Point Intercept 2'!A615, 'Point Intercept 1'!A615, "ERROR")</f>
        <v>7</v>
      </c>
      <c r="B615" s="9">
        <f>if('Point Intercept 1'!B615 = 'Point Intercept 2'!B615, 'Point Intercept 1'!B615, "ERROR")</f>
        <v>2025</v>
      </c>
      <c r="C615" s="14">
        <f>if('Point Intercept 1'!C615 = 'Point Intercept 2'!C615, 'Point Intercept 1'!C615, "ERROR")</f>
        <v>45764</v>
      </c>
      <c r="D615" s="9" t="str">
        <f>if('Point Intercept 1'!D615 = 'Point Intercept 2'!D615, 'Point Intercept 1'!D615, "ERROR")</f>
        <v>ERROR</v>
      </c>
      <c r="E615" s="9" t="str">
        <f>if('Point Intercept 1'!E615 = 'Point Intercept 2'!E615, 'Point Intercept 1'!E615, "ERROR")</f>
        <v>VB</v>
      </c>
      <c r="F615" s="9">
        <f>if('Point Intercept 1'!F615 = 'Point Intercept 2'!F615, 'Point Intercept 1'!F615, "ERROR")</f>
        <v>1</v>
      </c>
      <c r="G615" s="9" t="str">
        <f>if('Point Intercept 1'!G615 = 'Point Intercept 2'!G615, 'Point Intercept 1'!G615, "ERROR")</f>
        <v>SU</v>
      </c>
      <c r="H615" s="9">
        <f>if('Point Intercept 1'!I615 = 'Point Intercept 2'!I615, 'Point Intercept 1'!I615, "ERROR")</f>
        <v>8</v>
      </c>
      <c r="I615" s="9">
        <f>if('Point Intercept 1'!H615 = 'Point Intercept 2'!H615, 'Point Intercept 1'!H615, "ERROR")</f>
        <v>1</v>
      </c>
      <c r="J615" s="9">
        <f>if('Point Intercept 1'!J615 = 'Point Intercept 2'!J615, 'Point Intercept 1'!J615, "ERROR")</f>
        <v>5</v>
      </c>
      <c r="K615" s="9" t="str">
        <f>if('Point Intercept 1'!K615 = 'Point Intercept 2'!K615, 'Point Intercept 1'!K615, "ERROR")</f>
        <v>ANAARV</v>
      </c>
      <c r="L615" s="9" t="str">
        <f>if('Point Intercept 1'!L615 = 'Point Intercept 2'!L615, 'Point Intercept 1'!L615, "ERROR")</f>
        <v>Anagallis arvensis</v>
      </c>
    </row>
    <row r="616">
      <c r="A616" s="9">
        <f>if('Point Intercept 1'!A616 = 'Point Intercept 2'!A616, 'Point Intercept 1'!A616, "ERROR")</f>
        <v>7</v>
      </c>
      <c r="B616" s="9">
        <f>if('Point Intercept 1'!B616 = 'Point Intercept 2'!B616, 'Point Intercept 1'!B616, "ERROR")</f>
        <v>2025</v>
      </c>
      <c r="C616" s="14">
        <f>if('Point Intercept 1'!C616 = 'Point Intercept 2'!C616, 'Point Intercept 1'!C616, "ERROR")</f>
        <v>45764</v>
      </c>
      <c r="D616" s="9" t="str">
        <f>if('Point Intercept 1'!D616 = 'Point Intercept 2'!D616, 'Point Intercept 1'!D616, "ERROR")</f>
        <v>ERROR</v>
      </c>
      <c r="E616" s="9" t="str">
        <f>if('Point Intercept 1'!E616 = 'Point Intercept 2'!E616, 'Point Intercept 1'!E616, "ERROR")</f>
        <v>VB</v>
      </c>
      <c r="F616" s="9">
        <f>if('Point Intercept 1'!F616 = 'Point Intercept 2'!F616, 'Point Intercept 1'!F616, "ERROR")</f>
        <v>1</v>
      </c>
      <c r="G616" s="9" t="str">
        <f>if('Point Intercept 1'!G616 = 'Point Intercept 2'!G616, 'Point Intercept 1'!G616, "ERROR")</f>
        <v>SU</v>
      </c>
      <c r="H616" s="9">
        <f>if('Point Intercept 1'!I616 = 'Point Intercept 2'!I616, 'Point Intercept 1'!I616, "ERROR")</f>
        <v>8</v>
      </c>
      <c r="I616" s="9">
        <f>if('Point Intercept 1'!H616 = 'Point Intercept 2'!H616, 'Point Intercept 1'!H616, "ERROR")</f>
        <v>1</v>
      </c>
      <c r="J616" s="9">
        <f>if('Point Intercept 1'!J616 = 'Point Intercept 2'!J616, 'Point Intercept 1'!J616, "ERROR")</f>
        <v>5</v>
      </c>
      <c r="K616" s="9" t="str">
        <f>if('Point Intercept 1'!K616 = 'Point Intercept 2'!K616, 'Point Intercept 1'!K616, "ERROR")</f>
        <v>SONASP</v>
      </c>
      <c r="L616" s="9" t="str">
        <f>if('Point Intercept 1'!L616 = 'Point Intercept 2'!L616, 'Point Intercept 1'!L616, "ERROR")</f>
        <v>Sonchus asper</v>
      </c>
    </row>
    <row r="617">
      <c r="A617" s="9">
        <f>if('Point Intercept 1'!A617 = 'Point Intercept 2'!A617, 'Point Intercept 1'!A617, "ERROR")</f>
        <v>7</v>
      </c>
      <c r="B617" s="9">
        <f>if('Point Intercept 1'!B617 = 'Point Intercept 2'!B617, 'Point Intercept 1'!B617, "ERROR")</f>
        <v>2025</v>
      </c>
      <c r="C617" s="14">
        <f>if('Point Intercept 1'!C617 = 'Point Intercept 2'!C617, 'Point Intercept 1'!C617, "ERROR")</f>
        <v>45764</v>
      </c>
      <c r="D617" s="9" t="str">
        <f>if('Point Intercept 1'!D617 = 'Point Intercept 2'!D617, 'Point Intercept 1'!D617, "ERROR")</f>
        <v>ERROR</v>
      </c>
      <c r="E617" s="9" t="str">
        <f>if('Point Intercept 1'!E617 = 'Point Intercept 2'!E617, 'Point Intercept 1'!E617, "ERROR")</f>
        <v>VB</v>
      </c>
      <c r="F617" s="9">
        <f>if('Point Intercept 1'!F617 = 'Point Intercept 2'!F617, 'Point Intercept 1'!F617, "ERROR")</f>
        <v>1</v>
      </c>
      <c r="G617" s="9" t="str">
        <f>if('Point Intercept 1'!G617 = 'Point Intercept 2'!G617, 'Point Intercept 1'!G617, "ERROR")</f>
        <v>SU</v>
      </c>
      <c r="H617" s="9">
        <f>if('Point Intercept 1'!I617 = 'Point Intercept 2'!I617, 'Point Intercept 1'!I617, "ERROR")</f>
        <v>9</v>
      </c>
      <c r="I617" s="9">
        <f>if('Point Intercept 1'!H617 = 'Point Intercept 2'!H617, 'Point Intercept 1'!H617, "ERROR")</f>
        <v>1</v>
      </c>
      <c r="J617" s="9">
        <f>if('Point Intercept 1'!J617 = 'Point Intercept 2'!J617, 'Point Intercept 1'!J617, "ERROR")</f>
        <v>7</v>
      </c>
      <c r="K617" s="9" t="str">
        <f>if('Point Intercept 1'!K617 = 'Point Intercept 2'!K617, 'Point Intercept 1'!K617, "ERROR")</f>
        <v>S</v>
      </c>
      <c r="L617" s="9" t="str">
        <f>if('Point Intercept 1'!L617 = 'Point Intercept 2'!L617, 'Point Intercept 1'!L617, "ERROR")</f>
        <v>Stem</v>
      </c>
    </row>
    <row r="618">
      <c r="A618" s="9">
        <f>if('Point Intercept 1'!A618 = 'Point Intercept 2'!A618, 'Point Intercept 1'!A618, "ERROR")</f>
        <v>7</v>
      </c>
      <c r="B618" s="9">
        <f>if('Point Intercept 1'!B618 = 'Point Intercept 2'!B618, 'Point Intercept 1'!B618, "ERROR")</f>
        <v>2025</v>
      </c>
      <c r="C618" s="14">
        <f>if('Point Intercept 1'!C618 = 'Point Intercept 2'!C618, 'Point Intercept 1'!C618, "ERROR")</f>
        <v>45764</v>
      </c>
      <c r="D618" s="9" t="str">
        <f>if('Point Intercept 1'!D618 = 'Point Intercept 2'!D618, 'Point Intercept 1'!D618, "ERROR")</f>
        <v>ERROR</v>
      </c>
      <c r="E618" s="9" t="str">
        <f>if('Point Intercept 1'!E618 = 'Point Intercept 2'!E618, 'Point Intercept 1'!E618, "ERROR")</f>
        <v>VB</v>
      </c>
      <c r="F618" s="9">
        <f>if('Point Intercept 1'!F618 = 'Point Intercept 2'!F618, 'Point Intercept 1'!F618, "ERROR")</f>
        <v>1</v>
      </c>
      <c r="G618" s="9" t="str">
        <f>if('Point Intercept 1'!G618 = 'Point Intercept 2'!G618, 'Point Intercept 1'!G618, "ERROR")</f>
        <v>SU</v>
      </c>
      <c r="H618" s="9">
        <f>if('Point Intercept 1'!I618 = 'Point Intercept 2'!I618, 'Point Intercept 1'!I618, "ERROR")</f>
        <v>9</v>
      </c>
      <c r="I618" s="9">
        <f>if('Point Intercept 1'!H618 = 'Point Intercept 2'!H618, 'Point Intercept 1'!H618, "ERROR")</f>
        <v>1</v>
      </c>
      <c r="J618" s="9">
        <f>if('Point Intercept 1'!J618 = 'Point Intercept 2'!J618, 'Point Intercept 1'!J618, "ERROR")</f>
        <v>7</v>
      </c>
      <c r="K618" s="9" t="str">
        <f>if('Point Intercept 1'!K618 = 'Point Intercept 2'!K618, 'Point Intercept 1'!K618, "ERROR")</f>
        <v>FESMYU</v>
      </c>
      <c r="L618" s="9" t="str">
        <f>if('Point Intercept 1'!L618 = 'Point Intercept 2'!L618, 'Point Intercept 1'!L618, "ERROR")</f>
        <v>Festuca myuros</v>
      </c>
    </row>
    <row r="619">
      <c r="A619" s="9">
        <f>if('Point Intercept 1'!A619 = 'Point Intercept 2'!A619, 'Point Intercept 1'!A619, "ERROR")</f>
        <v>7</v>
      </c>
      <c r="B619" s="9">
        <f>if('Point Intercept 1'!B619 = 'Point Intercept 2'!B619, 'Point Intercept 1'!B619, "ERROR")</f>
        <v>2025</v>
      </c>
      <c r="C619" s="14">
        <f>if('Point Intercept 1'!C619 = 'Point Intercept 2'!C619, 'Point Intercept 1'!C619, "ERROR")</f>
        <v>45764</v>
      </c>
      <c r="D619" s="9" t="str">
        <f>if('Point Intercept 1'!D619 = 'Point Intercept 2'!D619, 'Point Intercept 1'!D619, "ERROR")</f>
        <v>ERROR</v>
      </c>
      <c r="E619" s="9" t="str">
        <f>if('Point Intercept 1'!E619 = 'Point Intercept 2'!E619, 'Point Intercept 1'!E619, "ERROR")</f>
        <v>VB</v>
      </c>
      <c r="F619" s="9">
        <f>if('Point Intercept 1'!F619 = 'Point Intercept 2'!F619, 'Point Intercept 1'!F619, "ERROR")</f>
        <v>1</v>
      </c>
      <c r="G619" s="9" t="str">
        <f>if('Point Intercept 1'!G619 = 'Point Intercept 2'!G619, 'Point Intercept 1'!G619, "ERROR")</f>
        <v>SU</v>
      </c>
      <c r="H619" s="9">
        <f>if('Point Intercept 1'!I619 = 'Point Intercept 2'!I619, 'Point Intercept 1'!I619, "ERROR")</f>
        <v>9</v>
      </c>
      <c r="I619" s="9">
        <f>if('Point Intercept 1'!H619 = 'Point Intercept 2'!H619, 'Point Intercept 1'!H619, "ERROR")</f>
        <v>1</v>
      </c>
      <c r="J619" s="9">
        <f>if('Point Intercept 1'!J619 = 'Point Intercept 2'!J619, 'Point Intercept 1'!J619, "ERROR")</f>
        <v>7</v>
      </c>
      <c r="K619" s="9" t="str">
        <f>if('Point Intercept 1'!K619 = 'Point Intercept 2'!K619, 'Point Intercept 1'!K619, "ERROR")</f>
        <v>EROCIC</v>
      </c>
      <c r="L619" s="9" t="str">
        <f>if('Point Intercept 1'!L619 = 'Point Intercept 2'!L619, 'Point Intercept 1'!L619, "ERROR")</f>
        <v>Erodium cicutarium</v>
      </c>
    </row>
    <row r="620">
      <c r="A620" s="9">
        <f>if('Point Intercept 1'!A620 = 'Point Intercept 2'!A620, 'Point Intercept 1'!A620, "ERROR")</f>
        <v>7</v>
      </c>
      <c r="B620" s="9">
        <f>if('Point Intercept 1'!B620 = 'Point Intercept 2'!B620, 'Point Intercept 1'!B620, "ERROR")</f>
        <v>2025</v>
      </c>
      <c r="C620" s="14">
        <f>if('Point Intercept 1'!C620 = 'Point Intercept 2'!C620, 'Point Intercept 1'!C620, "ERROR")</f>
        <v>45764</v>
      </c>
      <c r="D620" s="9" t="str">
        <f>if('Point Intercept 1'!D620 = 'Point Intercept 2'!D620, 'Point Intercept 1'!D620, "ERROR")</f>
        <v>ERROR</v>
      </c>
      <c r="E620" s="9" t="str">
        <f>if('Point Intercept 1'!E620 = 'Point Intercept 2'!E620, 'Point Intercept 1'!E620, "ERROR")</f>
        <v>VB</v>
      </c>
      <c r="F620" s="9">
        <f>if('Point Intercept 1'!F620 = 'Point Intercept 2'!F620, 'Point Intercept 1'!F620, "ERROR")</f>
        <v>1</v>
      </c>
      <c r="G620" s="9" t="str">
        <f>if('Point Intercept 1'!G620 = 'Point Intercept 2'!G620, 'Point Intercept 1'!G620, "ERROR")</f>
        <v>SU</v>
      </c>
      <c r="H620" s="9">
        <f>if('Point Intercept 1'!I620 = 'Point Intercept 2'!I620, 'Point Intercept 1'!I620, "ERROR")</f>
        <v>10</v>
      </c>
      <c r="I620" s="9">
        <f>if('Point Intercept 1'!H620 = 'Point Intercept 2'!H620, 'Point Intercept 1'!H620, "ERROR")</f>
        <v>1</v>
      </c>
      <c r="J620" s="9">
        <f>if('Point Intercept 1'!J620 = 'Point Intercept 2'!J620, 'Point Intercept 1'!J620, "ERROR")</f>
        <v>8</v>
      </c>
      <c r="K620" s="9" t="str">
        <f>if('Point Intercept 1'!K620 = 'Point Intercept 2'!K620, 'Point Intercept 1'!K620, "ERROR")</f>
        <v>L</v>
      </c>
      <c r="L620" s="9" t="str">
        <f>if('Point Intercept 1'!L620 = 'Point Intercept 2'!L620, 'Point Intercept 1'!L620, "ERROR")</f>
        <v>Litter</v>
      </c>
    </row>
    <row r="621">
      <c r="A621" s="9">
        <f>if('Point Intercept 1'!A621 = 'Point Intercept 2'!A621, 'Point Intercept 1'!A621, "ERROR")</f>
        <v>7</v>
      </c>
      <c r="B621" s="9">
        <f>if('Point Intercept 1'!B621 = 'Point Intercept 2'!B621, 'Point Intercept 1'!B621, "ERROR")</f>
        <v>2025</v>
      </c>
      <c r="C621" s="14">
        <f>if('Point Intercept 1'!C621 = 'Point Intercept 2'!C621, 'Point Intercept 1'!C621, "ERROR")</f>
        <v>45764</v>
      </c>
      <c r="D621" s="9" t="str">
        <f>if('Point Intercept 1'!D621 = 'Point Intercept 2'!D621, 'Point Intercept 1'!D621, "ERROR")</f>
        <v>ERROR</v>
      </c>
      <c r="E621" s="9" t="str">
        <f>if('Point Intercept 1'!E621 = 'Point Intercept 2'!E621, 'Point Intercept 1'!E621, "ERROR")</f>
        <v>VB</v>
      </c>
      <c r="F621" s="9">
        <f>if('Point Intercept 1'!F621 = 'Point Intercept 2'!F621, 'Point Intercept 1'!F621, "ERROR")</f>
        <v>1</v>
      </c>
      <c r="G621" s="9" t="str">
        <f>if('Point Intercept 1'!G621 = 'Point Intercept 2'!G621, 'Point Intercept 1'!G621, "ERROR")</f>
        <v>SU</v>
      </c>
      <c r="H621" s="9">
        <f>if('Point Intercept 1'!I621 = 'Point Intercept 2'!I621, 'Point Intercept 1'!I621, "ERROR")</f>
        <v>10</v>
      </c>
      <c r="I621" s="9">
        <f>if('Point Intercept 1'!H621 = 'Point Intercept 2'!H621, 'Point Intercept 1'!H621, "ERROR")</f>
        <v>1</v>
      </c>
      <c r="J621" s="9">
        <f>if('Point Intercept 1'!J621 = 'Point Intercept 2'!J621, 'Point Intercept 1'!J621, "ERROR")</f>
        <v>8</v>
      </c>
      <c r="K621" s="9" t="str">
        <f>if('Point Intercept 1'!K621 = 'Point Intercept 2'!K621, 'Point Intercept 1'!K621, "ERROR")</f>
        <v>EROMOS</v>
      </c>
      <c r="L621" s="9" t="str">
        <f>if('Point Intercept 1'!L621 = 'Point Intercept 2'!L621, 'Point Intercept 1'!L621, "ERROR")</f>
        <v>Erodium moschatum</v>
      </c>
    </row>
    <row r="622">
      <c r="A622" s="9">
        <f>if('Point Intercept 1'!A622 = 'Point Intercept 2'!A622, 'Point Intercept 1'!A622, "ERROR")</f>
        <v>7</v>
      </c>
      <c r="B622" s="9">
        <f>if('Point Intercept 1'!B622 = 'Point Intercept 2'!B622, 'Point Intercept 1'!B622, "ERROR")</f>
        <v>2025</v>
      </c>
      <c r="C622" s="14">
        <f>if('Point Intercept 1'!C622 = 'Point Intercept 2'!C622, 'Point Intercept 1'!C622, "ERROR")</f>
        <v>45764</v>
      </c>
      <c r="D622" s="9" t="str">
        <f>if('Point Intercept 1'!D622 = 'Point Intercept 2'!D622, 'Point Intercept 1'!D622, "ERROR")</f>
        <v>ERROR</v>
      </c>
      <c r="E622" s="9" t="str">
        <f>if('Point Intercept 1'!E622 = 'Point Intercept 2'!E622, 'Point Intercept 1'!E622, "ERROR")</f>
        <v>VB</v>
      </c>
      <c r="F622" s="9">
        <f>if('Point Intercept 1'!F622 = 'Point Intercept 2'!F622, 'Point Intercept 1'!F622, "ERROR")</f>
        <v>1</v>
      </c>
      <c r="G622" s="9" t="str">
        <f>if('Point Intercept 1'!G622 = 'Point Intercept 2'!G622, 'Point Intercept 1'!G622, "ERROR")</f>
        <v>SU</v>
      </c>
      <c r="H622" s="9">
        <f>if('Point Intercept 1'!I622 = 'Point Intercept 2'!I622, 'Point Intercept 1'!I622, "ERROR")</f>
        <v>11</v>
      </c>
      <c r="I622" s="9">
        <f>if('Point Intercept 1'!H622 = 'Point Intercept 2'!H622, 'Point Intercept 1'!H622, "ERROR")</f>
        <v>1</v>
      </c>
      <c r="J622" s="9">
        <f>if('Point Intercept 1'!J622 = 'Point Intercept 2'!J622, 'Point Intercept 1'!J622, "ERROR")</f>
        <v>8.5</v>
      </c>
      <c r="K622" s="9" t="str">
        <f>if('Point Intercept 1'!K622 = 'Point Intercept 2'!K622, 'Point Intercept 1'!K622, "ERROR")</f>
        <v>L</v>
      </c>
      <c r="L622" s="9" t="str">
        <f>if('Point Intercept 1'!L622 = 'Point Intercept 2'!L622, 'Point Intercept 1'!L622, "ERROR")</f>
        <v>Litter</v>
      </c>
    </row>
    <row r="623">
      <c r="A623" s="9">
        <f>if('Point Intercept 1'!A623 = 'Point Intercept 2'!A623, 'Point Intercept 1'!A623, "ERROR")</f>
        <v>7</v>
      </c>
      <c r="B623" s="9">
        <f>if('Point Intercept 1'!B623 = 'Point Intercept 2'!B623, 'Point Intercept 1'!B623, "ERROR")</f>
        <v>2025</v>
      </c>
      <c r="C623" s="14">
        <f>if('Point Intercept 1'!C623 = 'Point Intercept 2'!C623, 'Point Intercept 1'!C623, "ERROR")</f>
        <v>45764</v>
      </c>
      <c r="D623" s="9" t="str">
        <f>if('Point Intercept 1'!D623 = 'Point Intercept 2'!D623, 'Point Intercept 1'!D623, "ERROR")</f>
        <v>ERROR</v>
      </c>
      <c r="E623" s="9" t="str">
        <f>if('Point Intercept 1'!E623 = 'Point Intercept 2'!E623, 'Point Intercept 1'!E623, "ERROR")</f>
        <v>VB</v>
      </c>
      <c r="F623" s="9">
        <f>if('Point Intercept 1'!F623 = 'Point Intercept 2'!F623, 'Point Intercept 1'!F623, "ERROR")</f>
        <v>1</v>
      </c>
      <c r="G623" s="9" t="str">
        <f>if('Point Intercept 1'!G623 = 'Point Intercept 2'!G623, 'Point Intercept 1'!G623, "ERROR")</f>
        <v>SU</v>
      </c>
      <c r="H623" s="9">
        <f>if('Point Intercept 1'!I623 = 'Point Intercept 2'!I623, 'Point Intercept 1'!I623, "ERROR")</f>
        <v>11</v>
      </c>
      <c r="I623" s="9">
        <f>if('Point Intercept 1'!H623 = 'Point Intercept 2'!H623, 'Point Intercept 1'!H623, "ERROR")</f>
        <v>1</v>
      </c>
      <c r="J623" s="9">
        <f>if('Point Intercept 1'!J623 = 'Point Intercept 2'!J623, 'Point Intercept 1'!J623, "ERROR")</f>
        <v>8.5</v>
      </c>
      <c r="K623" s="9" t="str">
        <f>if('Point Intercept 1'!K623 = 'Point Intercept 2'!K623, 'Point Intercept 1'!K623, "ERROR")</f>
        <v>EROCIC</v>
      </c>
      <c r="L623" s="9" t="str">
        <f>if('Point Intercept 1'!L623 = 'Point Intercept 2'!L623, 'Point Intercept 1'!L623, "ERROR")</f>
        <v>Erodium cicutarium</v>
      </c>
    </row>
    <row r="624">
      <c r="A624" s="9">
        <f>if('Point Intercept 1'!A624 = 'Point Intercept 2'!A624, 'Point Intercept 1'!A624, "ERROR")</f>
        <v>7</v>
      </c>
      <c r="B624" s="9">
        <f>if('Point Intercept 1'!B624 = 'Point Intercept 2'!B624, 'Point Intercept 1'!B624, "ERROR")</f>
        <v>2025</v>
      </c>
      <c r="C624" s="14">
        <f>if('Point Intercept 1'!C624 = 'Point Intercept 2'!C624, 'Point Intercept 1'!C624, "ERROR")</f>
        <v>45764</v>
      </c>
      <c r="D624" s="9" t="str">
        <f>if('Point Intercept 1'!D624 = 'Point Intercept 2'!D624, 'Point Intercept 1'!D624, "ERROR")</f>
        <v>ERROR</v>
      </c>
      <c r="E624" s="9" t="str">
        <f>if('Point Intercept 1'!E624 = 'Point Intercept 2'!E624, 'Point Intercept 1'!E624, "ERROR")</f>
        <v>VB</v>
      </c>
      <c r="F624" s="9">
        <f>if('Point Intercept 1'!F624 = 'Point Intercept 2'!F624, 'Point Intercept 1'!F624, "ERROR")</f>
        <v>1</v>
      </c>
      <c r="G624" s="9" t="str">
        <f>if('Point Intercept 1'!G624 = 'Point Intercept 2'!G624, 'Point Intercept 1'!G624, "ERROR")</f>
        <v>SU</v>
      </c>
      <c r="H624" s="9">
        <f>if('Point Intercept 1'!I624 = 'Point Intercept 2'!I624, 'Point Intercept 1'!I624, "ERROR")</f>
        <v>11</v>
      </c>
      <c r="I624" s="9">
        <f>if('Point Intercept 1'!H624 = 'Point Intercept 2'!H624, 'Point Intercept 1'!H624, "ERROR")</f>
        <v>1</v>
      </c>
      <c r="J624" s="9">
        <f>if('Point Intercept 1'!J624 = 'Point Intercept 2'!J624, 'Point Intercept 1'!J624, "ERROR")</f>
        <v>8.5</v>
      </c>
      <c r="K624" s="9" t="str">
        <f>if('Point Intercept 1'!K624 = 'Point Intercept 2'!K624, 'Point Intercept 1'!K624, "ERROR")</f>
        <v>DEIFAS</v>
      </c>
      <c r="L624" s="9" t="str">
        <f>if('Point Intercept 1'!L624 = 'Point Intercept 2'!L624, 'Point Intercept 1'!L624, "ERROR")</f>
        <v>Deinandra fasciculata</v>
      </c>
    </row>
    <row r="625">
      <c r="A625" s="9">
        <f>if('Point Intercept 1'!A625 = 'Point Intercept 2'!A625, 'Point Intercept 1'!A625, "ERROR")</f>
        <v>7</v>
      </c>
      <c r="B625" s="9">
        <f>if('Point Intercept 1'!B625 = 'Point Intercept 2'!B625, 'Point Intercept 1'!B625, "ERROR")</f>
        <v>2025</v>
      </c>
      <c r="C625" s="14">
        <f>if('Point Intercept 1'!C625 = 'Point Intercept 2'!C625, 'Point Intercept 1'!C625, "ERROR")</f>
        <v>45764</v>
      </c>
      <c r="D625" s="9" t="str">
        <f>if('Point Intercept 1'!D625 = 'Point Intercept 2'!D625, 'Point Intercept 1'!D625, "ERROR")</f>
        <v>ERROR</v>
      </c>
      <c r="E625" s="9" t="str">
        <f>if('Point Intercept 1'!E625 = 'Point Intercept 2'!E625, 'Point Intercept 1'!E625, "ERROR")</f>
        <v>VB</v>
      </c>
      <c r="F625" s="9">
        <f>if('Point Intercept 1'!F625 = 'Point Intercept 2'!F625, 'Point Intercept 1'!F625, "ERROR")</f>
        <v>1</v>
      </c>
      <c r="G625" s="9" t="str">
        <f>if('Point Intercept 1'!G625 = 'Point Intercept 2'!G625, 'Point Intercept 1'!G625, "ERROR")</f>
        <v>SU</v>
      </c>
      <c r="H625" s="9">
        <f>if('Point Intercept 1'!I625 = 'Point Intercept 2'!I625, 'Point Intercept 1'!I625, "ERROR")</f>
        <v>11</v>
      </c>
      <c r="I625" s="9">
        <f>if('Point Intercept 1'!H625 = 'Point Intercept 2'!H625, 'Point Intercept 1'!H625, "ERROR")</f>
        <v>1</v>
      </c>
      <c r="J625" s="9">
        <f>if('Point Intercept 1'!J625 = 'Point Intercept 2'!J625, 'Point Intercept 1'!J625, "ERROR")</f>
        <v>8.5</v>
      </c>
      <c r="K625" s="9" t="str">
        <f>if('Point Intercept 1'!K625 = 'Point Intercept 2'!K625, 'Point Intercept 1'!K625, "ERROR")</f>
        <v>SONASP</v>
      </c>
      <c r="L625" s="9" t="str">
        <f>if('Point Intercept 1'!L625 = 'Point Intercept 2'!L625, 'Point Intercept 1'!L625, "ERROR")</f>
        <v>Sonchus asper</v>
      </c>
    </row>
    <row r="626">
      <c r="A626" s="9">
        <f>if('Point Intercept 1'!A626 = 'Point Intercept 2'!A626, 'Point Intercept 1'!A626, "ERROR")</f>
        <v>7</v>
      </c>
      <c r="B626" s="9">
        <f>if('Point Intercept 1'!B626 = 'Point Intercept 2'!B626, 'Point Intercept 1'!B626, "ERROR")</f>
        <v>2025</v>
      </c>
      <c r="C626" s="14">
        <f>if('Point Intercept 1'!C626 = 'Point Intercept 2'!C626, 'Point Intercept 1'!C626, "ERROR")</f>
        <v>45764</v>
      </c>
      <c r="D626" s="9" t="str">
        <f>if('Point Intercept 1'!D626 = 'Point Intercept 2'!D626, 'Point Intercept 1'!D626, "ERROR")</f>
        <v>ERROR</v>
      </c>
      <c r="E626" s="9" t="str">
        <f>if('Point Intercept 1'!E626 = 'Point Intercept 2'!E626, 'Point Intercept 1'!E626, "ERROR")</f>
        <v>VB</v>
      </c>
      <c r="F626" s="9">
        <f>if('Point Intercept 1'!F626 = 'Point Intercept 2'!F626, 'Point Intercept 1'!F626, "ERROR")</f>
        <v>1</v>
      </c>
      <c r="G626" s="9" t="str">
        <f>if('Point Intercept 1'!G626 = 'Point Intercept 2'!G626, 'Point Intercept 1'!G626, "ERROR")</f>
        <v>SU</v>
      </c>
      <c r="H626" s="9">
        <f>if('Point Intercept 1'!I626 = 'Point Intercept 2'!I626, 'Point Intercept 1'!I626, "ERROR")</f>
        <v>12</v>
      </c>
      <c r="I626" s="9">
        <f>if('Point Intercept 1'!H626 = 'Point Intercept 2'!H626, 'Point Intercept 1'!H626, "ERROR")</f>
        <v>1</v>
      </c>
      <c r="J626" s="9">
        <f>if('Point Intercept 1'!J626 = 'Point Intercept 2'!J626, 'Point Intercept 1'!J626, "ERROR")</f>
        <v>9</v>
      </c>
      <c r="K626" s="9" t="str">
        <f>if('Point Intercept 1'!K626 = 'Point Intercept 2'!K626, 'Point Intercept 1'!K626, "ERROR")</f>
        <v>L</v>
      </c>
      <c r="L626" s="9" t="str">
        <f>if('Point Intercept 1'!L626 = 'Point Intercept 2'!L626, 'Point Intercept 1'!L626, "ERROR")</f>
        <v>Litter</v>
      </c>
    </row>
    <row r="627">
      <c r="A627" s="9">
        <f>if('Point Intercept 1'!A627 = 'Point Intercept 2'!A627, 'Point Intercept 1'!A627, "ERROR")</f>
        <v>7</v>
      </c>
      <c r="B627" s="9">
        <f>if('Point Intercept 1'!B627 = 'Point Intercept 2'!B627, 'Point Intercept 1'!B627, "ERROR")</f>
        <v>2025</v>
      </c>
      <c r="C627" s="14">
        <f>if('Point Intercept 1'!C627 = 'Point Intercept 2'!C627, 'Point Intercept 1'!C627, "ERROR")</f>
        <v>45764</v>
      </c>
      <c r="D627" s="9" t="str">
        <f>if('Point Intercept 1'!D627 = 'Point Intercept 2'!D627, 'Point Intercept 1'!D627, "ERROR")</f>
        <v>ERROR</v>
      </c>
      <c r="E627" s="9" t="str">
        <f>if('Point Intercept 1'!E627 = 'Point Intercept 2'!E627, 'Point Intercept 1'!E627, "ERROR")</f>
        <v>VB</v>
      </c>
      <c r="F627" s="9">
        <f>if('Point Intercept 1'!F627 = 'Point Intercept 2'!F627, 'Point Intercept 1'!F627, "ERROR")</f>
        <v>1</v>
      </c>
      <c r="G627" s="9" t="str">
        <f>if('Point Intercept 1'!G627 = 'Point Intercept 2'!G627, 'Point Intercept 1'!G627, "ERROR")</f>
        <v>SU</v>
      </c>
      <c r="H627" s="9">
        <f>if('Point Intercept 1'!I627 = 'Point Intercept 2'!I627, 'Point Intercept 1'!I627, "ERROR")</f>
        <v>12</v>
      </c>
      <c r="I627" s="9">
        <f>if('Point Intercept 1'!H627 = 'Point Intercept 2'!H627, 'Point Intercept 1'!H627, "ERROR")</f>
        <v>1</v>
      </c>
      <c r="J627" s="9">
        <f>if('Point Intercept 1'!J627 = 'Point Intercept 2'!J627, 'Point Intercept 1'!J627, "ERROR")</f>
        <v>9</v>
      </c>
      <c r="K627" s="9" t="str">
        <f>if('Point Intercept 1'!K627 = 'Point Intercept 2'!K627, 'Point Intercept 1'!K627, "ERROR")</f>
        <v>DEIFAS</v>
      </c>
      <c r="L627" s="9" t="str">
        <f>if('Point Intercept 1'!L627 = 'Point Intercept 2'!L627, 'Point Intercept 1'!L627, "ERROR")</f>
        <v>Deinandra fasciculata</v>
      </c>
    </row>
    <row r="628">
      <c r="A628" s="9">
        <f>if('Point Intercept 1'!A628 = 'Point Intercept 2'!A628, 'Point Intercept 1'!A628, "ERROR")</f>
        <v>7</v>
      </c>
      <c r="B628" s="9">
        <f>if('Point Intercept 1'!B628 = 'Point Intercept 2'!B628, 'Point Intercept 1'!B628, "ERROR")</f>
        <v>2025</v>
      </c>
      <c r="C628" s="14">
        <f>if('Point Intercept 1'!C628 = 'Point Intercept 2'!C628, 'Point Intercept 1'!C628, "ERROR")</f>
        <v>45764</v>
      </c>
      <c r="D628" s="9" t="str">
        <f>if('Point Intercept 1'!D628 = 'Point Intercept 2'!D628, 'Point Intercept 1'!D628, "ERROR")</f>
        <v>ERROR</v>
      </c>
      <c r="E628" s="9" t="str">
        <f>if('Point Intercept 1'!E628 = 'Point Intercept 2'!E628, 'Point Intercept 1'!E628, "ERROR")</f>
        <v>VB</v>
      </c>
      <c r="F628" s="9">
        <f>if('Point Intercept 1'!F628 = 'Point Intercept 2'!F628, 'Point Intercept 1'!F628, "ERROR")</f>
        <v>1</v>
      </c>
      <c r="G628" s="9" t="str">
        <f>if('Point Intercept 1'!G628 = 'Point Intercept 2'!G628, 'Point Intercept 1'!G628, "ERROR")</f>
        <v>SU</v>
      </c>
      <c r="H628" s="9">
        <f>if('Point Intercept 1'!I628 = 'Point Intercept 2'!I628, 'Point Intercept 1'!I628, "ERROR")</f>
        <v>12</v>
      </c>
      <c r="I628" s="9">
        <f>if('Point Intercept 1'!H628 = 'Point Intercept 2'!H628, 'Point Intercept 1'!H628, "ERROR")</f>
        <v>1</v>
      </c>
      <c r="J628" s="9">
        <f>if('Point Intercept 1'!J628 = 'Point Intercept 2'!J628, 'Point Intercept 1'!J628, "ERROR")</f>
        <v>9</v>
      </c>
      <c r="K628" s="9" t="str">
        <f>if('Point Intercept 1'!K628 = 'Point Intercept 2'!K628, 'Point Intercept 1'!K628, "ERROR")</f>
        <v>UROLIN</v>
      </c>
      <c r="L628" s="9" t="str">
        <f>if('Point Intercept 1'!L628 = 'Point Intercept 2'!L628, 'Point Intercept 1'!L628, "ERROR")</f>
        <v>Uropappus lindleyi</v>
      </c>
    </row>
    <row r="629">
      <c r="A629" s="9">
        <f>if('Point Intercept 1'!A629 = 'Point Intercept 2'!A629, 'Point Intercept 1'!A629, "ERROR")</f>
        <v>7</v>
      </c>
      <c r="B629" s="9">
        <f>if('Point Intercept 1'!B629 = 'Point Intercept 2'!B629, 'Point Intercept 1'!B629, "ERROR")</f>
        <v>2025</v>
      </c>
      <c r="C629" s="14">
        <f>if('Point Intercept 1'!C629 = 'Point Intercept 2'!C629, 'Point Intercept 1'!C629, "ERROR")</f>
        <v>45764</v>
      </c>
      <c r="D629" s="9" t="str">
        <f>if('Point Intercept 1'!D629 = 'Point Intercept 2'!D629, 'Point Intercept 1'!D629, "ERROR")</f>
        <v>ERROR</v>
      </c>
      <c r="E629" s="9" t="str">
        <f>if('Point Intercept 1'!E629 = 'Point Intercept 2'!E629, 'Point Intercept 1'!E629, "ERROR")</f>
        <v>VB</v>
      </c>
      <c r="F629" s="9">
        <f>if('Point Intercept 1'!F629 = 'Point Intercept 2'!F629, 'Point Intercept 1'!F629, "ERROR")</f>
        <v>1</v>
      </c>
      <c r="G629" s="9" t="str">
        <f>if('Point Intercept 1'!G629 = 'Point Intercept 2'!G629, 'Point Intercept 1'!G629, "ERROR")</f>
        <v>SU</v>
      </c>
      <c r="H629" s="9">
        <f>if('Point Intercept 1'!I629 = 'Point Intercept 2'!I629, 'Point Intercept 1'!I629, "ERROR")</f>
        <v>13</v>
      </c>
      <c r="I629" s="9">
        <f>if('Point Intercept 1'!H629 = 'Point Intercept 2'!H629, 'Point Intercept 1'!H629, "ERROR")</f>
        <v>1</v>
      </c>
      <c r="J629" s="9">
        <f>if('Point Intercept 1'!J629 = 'Point Intercept 2'!J629, 'Point Intercept 1'!J629, "ERROR")</f>
        <v>10</v>
      </c>
      <c r="K629" s="9" t="str">
        <f>if('Point Intercept 1'!K629 = 'Point Intercept 2'!K629, 'Point Intercept 1'!K629, "ERROR")</f>
        <v>TH</v>
      </c>
      <c r="L629" s="9" t="str">
        <f>if('Point Intercept 1'!L629 = 'Point Intercept 2'!L629, 'Point Intercept 1'!L629, "ERROR")</f>
        <v>Thatch</v>
      </c>
    </row>
    <row r="630">
      <c r="A630" s="9">
        <f>if('Point Intercept 1'!A630 = 'Point Intercept 2'!A630, 'Point Intercept 1'!A630, "ERROR")</f>
        <v>7</v>
      </c>
      <c r="B630" s="9">
        <f>if('Point Intercept 1'!B630 = 'Point Intercept 2'!B630, 'Point Intercept 1'!B630, "ERROR")</f>
        <v>2025</v>
      </c>
      <c r="C630" s="14">
        <f>if('Point Intercept 1'!C630 = 'Point Intercept 2'!C630, 'Point Intercept 1'!C630, "ERROR")</f>
        <v>45764</v>
      </c>
      <c r="D630" s="9" t="str">
        <f>if('Point Intercept 1'!D630 = 'Point Intercept 2'!D630, 'Point Intercept 1'!D630, "ERROR")</f>
        <v>ERROR</v>
      </c>
      <c r="E630" s="9" t="str">
        <f>if('Point Intercept 1'!E630 = 'Point Intercept 2'!E630, 'Point Intercept 1'!E630, "ERROR")</f>
        <v>VB</v>
      </c>
      <c r="F630" s="9">
        <f>if('Point Intercept 1'!F630 = 'Point Intercept 2'!F630, 'Point Intercept 1'!F630, "ERROR")</f>
        <v>1</v>
      </c>
      <c r="G630" s="9" t="str">
        <f>if('Point Intercept 1'!G630 = 'Point Intercept 2'!G630, 'Point Intercept 1'!G630, "ERROR")</f>
        <v>SU</v>
      </c>
      <c r="H630" s="9">
        <f>if('Point Intercept 1'!I630 = 'Point Intercept 2'!I630, 'Point Intercept 1'!I630, "ERROR")</f>
        <v>13</v>
      </c>
      <c r="I630" s="9">
        <f>if('Point Intercept 1'!H630 = 'Point Intercept 2'!H630, 'Point Intercept 1'!H630, "ERROR")</f>
        <v>1</v>
      </c>
      <c r="J630" s="9">
        <f>if('Point Intercept 1'!J630 = 'Point Intercept 2'!J630, 'Point Intercept 1'!J630, "ERROR")</f>
        <v>10</v>
      </c>
      <c r="K630" s="9" t="str">
        <f>if('Point Intercept 1'!K630 = 'Point Intercept 2'!K630, 'Point Intercept 1'!K630, "ERROR")</f>
        <v>LUPSUC</v>
      </c>
      <c r="L630" s="9" t="str">
        <f>if('Point Intercept 1'!L630 = 'Point Intercept 2'!L630, 'Point Intercept 1'!L630, "ERROR")</f>
        <v>Lupinus succulentus</v>
      </c>
    </row>
    <row r="631">
      <c r="A631" s="9">
        <f>if('Point Intercept 1'!A631 = 'Point Intercept 2'!A631, 'Point Intercept 1'!A631, "ERROR")</f>
        <v>7</v>
      </c>
      <c r="B631" s="9">
        <f>if('Point Intercept 1'!B631 = 'Point Intercept 2'!B631, 'Point Intercept 1'!B631, "ERROR")</f>
        <v>2025</v>
      </c>
      <c r="C631" s="14">
        <f>if('Point Intercept 1'!C631 = 'Point Intercept 2'!C631, 'Point Intercept 1'!C631, "ERROR")</f>
        <v>45764</v>
      </c>
      <c r="D631" s="9" t="str">
        <f>if('Point Intercept 1'!D631 = 'Point Intercept 2'!D631, 'Point Intercept 1'!D631, "ERROR")</f>
        <v>ERROR</v>
      </c>
      <c r="E631" s="9" t="str">
        <f>if('Point Intercept 1'!E631 = 'Point Intercept 2'!E631, 'Point Intercept 1'!E631, "ERROR")</f>
        <v>VB</v>
      </c>
      <c r="F631" s="9">
        <f>if('Point Intercept 1'!F631 = 'Point Intercept 2'!F631, 'Point Intercept 1'!F631, "ERROR")</f>
        <v>1</v>
      </c>
      <c r="G631" s="9" t="str">
        <f>if('Point Intercept 1'!G631 = 'Point Intercept 2'!G631, 'Point Intercept 1'!G631, "ERROR")</f>
        <v>SU</v>
      </c>
      <c r="H631" s="9">
        <f>if('Point Intercept 1'!I631 = 'Point Intercept 2'!I631, 'Point Intercept 1'!I631, "ERROR")</f>
        <v>13</v>
      </c>
      <c r="I631" s="9">
        <f>if('Point Intercept 1'!H631 = 'Point Intercept 2'!H631, 'Point Intercept 1'!H631, "ERROR")</f>
        <v>1</v>
      </c>
      <c r="J631" s="9">
        <f>if('Point Intercept 1'!J631 = 'Point Intercept 2'!J631, 'Point Intercept 1'!J631, "ERROR")</f>
        <v>10</v>
      </c>
      <c r="K631" s="9" t="str">
        <f>if('Point Intercept 1'!K631 = 'Point Intercept 2'!K631, 'Point Intercept 1'!K631, "ERROR")</f>
        <v>DEIFAS</v>
      </c>
      <c r="L631" s="9" t="str">
        <f>if('Point Intercept 1'!L631 = 'Point Intercept 2'!L631, 'Point Intercept 1'!L631, "ERROR")</f>
        <v>Deinandra fasciculata</v>
      </c>
    </row>
    <row r="632">
      <c r="A632" s="9">
        <f>if('Point Intercept 1'!A632 = 'Point Intercept 2'!A632, 'Point Intercept 1'!A632, "ERROR")</f>
        <v>7</v>
      </c>
      <c r="B632" s="9">
        <f>if('Point Intercept 1'!B632 = 'Point Intercept 2'!B632, 'Point Intercept 1'!B632, "ERROR")</f>
        <v>2025</v>
      </c>
      <c r="C632" s="14">
        <f>if('Point Intercept 1'!C632 = 'Point Intercept 2'!C632, 'Point Intercept 1'!C632, "ERROR")</f>
        <v>45764</v>
      </c>
      <c r="D632" s="9" t="str">
        <f>if('Point Intercept 1'!D632 = 'Point Intercept 2'!D632, 'Point Intercept 1'!D632, "ERROR")</f>
        <v>ERROR</v>
      </c>
      <c r="E632" s="9" t="str">
        <f>if('Point Intercept 1'!E632 = 'Point Intercept 2'!E632, 'Point Intercept 1'!E632, "ERROR")</f>
        <v>VB</v>
      </c>
      <c r="F632" s="9">
        <f>if('Point Intercept 1'!F632 = 'Point Intercept 2'!F632, 'Point Intercept 1'!F632, "ERROR")</f>
        <v>1</v>
      </c>
      <c r="G632" s="9" t="str">
        <f>if('Point Intercept 1'!G632 = 'Point Intercept 2'!G632, 'Point Intercept 1'!G632, "ERROR")</f>
        <v>SU</v>
      </c>
      <c r="H632" s="9">
        <f>if('Point Intercept 1'!I632 = 'Point Intercept 2'!I632, 'Point Intercept 1'!I632, "ERROR")</f>
        <v>14</v>
      </c>
      <c r="I632" s="9">
        <f>if('Point Intercept 1'!H632 = 'Point Intercept 2'!H632, 'Point Intercept 1'!H632, "ERROR")</f>
        <v>1</v>
      </c>
      <c r="J632" s="9">
        <f>if('Point Intercept 1'!J632 = 'Point Intercept 2'!J632, 'Point Intercept 1'!J632, "ERROR")</f>
        <v>11</v>
      </c>
      <c r="K632" s="9" t="str">
        <f>if('Point Intercept 1'!K632 = 'Point Intercept 2'!K632, 'Point Intercept 1'!K632, "ERROR")</f>
        <v>L</v>
      </c>
      <c r="L632" s="9" t="str">
        <f>if('Point Intercept 1'!L632 = 'Point Intercept 2'!L632, 'Point Intercept 1'!L632, "ERROR")</f>
        <v>Litter</v>
      </c>
    </row>
    <row r="633">
      <c r="A633" s="9">
        <f>if('Point Intercept 1'!A633 = 'Point Intercept 2'!A633, 'Point Intercept 1'!A633, "ERROR")</f>
        <v>7</v>
      </c>
      <c r="B633" s="9">
        <f>if('Point Intercept 1'!B633 = 'Point Intercept 2'!B633, 'Point Intercept 1'!B633, "ERROR")</f>
        <v>2025</v>
      </c>
      <c r="C633" s="14">
        <f>if('Point Intercept 1'!C633 = 'Point Intercept 2'!C633, 'Point Intercept 1'!C633, "ERROR")</f>
        <v>45764</v>
      </c>
      <c r="D633" s="9" t="str">
        <f>if('Point Intercept 1'!D633 = 'Point Intercept 2'!D633, 'Point Intercept 1'!D633, "ERROR")</f>
        <v>ERROR</v>
      </c>
      <c r="E633" s="9" t="str">
        <f>if('Point Intercept 1'!E633 = 'Point Intercept 2'!E633, 'Point Intercept 1'!E633, "ERROR")</f>
        <v>VB</v>
      </c>
      <c r="F633" s="9">
        <f>if('Point Intercept 1'!F633 = 'Point Intercept 2'!F633, 'Point Intercept 1'!F633, "ERROR")</f>
        <v>1</v>
      </c>
      <c r="G633" s="9" t="str">
        <f>if('Point Intercept 1'!G633 = 'Point Intercept 2'!G633, 'Point Intercept 1'!G633, "ERROR")</f>
        <v>SU</v>
      </c>
      <c r="H633" s="9">
        <f>if('Point Intercept 1'!I633 = 'Point Intercept 2'!I633, 'Point Intercept 1'!I633, "ERROR")</f>
        <v>14</v>
      </c>
      <c r="I633" s="9">
        <f>if('Point Intercept 1'!H633 = 'Point Intercept 2'!H633, 'Point Intercept 1'!H633, "ERROR")</f>
        <v>1</v>
      </c>
      <c r="J633" s="9">
        <f>if('Point Intercept 1'!J633 = 'Point Intercept 2'!J633, 'Point Intercept 1'!J633, "ERROR")</f>
        <v>11</v>
      </c>
      <c r="K633" s="9" t="str">
        <f>if('Point Intercept 1'!K633 = 'Point Intercept 2'!K633, 'Point Intercept 1'!K633, "ERROR")</f>
        <v>EROMOS</v>
      </c>
      <c r="L633" s="9" t="str">
        <f>if('Point Intercept 1'!L633 = 'Point Intercept 2'!L633, 'Point Intercept 1'!L633, "ERROR")</f>
        <v>Erodium moschatum</v>
      </c>
    </row>
    <row r="634">
      <c r="A634" s="9">
        <f>if('Point Intercept 1'!A634 = 'Point Intercept 2'!A634, 'Point Intercept 1'!A634, "ERROR")</f>
        <v>7</v>
      </c>
      <c r="B634" s="9">
        <f>if('Point Intercept 1'!B634 = 'Point Intercept 2'!B634, 'Point Intercept 1'!B634, "ERROR")</f>
        <v>2025</v>
      </c>
      <c r="C634" s="14">
        <f>if('Point Intercept 1'!C634 = 'Point Intercept 2'!C634, 'Point Intercept 1'!C634, "ERROR")</f>
        <v>45764</v>
      </c>
      <c r="D634" s="9" t="str">
        <f>if('Point Intercept 1'!D634 = 'Point Intercept 2'!D634, 'Point Intercept 1'!D634, "ERROR")</f>
        <v>ERROR</v>
      </c>
      <c r="E634" s="9" t="str">
        <f>if('Point Intercept 1'!E634 = 'Point Intercept 2'!E634, 'Point Intercept 1'!E634, "ERROR")</f>
        <v>VB</v>
      </c>
      <c r="F634" s="9">
        <f>if('Point Intercept 1'!F634 = 'Point Intercept 2'!F634, 'Point Intercept 1'!F634, "ERROR")</f>
        <v>1</v>
      </c>
      <c r="G634" s="9" t="str">
        <f>if('Point Intercept 1'!G634 = 'Point Intercept 2'!G634, 'Point Intercept 1'!G634, "ERROR")</f>
        <v>SU</v>
      </c>
      <c r="H634" s="9">
        <f>if('Point Intercept 1'!I634 = 'Point Intercept 2'!I634, 'Point Intercept 1'!I634, "ERROR")</f>
        <v>15</v>
      </c>
      <c r="I634" s="9">
        <f>if('Point Intercept 1'!H634 = 'Point Intercept 2'!H634, 'Point Intercept 1'!H634, "ERROR")</f>
        <v>1</v>
      </c>
      <c r="J634" s="9">
        <f>if('Point Intercept 1'!J634 = 'Point Intercept 2'!J634, 'Point Intercept 1'!J634, "ERROR")</f>
        <v>12</v>
      </c>
      <c r="K634" s="9" t="str">
        <f>if('Point Intercept 1'!K634 = 'Point Intercept 2'!K634, 'Point Intercept 1'!K634, "ERROR")</f>
        <v>L</v>
      </c>
      <c r="L634" s="9" t="str">
        <f>if('Point Intercept 1'!L634 = 'Point Intercept 2'!L634, 'Point Intercept 1'!L634, "ERROR")</f>
        <v>Litter</v>
      </c>
    </row>
    <row r="635">
      <c r="A635" s="9">
        <f>if('Point Intercept 1'!A635 = 'Point Intercept 2'!A635, 'Point Intercept 1'!A635, "ERROR")</f>
        <v>7</v>
      </c>
      <c r="B635" s="9">
        <f>if('Point Intercept 1'!B635 = 'Point Intercept 2'!B635, 'Point Intercept 1'!B635, "ERROR")</f>
        <v>2025</v>
      </c>
      <c r="C635" s="14">
        <f>if('Point Intercept 1'!C635 = 'Point Intercept 2'!C635, 'Point Intercept 1'!C635, "ERROR")</f>
        <v>45764</v>
      </c>
      <c r="D635" s="9" t="str">
        <f>if('Point Intercept 1'!D635 = 'Point Intercept 2'!D635, 'Point Intercept 1'!D635, "ERROR")</f>
        <v>ERROR</v>
      </c>
      <c r="E635" s="9" t="str">
        <f>if('Point Intercept 1'!E635 = 'Point Intercept 2'!E635, 'Point Intercept 1'!E635, "ERROR")</f>
        <v>VB</v>
      </c>
      <c r="F635" s="9">
        <f>if('Point Intercept 1'!F635 = 'Point Intercept 2'!F635, 'Point Intercept 1'!F635, "ERROR")</f>
        <v>1</v>
      </c>
      <c r="G635" s="9" t="str">
        <f>if('Point Intercept 1'!G635 = 'Point Intercept 2'!G635, 'Point Intercept 1'!G635, "ERROR")</f>
        <v>SU</v>
      </c>
      <c r="H635" s="9">
        <f>if('Point Intercept 1'!I635 = 'Point Intercept 2'!I635, 'Point Intercept 1'!I635, "ERROR")</f>
        <v>15</v>
      </c>
      <c r="I635" s="9">
        <f>if('Point Intercept 1'!H635 = 'Point Intercept 2'!H635, 'Point Intercept 1'!H635, "ERROR")</f>
        <v>1</v>
      </c>
      <c r="J635" s="9">
        <f>if('Point Intercept 1'!J635 = 'Point Intercept 2'!J635, 'Point Intercept 1'!J635, "ERROR")</f>
        <v>12</v>
      </c>
      <c r="K635" s="9" t="str">
        <f>if('Point Intercept 1'!K635 = 'Point Intercept 2'!K635, 'Point Intercept 1'!K635, "ERROR")</f>
        <v>CYLPRO</v>
      </c>
      <c r="L635" s="9" t="str">
        <f>if('Point Intercept 1'!L635 = 'Point Intercept 2'!L635, 'Point Intercept 1'!L635, "ERROR")</f>
        <v>Cylindropuntia prolifera</v>
      </c>
    </row>
    <row r="636">
      <c r="A636" s="9">
        <f>if('Point Intercept 1'!A636 = 'Point Intercept 2'!A636, 'Point Intercept 1'!A636, "ERROR")</f>
        <v>7</v>
      </c>
      <c r="B636" s="9">
        <f>if('Point Intercept 1'!B636 = 'Point Intercept 2'!B636, 'Point Intercept 1'!B636, "ERROR")</f>
        <v>2025</v>
      </c>
      <c r="C636" s="14">
        <f>if('Point Intercept 1'!C636 = 'Point Intercept 2'!C636, 'Point Intercept 1'!C636, "ERROR")</f>
        <v>45764</v>
      </c>
      <c r="D636" s="9" t="str">
        <f>if('Point Intercept 1'!D636 = 'Point Intercept 2'!D636, 'Point Intercept 1'!D636, "ERROR")</f>
        <v>ERROR</v>
      </c>
      <c r="E636" s="9" t="str">
        <f>if('Point Intercept 1'!E636 = 'Point Intercept 2'!E636, 'Point Intercept 1'!E636, "ERROR")</f>
        <v>VB</v>
      </c>
      <c r="F636" s="9">
        <f>if('Point Intercept 1'!F636 = 'Point Intercept 2'!F636, 'Point Intercept 1'!F636, "ERROR")</f>
        <v>1</v>
      </c>
      <c r="G636" s="9" t="str">
        <f>if('Point Intercept 1'!G636 = 'Point Intercept 2'!G636, 'Point Intercept 1'!G636, "ERROR")</f>
        <v>SU</v>
      </c>
      <c r="H636" s="9">
        <f>if('Point Intercept 1'!I636 = 'Point Intercept 2'!I636, 'Point Intercept 1'!I636, "ERROR")</f>
        <v>1</v>
      </c>
      <c r="I636" s="9">
        <f>if('Point Intercept 1'!H636 = 'Point Intercept 2'!H636, 'Point Intercept 1'!H636, "ERROR")</f>
        <v>2</v>
      </c>
      <c r="J636" s="9">
        <f>if('Point Intercept 1'!J636 = 'Point Intercept 2'!J636, 'Point Intercept 1'!J636, "ERROR")</f>
        <v>0</v>
      </c>
      <c r="K636" s="9" t="str">
        <f>if('Point Intercept 1'!K636 = 'Point Intercept 2'!K636, 'Point Intercept 1'!K636, "ERROR")</f>
        <v>B</v>
      </c>
      <c r="L636" s="9" t="str">
        <f>if('Point Intercept 1'!L636 = 'Point Intercept 2'!L636, 'Point Intercept 1'!L636, "ERROR")</f>
        <v>Bareground</v>
      </c>
    </row>
    <row r="637">
      <c r="A637" s="9">
        <f>if('Point Intercept 1'!A637 = 'Point Intercept 2'!A637, 'Point Intercept 1'!A637, "ERROR")</f>
        <v>7</v>
      </c>
      <c r="B637" s="9">
        <f>if('Point Intercept 1'!B637 = 'Point Intercept 2'!B637, 'Point Intercept 1'!B637, "ERROR")</f>
        <v>2025</v>
      </c>
      <c r="C637" s="14">
        <f>if('Point Intercept 1'!C637 = 'Point Intercept 2'!C637, 'Point Intercept 1'!C637, "ERROR")</f>
        <v>45764</v>
      </c>
      <c r="D637" s="9" t="str">
        <f>if('Point Intercept 1'!D637 = 'Point Intercept 2'!D637, 'Point Intercept 1'!D637, "ERROR")</f>
        <v>ERROR</v>
      </c>
      <c r="E637" s="9" t="str">
        <f>if('Point Intercept 1'!E637 = 'Point Intercept 2'!E637, 'Point Intercept 1'!E637, "ERROR")</f>
        <v>VB</v>
      </c>
      <c r="F637" s="9">
        <f>if('Point Intercept 1'!F637 = 'Point Intercept 2'!F637, 'Point Intercept 1'!F637, "ERROR")</f>
        <v>1</v>
      </c>
      <c r="G637" s="9" t="str">
        <f>if('Point Intercept 1'!G637 = 'Point Intercept 2'!G637, 'Point Intercept 1'!G637, "ERROR")</f>
        <v>SU</v>
      </c>
      <c r="H637" s="9">
        <f>if('Point Intercept 1'!I637 = 'Point Intercept 2'!I637, 'Point Intercept 1'!I637, "ERROR")</f>
        <v>1</v>
      </c>
      <c r="I637" s="9">
        <f>if('Point Intercept 1'!H637 = 'Point Intercept 2'!H637, 'Point Intercept 1'!H637, "ERROR")</f>
        <v>2</v>
      </c>
      <c r="J637" s="9">
        <f>if('Point Intercept 1'!J637 = 'Point Intercept 2'!J637, 'Point Intercept 1'!J637, "ERROR")</f>
        <v>0</v>
      </c>
      <c r="K637" s="9" t="str">
        <f>if('Point Intercept 1'!K637 = 'Point Intercept 2'!K637, 'Point Intercept 1'!K637, "ERROR")</f>
        <v>EROCIC</v>
      </c>
      <c r="L637" s="9" t="str">
        <f>if('Point Intercept 1'!L637 = 'Point Intercept 2'!L637, 'Point Intercept 1'!L637, "ERROR")</f>
        <v>Erodium cicutarium</v>
      </c>
    </row>
    <row r="638">
      <c r="A638" s="9">
        <f>if('Point Intercept 1'!A638 = 'Point Intercept 2'!A638, 'Point Intercept 1'!A638, "ERROR")</f>
        <v>7</v>
      </c>
      <c r="B638" s="9">
        <f>if('Point Intercept 1'!B638 = 'Point Intercept 2'!B638, 'Point Intercept 1'!B638, "ERROR")</f>
        <v>2025</v>
      </c>
      <c r="C638" s="14">
        <f>if('Point Intercept 1'!C638 = 'Point Intercept 2'!C638, 'Point Intercept 1'!C638, "ERROR")</f>
        <v>45764</v>
      </c>
      <c r="D638" s="9" t="str">
        <f>if('Point Intercept 1'!D638 = 'Point Intercept 2'!D638, 'Point Intercept 1'!D638, "ERROR")</f>
        <v>ERROR</v>
      </c>
      <c r="E638" s="9" t="str">
        <f>if('Point Intercept 1'!E638 = 'Point Intercept 2'!E638, 'Point Intercept 1'!E638, "ERROR")</f>
        <v>VB</v>
      </c>
      <c r="F638" s="9">
        <f>if('Point Intercept 1'!F638 = 'Point Intercept 2'!F638, 'Point Intercept 1'!F638, "ERROR")</f>
        <v>1</v>
      </c>
      <c r="G638" s="9" t="str">
        <f>if('Point Intercept 1'!G638 = 'Point Intercept 2'!G638, 'Point Intercept 1'!G638, "ERROR")</f>
        <v>SU</v>
      </c>
      <c r="H638" s="9">
        <f>if('Point Intercept 1'!I638 = 'Point Intercept 2'!I638, 'Point Intercept 1'!I638, "ERROR")</f>
        <v>2</v>
      </c>
      <c r="I638" s="9">
        <f>if('Point Intercept 1'!H638 = 'Point Intercept 2'!H638, 'Point Intercept 1'!H638, "ERROR")</f>
        <v>2</v>
      </c>
      <c r="J638" s="9">
        <f>if('Point Intercept 1'!J638 = 'Point Intercept 2'!J638, 'Point Intercept 1'!J638, "ERROR")</f>
        <v>1</v>
      </c>
      <c r="K638" s="9" t="str">
        <f>if('Point Intercept 1'!K638 = 'Point Intercept 2'!K638, 'Point Intercept 1'!K638, "ERROR")</f>
        <v>L</v>
      </c>
      <c r="L638" s="9" t="str">
        <f>if('Point Intercept 1'!L638 = 'Point Intercept 2'!L638, 'Point Intercept 1'!L638, "ERROR")</f>
        <v>Litter</v>
      </c>
    </row>
    <row r="639">
      <c r="A639" s="9">
        <f>if('Point Intercept 1'!A639 = 'Point Intercept 2'!A639, 'Point Intercept 1'!A639, "ERROR")</f>
        <v>7</v>
      </c>
      <c r="B639" s="9">
        <f>if('Point Intercept 1'!B639 = 'Point Intercept 2'!B639, 'Point Intercept 1'!B639, "ERROR")</f>
        <v>2025</v>
      </c>
      <c r="C639" s="14">
        <f>if('Point Intercept 1'!C639 = 'Point Intercept 2'!C639, 'Point Intercept 1'!C639, "ERROR")</f>
        <v>45764</v>
      </c>
      <c r="D639" s="9" t="str">
        <f>if('Point Intercept 1'!D639 = 'Point Intercept 2'!D639, 'Point Intercept 1'!D639, "ERROR")</f>
        <v>ERROR</v>
      </c>
      <c r="E639" s="9" t="str">
        <f>if('Point Intercept 1'!E639 = 'Point Intercept 2'!E639, 'Point Intercept 1'!E639, "ERROR")</f>
        <v>VB</v>
      </c>
      <c r="F639" s="9">
        <f>if('Point Intercept 1'!F639 = 'Point Intercept 2'!F639, 'Point Intercept 1'!F639, "ERROR")</f>
        <v>1</v>
      </c>
      <c r="G639" s="9" t="str">
        <f>if('Point Intercept 1'!G639 = 'Point Intercept 2'!G639, 'Point Intercept 1'!G639, "ERROR")</f>
        <v>SU</v>
      </c>
      <c r="H639" s="9">
        <f>if('Point Intercept 1'!I639 = 'Point Intercept 2'!I639, 'Point Intercept 1'!I639, "ERROR")</f>
        <v>2</v>
      </c>
      <c r="I639" s="9">
        <f>if('Point Intercept 1'!H639 = 'Point Intercept 2'!H639, 'Point Intercept 1'!H639, "ERROR")</f>
        <v>2</v>
      </c>
      <c r="J639" s="9">
        <f>if('Point Intercept 1'!J639 = 'Point Intercept 2'!J639, 'Point Intercept 1'!J639, "ERROR")</f>
        <v>1</v>
      </c>
      <c r="K639" s="9" t="str">
        <f>if('Point Intercept 1'!K639 = 'Point Intercept 2'!K639, 'Point Intercept 1'!K639, "ERROR")</f>
        <v>EROMOS</v>
      </c>
      <c r="L639" s="9" t="str">
        <f>if('Point Intercept 1'!L639 = 'Point Intercept 2'!L639, 'Point Intercept 1'!L639, "ERROR")</f>
        <v>Erodium moschatum</v>
      </c>
    </row>
    <row r="640">
      <c r="A640" s="9">
        <f>if('Point Intercept 1'!A640 = 'Point Intercept 2'!A640, 'Point Intercept 1'!A640, "ERROR")</f>
        <v>7</v>
      </c>
      <c r="B640" s="9">
        <f>if('Point Intercept 1'!B640 = 'Point Intercept 2'!B640, 'Point Intercept 1'!B640, "ERROR")</f>
        <v>2025</v>
      </c>
      <c r="C640" s="14">
        <f>if('Point Intercept 1'!C640 = 'Point Intercept 2'!C640, 'Point Intercept 1'!C640, "ERROR")</f>
        <v>45764</v>
      </c>
      <c r="D640" s="9" t="str">
        <f>if('Point Intercept 1'!D640 = 'Point Intercept 2'!D640, 'Point Intercept 1'!D640, "ERROR")</f>
        <v>ERROR</v>
      </c>
      <c r="E640" s="9" t="str">
        <f>if('Point Intercept 1'!E640 = 'Point Intercept 2'!E640, 'Point Intercept 1'!E640, "ERROR")</f>
        <v>VB</v>
      </c>
      <c r="F640" s="9">
        <f>if('Point Intercept 1'!F640 = 'Point Intercept 2'!F640, 'Point Intercept 1'!F640, "ERROR")</f>
        <v>1</v>
      </c>
      <c r="G640" s="9" t="str">
        <f>if('Point Intercept 1'!G640 = 'Point Intercept 2'!G640, 'Point Intercept 1'!G640, "ERROR")</f>
        <v>SU</v>
      </c>
      <c r="H640" s="9">
        <f>if('Point Intercept 1'!I640 = 'Point Intercept 2'!I640, 'Point Intercept 1'!I640, "ERROR")</f>
        <v>2</v>
      </c>
      <c r="I640" s="9">
        <f>if('Point Intercept 1'!H640 = 'Point Intercept 2'!H640, 'Point Intercept 1'!H640, "ERROR")</f>
        <v>2</v>
      </c>
      <c r="J640" s="9">
        <f>if('Point Intercept 1'!J640 = 'Point Intercept 2'!J640, 'Point Intercept 1'!J640, "ERROR")</f>
        <v>1</v>
      </c>
      <c r="K640" s="9" t="str">
        <f>if('Point Intercept 1'!K640 = 'Point Intercept 2'!K640, 'Point Intercept 1'!K640, "ERROR")</f>
        <v>UNKNNGRASS</v>
      </c>
      <c r="L640" s="9" t="str">
        <f>if('Point Intercept 1'!L640 = 'Point Intercept 2'!L640, 'Point Intercept 1'!L640, "ERROR")</f>
        <v>Unknown non-native grass</v>
      </c>
    </row>
    <row r="641">
      <c r="A641" s="9">
        <f>if('Point Intercept 1'!A641 = 'Point Intercept 2'!A641, 'Point Intercept 1'!A641, "ERROR")</f>
        <v>7</v>
      </c>
      <c r="B641" s="9">
        <f>if('Point Intercept 1'!B641 = 'Point Intercept 2'!B641, 'Point Intercept 1'!B641, "ERROR")</f>
        <v>2025</v>
      </c>
      <c r="C641" s="14">
        <f>if('Point Intercept 1'!C641 = 'Point Intercept 2'!C641, 'Point Intercept 1'!C641, "ERROR")</f>
        <v>45764</v>
      </c>
      <c r="D641" s="9" t="str">
        <f>if('Point Intercept 1'!D641 = 'Point Intercept 2'!D641, 'Point Intercept 1'!D641, "ERROR")</f>
        <v>ERROR</v>
      </c>
      <c r="E641" s="9" t="str">
        <f>if('Point Intercept 1'!E641 = 'Point Intercept 2'!E641, 'Point Intercept 1'!E641, "ERROR")</f>
        <v>VB</v>
      </c>
      <c r="F641" s="9">
        <f>if('Point Intercept 1'!F641 = 'Point Intercept 2'!F641, 'Point Intercept 1'!F641, "ERROR")</f>
        <v>1</v>
      </c>
      <c r="G641" s="9" t="str">
        <f>if('Point Intercept 1'!G641 = 'Point Intercept 2'!G641, 'Point Intercept 1'!G641, "ERROR")</f>
        <v>SU</v>
      </c>
      <c r="H641" s="9">
        <f>if('Point Intercept 1'!I641 = 'Point Intercept 2'!I641, 'Point Intercept 1'!I641, "ERROR")</f>
        <v>3</v>
      </c>
      <c r="I641" s="9">
        <f>if('Point Intercept 1'!H641 = 'Point Intercept 2'!H641, 'Point Intercept 1'!H641, "ERROR")</f>
        <v>2</v>
      </c>
      <c r="J641" s="9">
        <f>if('Point Intercept 1'!J641 = 'Point Intercept 2'!J641, 'Point Intercept 1'!J641, "ERROR")</f>
        <v>1.5</v>
      </c>
      <c r="K641" s="9" t="str">
        <f>if('Point Intercept 1'!K641 = 'Point Intercept 2'!K641, 'Point Intercept 1'!K641, "ERROR")</f>
        <v>B</v>
      </c>
      <c r="L641" s="9" t="str">
        <f>if('Point Intercept 1'!L641 = 'Point Intercept 2'!L641, 'Point Intercept 1'!L641, "ERROR")</f>
        <v>Bareground</v>
      </c>
    </row>
    <row r="642">
      <c r="A642" s="9">
        <f>if('Point Intercept 1'!A642 = 'Point Intercept 2'!A642, 'Point Intercept 1'!A642, "ERROR")</f>
        <v>7</v>
      </c>
      <c r="B642" s="9">
        <f>if('Point Intercept 1'!B642 = 'Point Intercept 2'!B642, 'Point Intercept 1'!B642, "ERROR")</f>
        <v>2025</v>
      </c>
      <c r="C642" s="14">
        <f>if('Point Intercept 1'!C642 = 'Point Intercept 2'!C642, 'Point Intercept 1'!C642, "ERROR")</f>
        <v>45764</v>
      </c>
      <c r="D642" s="9" t="str">
        <f>if('Point Intercept 1'!D642 = 'Point Intercept 2'!D642, 'Point Intercept 1'!D642, "ERROR")</f>
        <v>ERROR</v>
      </c>
      <c r="E642" s="9" t="str">
        <f>if('Point Intercept 1'!E642 = 'Point Intercept 2'!E642, 'Point Intercept 1'!E642, "ERROR")</f>
        <v>VB</v>
      </c>
      <c r="F642" s="9">
        <f>if('Point Intercept 1'!F642 = 'Point Intercept 2'!F642, 'Point Intercept 1'!F642, "ERROR")</f>
        <v>1</v>
      </c>
      <c r="G642" s="9" t="str">
        <f>if('Point Intercept 1'!G642 = 'Point Intercept 2'!G642, 'Point Intercept 1'!G642, "ERROR")</f>
        <v>SU</v>
      </c>
      <c r="H642" s="9">
        <f>if('Point Intercept 1'!I642 = 'Point Intercept 2'!I642, 'Point Intercept 1'!I642, "ERROR")</f>
        <v>3</v>
      </c>
      <c r="I642" s="9">
        <f>if('Point Intercept 1'!H642 = 'Point Intercept 2'!H642, 'Point Intercept 1'!H642, "ERROR")</f>
        <v>2</v>
      </c>
      <c r="J642" s="9">
        <f>if('Point Intercept 1'!J642 = 'Point Intercept 2'!J642, 'Point Intercept 1'!J642, "ERROR")</f>
        <v>1.5</v>
      </c>
      <c r="K642" s="9" t="str">
        <f>if('Point Intercept 1'!K642 = 'Point Intercept 2'!K642, 'Point Intercept 1'!K642, "ERROR")</f>
        <v>DEIFAS</v>
      </c>
      <c r="L642" s="9" t="str">
        <f>if('Point Intercept 1'!L642 = 'Point Intercept 2'!L642, 'Point Intercept 1'!L642, "ERROR")</f>
        <v>Deinandra fasciculata</v>
      </c>
    </row>
    <row r="643">
      <c r="A643" s="9">
        <f>if('Point Intercept 1'!A643 = 'Point Intercept 2'!A643, 'Point Intercept 1'!A643, "ERROR")</f>
        <v>7</v>
      </c>
      <c r="B643" s="9">
        <f>if('Point Intercept 1'!B643 = 'Point Intercept 2'!B643, 'Point Intercept 1'!B643, "ERROR")</f>
        <v>2025</v>
      </c>
      <c r="C643" s="14">
        <f>if('Point Intercept 1'!C643 = 'Point Intercept 2'!C643, 'Point Intercept 1'!C643, "ERROR")</f>
        <v>45764</v>
      </c>
      <c r="D643" s="9" t="str">
        <f>if('Point Intercept 1'!D643 = 'Point Intercept 2'!D643, 'Point Intercept 1'!D643, "ERROR")</f>
        <v>ERROR</v>
      </c>
      <c r="E643" s="9" t="str">
        <f>if('Point Intercept 1'!E643 = 'Point Intercept 2'!E643, 'Point Intercept 1'!E643, "ERROR")</f>
        <v>VB</v>
      </c>
      <c r="F643" s="9">
        <f>if('Point Intercept 1'!F643 = 'Point Intercept 2'!F643, 'Point Intercept 1'!F643, "ERROR")</f>
        <v>1</v>
      </c>
      <c r="G643" s="9" t="str">
        <f>if('Point Intercept 1'!G643 = 'Point Intercept 2'!G643, 'Point Intercept 1'!G643, "ERROR")</f>
        <v>SU</v>
      </c>
      <c r="H643" s="9">
        <f>if('Point Intercept 1'!I643 = 'Point Intercept 2'!I643, 'Point Intercept 1'!I643, "ERROR")</f>
        <v>4</v>
      </c>
      <c r="I643" s="9">
        <f>if('Point Intercept 1'!H643 = 'Point Intercept 2'!H643, 'Point Intercept 1'!H643, "ERROR")</f>
        <v>2</v>
      </c>
      <c r="J643" s="9">
        <f>if('Point Intercept 1'!J643 = 'Point Intercept 2'!J643, 'Point Intercept 1'!J643, "ERROR")</f>
        <v>2</v>
      </c>
      <c r="K643" s="9" t="str">
        <f>if('Point Intercept 1'!K643 = 'Point Intercept 2'!K643, 'Point Intercept 1'!K643, "ERROR")</f>
        <v>L</v>
      </c>
      <c r="L643" s="9" t="str">
        <f>if('Point Intercept 1'!L643 = 'Point Intercept 2'!L643, 'Point Intercept 1'!L643, "ERROR")</f>
        <v>Litter</v>
      </c>
    </row>
    <row r="644">
      <c r="A644" s="9">
        <f>if('Point Intercept 1'!A644 = 'Point Intercept 2'!A644, 'Point Intercept 1'!A644, "ERROR")</f>
        <v>7</v>
      </c>
      <c r="B644" s="9">
        <f>if('Point Intercept 1'!B644 = 'Point Intercept 2'!B644, 'Point Intercept 1'!B644, "ERROR")</f>
        <v>2025</v>
      </c>
      <c r="C644" s="14">
        <f>if('Point Intercept 1'!C644 = 'Point Intercept 2'!C644, 'Point Intercept 1'!C644, "ERROR")</f>
        <v>45764</v>
      </c>
      <c r="D644" s="9" t="str">
        <f>if('Point Intercept 1'!D644 = 'Point Intercept 2'!D644, 'Point Intercept 1'!D644, "ERROR")</f>
        <v>ERROR</v>
      </c>
      <c r="E644" s="9" t="str">
        <f>if('Point Intercept 1'!E644 = 'Point Intercept 2'!E644, 'Point Intercept 1'!E644, "ERROR")</f>
        <v>VB</v>
      </c>
      <c r="F644" s="9">
        <f>if('Point Intercept 1'!F644 = 'Point Intercept 2'!F644, 'Point Intercept 1'!F644, "ERROR")</f>
        <v>1</v>
      </c>
      <c r="G644" s="9" t="str">
        <f>if('Point Intercept 1'!G644 = 'Point Intercept 2'!G644, 'Point Intercept 1'!G644, "ERROR")</f>
        <v>SU</v>
      </c>
      <c r="H644" s="9">
        <f>if('Point Intercept 1'!I644 = 'Point Intercept 2'!I644, 'Point Intercept 1'!I644, "ERROR")</f>
        <v>4</v>
      </c>
      <c r="I644" s="9">
        <f>if('Point Intercept 1'!H644 = 'Point Intercept 2'!H644, 'Point Intercept 1'!H644, "ERROR")</f>
        <v>2</v>
      </c>
      <c r="J644" s="9">
        <f>if('Point Intercept 1'!J644 = 'Point Intercept 2'!J644, 'Point Intercept 1'!J644, "ERROR")</f>
        <v>2</v>
      </c>
      <c r="K644" s="9" t="str">
        <f>if('Point Intercept 1'!K644 = 'Point Intercept 2'!K644, 'Point Intercept 1'!K644, "ERROR")</f>
        <v>FESMYU</v>
      </c>
      <c r="L644" s="9" t="str">
        <f>if('Point Intercept 1'!L644 = 'Point Intercept 2'!L644, 'Point Intercept 1'!L644, "ERROR")</f>
        <v>Festuca myuros</v>
      </c>
    </row>
    <row r="645">
      <c r="A645" s="9">
        <f>if('Point Intercept 1'!A645 = 'Point Intercept 2'!A645, 'Point Intercept 1'!A645, "ERROR")</f>
        <v>7</v>
      </c>
      <c r="B645" s="9">
        <f>if('Point Intercept 1'!B645 = 'Point Intercept 2'!B645, 'Point Intercept 1'!B645, "ERROR")</f>
        <v>2025</v>
      </c>
      <c r="C645" s="14">
        <f>if('Point Intercept 1'!C645 = 'Point Intercept 2'!C645, 'Point Intercept 1'!C645, "ERROR")</f>
        <v>45764</v>
      </c>
      <c r="D645" s="9" t="str">
        <f>if('Point Intercept 1'!D645 = 'Point Intercept 2'!D645, 'Point Intercept 1'!D645, "ERROR")</f>
        <v>ERROR</v>
      </c>
      <c r="E645" s="9" t="str">
        <f>if('Point Intercept 1'!E645 = 'Point Intercept 2'!E645, 'Point Intercept 1'!E645, "ERROR")</f>
        <v>VB</v>
      </c>
      <c r="F645" s="9">
        <f>if('Point Intercept 1'!F645 = 'Point Intercept 2'!F645, 'Point Intercept 1'!F645, "ERROR")</f>
        <v>1</v>
      </c>
      <c r="G645" s="9" t="str">
        <f>if('Point Intercept 1'!G645 = 'Point Intercept 2'!G645, 'Point Intercept 1'!G645, "ERROR")</f>
        <v>SU</v>
      </c>
      <c r="H645" s="9">
        <f>if('Point Intercept 1'!I645 = 'Point Intercept 2'!I645, 'Point Intercept 1'!I645, "ERROR")</f>
        <v>5</v>
      </c>
      <c r="I645" s="9">
        <f>if('Point Intercept 1'!H645 = 'Point Intercept 2'!H645, 'Point Intercept 1'!H645, "ERROR")</f>
        <v>2</v>
      </c>
      <c r="J645" s="9">
        <f>if('Point Intercept 1'!J645 = 'Point Intercept 2'!J645, 'Point Intercept 1'!J645, "ERROR")</f>
        <v>3</v>
      </c>
      <c r="K645" s="9" t="str">
        <f>if('Point Intercept 1'!K645 = 'Point Intercept 2'!K645, 'Point Intercept 1'!K645, "ERROR")</f>
        <v>L</v>
      </c>
      <c r="L645" s="9" t="str">
        <f>if('Point Intercept 1'!L645 = 'Point Intercept 2'!L645, 'Point Intercept 1'!L645, "ERROR")</f>
        <v>Litter</v>
      </c>
    </row>
    <row r="646">
      <c r="A646" s="9">
        <f>if('Point Intercept 1'!A646 = 'Point Intercept 2'!A646, 'Point Intercept 1'!A646, "ERROR")</f>
        <v>7</v>
      </c>
      <c r="B646" s="9">
        <f>if('Point Intercept 1'!B646 = 'Point Intercept 2'!B646, 'Point Intercept 1'!B646, "ERROR")</f>
        <v>2025</v>
      </c>
      <c r="C646" s="14">
        <f>if('Point Intercept 1'!C646 = 'Point Intercept 2'!C646, 'Point Intercept 1'!C646, "ERROR")</f>
        <v>45764</v>
      </c>
      <c r="D646" s="9" t="str">
        <f>if('Point Intercept 1'!D646 = 'Point Intercept 2'!D646, 'Point Intercept 1'!D646, "ERROR")</f>
        <v>ERROR</v>
      </c>
      <c r="E646" s="9" t="str">
        <f>if('Point Intercept 1'!E646 = 'Point Intercept 2'!E646, 'Point Intercept 1'!E646, "ERROR")</f>
        <v>VB</v>
      </c>
      <c r="F646" s="9">
        <f>if('Point Intercept 1'!F646 = 'Point Intercept 2'!F646, 'Point Intercept 1'!F646, "ERROR")</f>
        <v>1</v>
      </c>
      <c r="G646" s="9" t="str">
        <f>if('Point Intercept 1'!G646 = 'Point Intercept 2'!G646, 'Point Intercept 1'!G646, "ERROR")</f>
        <v>SU</v>
      </c>
      <c r="H646" s="9">
        <f>if('Point Intercept 1'!I646 = 'Point Intercept 2'!I646, 'Point Intercept 1'!I646, "ERROR")</f>
        <v>5</v>
      </c>
      <c r="I646" s="9">
        <f>if('Point Intercept 1'!H646 = 'Point Intercept 2'!H646, 'Point Intercept 1'!H646, "ERROR")</f>
        <v>2</v>
      </c>
      <c r="J646" s="9">
        <f>if('Point Intercept 1'!J646 = 'Point Intercept 2'!J646, 'Point Intercept 1'!J646, "ERROR")</f>
        <v>3</v>
      </c>
      <c r="K646" s="9" t="str">
        <f>if('Point Intercept 1'!K646 = 'Point Intercept 2'!K646, 'Point Intercept 1'!K646, "ERROR")</f>
        <v>EROMOS</v>
      </c>
      <c r="L646" s="9" t="str">
        <f>if('Point Intercept 1'!L646 = 'Point Intercept 2'!L646, 'Point Intercept 1'!L646, "ERROR")</f>
        <v>Erodium moschatum</v>
      </c>
    </row>
    <row r="647">
      <c r="A647" s="9">
        <f>if('Point Intercept 1'!A647 = 'Point Intercept 2'!A647, 'Point Intercept 1'!A647, "ERROR")</f>
        <v>7</v>
      </c>
      <c r="B647" s="9">
        <f>if('Point Intercept 1'!B647 = 'Point Intercept 2'!B647, 'Point Intercept 1'!B647, "ERROR")</f>
        <v>2025</v>
      </c>
      <c r="C647" s="14">
        <f>if('Point Intercept 1'!C647 = 'Point Intercept 2'!C647, 'Point Intercept 1'!C647, "ERROR")</f>
        <v>45764</v>
      </c>
      <c r="D647" s="9" t="str">
        <f>if('Point Intercept 1'!D647 = 'Point Intercept 2'!D647, 'Point Intercept 1'!D647, "ERROR")</f>
        <v>ERROR</v>
      </c>
      <c r="E647" s="9" t="str">
        <f>if('Point Intercept 1'!E647 = 'Point Intercept 2'!E647, 'Point Intercept 1'!E647, "ERROR")</f>
        <v>VB</v>
      </c>
      <c r="F647" s="9">
        <f>if('Point Intercept 1'!F647 = 'Point Intercept 2'!F647, 'Point Intercept 1'!F647, "ERROR")</f>
        <v>1</v>
      </c>
      <c r="G647" s="9" t="str">
        <f>if('Point Intercept 1'!G647 = 'Point Intercept 2'!G647, 'Point Intercept 1'!G647, "ERROR")</f>
        <v>SU</v>
      </c>
      <c r="H647" s="9">
        <f>if('Point Intercept 1'!I647 = 'Point Intercept 2'!I647, 'Point Intercept 1'!I647, "ERROR")</f>
        <v>6</v>
      </c>
      <c r="I647" s="9">
        <f>if('Point Intercept 1'!H647 = 'Point Intercept 2'!H647, 'Point Intercept 1'!H647, "ERROR")</f>
        <v>2</v>
      </c>
      <c r="J647" s="9">
        <f>if('Point Intercept 1'!J647 = 'Point Intercept 2'!J647, 'Point Intercept 1'!J647, "ERROR")</f>
        <v>3.5</v>
      </c>
      <c r="K647" s="9" t="str">
        <f>if('Point Intercept 1'!K647 = 'Point Intercept 2'!K647, 'Point Intercept 1'!K647, "ERROR")</f>
        <v>L</v>
      </c>
      <c r="L647" s="9" t="str">
        <f>if('Point Intercept 1'!L647 = 'Point Intercept 2'!L647, 'Point Intercept 1'!L647, "ERROR")</f>
        <v>Litter</v>
      </c>
    </row>
    <row r="648">
      <c r="A648" s="9">
        <f>if('Point Intercept 1'!A648 = 'Point Intercept 2'!A648, 'Point Intercept 1'!A648, "ERROR")</f>
        <v>7</v>
      </c>
      <c r="B648" s="9">
        <f>if('Point Intercept 1'!B648 = 'Point Intercept 2'!B648, 'Point Intercept 1'!B648, "ERROR")</f>
        <v>2025</v>
      </c>
      <c r="C648" s="14">
        <f>if('Point Intercept 1'!C648 = 'Point Intercept 2'!C648, 'Point Intercept 1'!C648, "ERROR")</f>
        <v>45764</v>
      </c>
      <c r="D648" s="9" t="str">
        <f>if('Point Intercept 1'!D648 = 'Point Intercept 2'!D648, 'Point Intercept 1'!D648, "ERROR")</f>
        <v>ERROR</v>
      </c>
      <c r="E648" s="9" t="str">
        <f>if('Point Intercept 1'!E648 = 'Point Intercept 2'!E648, 'Point Intercept 1'!E648, "ERROR")</f>
        <v>VB</v>
      </c>
      <c r="F648" s="9">
        <f>if('Point Intercept 1'!F648 = 'Point Intercept 2'!F648, 'Point Intercept 1'!F648, "ERROR")</f>
        <v>1</v>
      </c>
      <c r="G648" s="9" t="str">
        <f>if('Point Intercept 1'!G648 = 'Point Intercept 2'!G648, 'Point Intercept 1'!G648, "ERROR")</f>
        <v>SU</v>
      </c>
      <c r="H648" s="9">
        <f>if('Point Intercept 1'!I648 = 'Point Intercept 2'!I648, 'Point Intercept 1'!I648, "ERROR")</f>
        <v>6</v>
      </c>
      <c r="I648" s="9">
        <f>if('Point Intercept 1'!H648 = 'Point Intercept 2'!H648, 'Point Intercept 1'!H648, "ERROR")</f>
        <v>2</v>
      </c>
      <c r="J648" s="9">
        <f>if('Point Intercept 1'!J648 = 'Point Intercept 2'!J648, 'Point Intercept 1'!J648, "ERROR")</f>
        <v>3.5</v>
      </c>
      <c r="K648" s="9" t="str">
        <f>if('Point Intercept 1'!K648 = 'Point Intercept 2'!K648, 'Point Intercept 1'!K648, "ERROR")</f>
        <v>DEIFAS</v>
      </c>
      <c r="L648" s="9" t="str">
        <f>if('Point Intercept 1'!L648 = 'Point Intercept 2'!L648, 'Point Intercept 1'!L648, "ERROR")</f>
        <v>Deinandra fasciculata</v>
      </c>
    </row>
    <row r="649">
      <c r="A649" s="9">
        <f>if('Point Intercept 1'!A649 = 'Point Intercept 2'!A649, 'Point Intercept 1'!A649, "ERROR")</f>
        <v>7</v>
      </c>
      <c r="B649" s="9">
        <f>if('Point Intercept 1'!B649 = 'Point Intercept 2'!B649, 'Point Intercept 1'!B649, "ERROR")</f>
        <v>2025</v>
      </c>
      <c r="C649" s="14">
        <f>if('Point Intercept 1'!C649 = 'Point Intercept 2'!C649, 'Point Intercept 1'!C649, "ERROR")</f>
        <v>45764</v>
      </c>
      <c r="D649" s="9" t="str">
        <f>if('Point Intercept 1'!D649 = 'Point Intercept 2'!D649, 'Point Intercept 1'!D649, "ERROR")</f>
        <v>ERROR</v>
      </c>
      <c r="E649" s="9" t="str">
        <f>if('Point Intercept 1'!E649 = 'Point Intercept 2'!E649, 'Point Intercept 1'!E649, "ERROR")</f>
        <v>VB</v>
      </c>
      <c r="F649" s="9">
        <f>if('Point Intercept 1'!F649 = 'Point Intercept 2'!F649, 'Point Intercept 1'!F649, "ERROR")</f>
        <v>1</v>
      </c>
      <c r="G649" s="9" t="str">
        <f>if('Point Intercept 1'!G649 = 'Point Intercept 2'!G649, 'Point Intercept 1'!G649, "ERROR")</f>
        <v>SU</v>
      </c>
      <c r="H649" s="9">
        <f>if('Point Intercept 1'!I649 = 'Point Intercept 2'!I649, 'Point Intercept 1'!I649, "ERROR")</f>
        <v>7</v>
      </c>
      <c r="I649" s="9">
        <f>if('Point Intercept 1'!H649 = 'Point Intercept 2'!H649, 'Point Intercept 1'!H649, "ERROR")</f>
        <v>2</v>
      </c>
      <c r="J649" s="9">
        <f>if('Point Intercept 1'!J649 = 'Point Intercept 2'!J649, 'Point Intercept 1'!J649, "ERROR")</f>
        <v>4</v>
      </c>
      <c r="K649" s="9" t="str">
        <f>if('Point Intercept 1'!K649 = 'Point Intercept 2'!K649, 'Point Intercept 1'!K649, "ERROR")</f>
        <v>L</v>
      </c>
      <c r="L649" s="9" t="str">
        <f>if('Point Intercept 1'!L649 = 'Point Intercept 2'!L649, 'Point Intercept 1'!L649, "ERROR")</f>
        <v>Litter</v>
      </c>
    </row>
    <row r="650">
      <c r="A650" s="9">
        <f>if('Point Intercept 1'!A650 = 'Point Intercept 2'!A650, 'Point Intercept 1'!A650, "ERROR")</f>
        <v>7</v>
      </c>
      <c r="B650" s="9">
        <f>if('Point Intercept 1'!B650 = 'Point Intercept 2'!B650, 'Point Intercept 1'!B650, "ERROR")</f>
        <v>2025</v>
      </c>
      <c r="C650" s="14">
        <f>if('Point Intercept 1'!C650 = 'Point Intercept 2'!C650, 'Point Intercept 1'!C650, "ERROR")</f>
        <v>45764</v>
      </c>
      <c r="D650" s="9" t="str">
        <f>if('Point Intercept 1'!D650 = 'Point Intercept 2'!D650, 'Point Intercept 1'!D650, "ERROR")</f>
        <v>ERROR</v>
      </c>
      <c r="E650" s="9" t="str">
        <f>if('Point Intercept 1'!E650 = 'Point Intercept 2'!E650, 'Point Intercept 1'!E650, "ERROR")</f>
        <v>VB</v>
      </c>
      <c r="F650" s="9">
        <f>if('Point Intercept 1'!F650 = 'Point Intercept 2'!F650, 'Point Intercept 1'!F650, "ERROR")</f>
        <v>1</v>
      </c>
      <c r="G650" s="9" t="str">
        <f>if('Point Intercept 1'!G650 = 'Point Intercept 2'!G650, 'Point Intercept 1'!G650, "ERROR")</f>
        <v>SU</v>
      </c>
      <c r="H650" s="9">
        <f>if('Point Intercept 1'!I650 = 'Point Intercept 2'!I650, 'Point Intercept 1'!I650, "ERROR")</f>
        <v>7</v>
      </c>
      <c r="I650" s="9">
        <f>if('Point Intercept 1'!H650 = 'Point Intercept 2'!H650, 'Point Intercept 1'!H650, "ERROR")</f>
        <v>2</v>
      </c>
      <c r="J650" s="9">
        <f>if('Point Intercept 1'!J650 = 'Point Intercept 2'!J650, 'Point Intercept 1'!J650, "ERROR")</f>
        <v>4</v>
      </c>
      <c r="K650" s="9" t="str">
        <f>if('Point Intercept 1'!K650 = 'Point Intercept 2'!K650, 'Point Intercept 1'!K650, "ERROR")</f>
        <v>EROMOS</v>
      </c>
      <c r="L650" s="9" t="str">
        <f>if('Point Intercept 1'!L650 = 'Point Intercept 2'!L650, 'Point Intercept 1'!L650, "ERROR")</f>
        <v>Erodium moschatum</v>
      </c>
    </row>
    <row r="651">
      <c r="A651" s="9">
        <f>if('Point Intercept 1'!A651 = 'Point Intercept 2'!A651, 'Point Intercept 1'!A651, "ERROR")</f>
        <v>7</v>
      </c>
      <c r="B651" s="9">
        <f>if('Point Intercept 1'!B651 = 'Point Intercept 2'!B651, 'Point Intercept 1'!B651, "ERROR")</f>
        <v>2025</v>
      </c>
      <c r="C651" s="14">
        <f>if('Point Intercept 1'!C651 = 'Point Intercept 2'!C651, 'Point Intercept 1'!C651, "ERROR")</f>
        <v>45764</v>
      </c>
      <c r="D651" s="9" t="str">
        <f>if('Point Intercept 1'!D651 = 'Point Intercept 2'!D651, 'Point Intercept 1'!D651, "ERROR")</f>
        <v>ERROR</v>
      </c>
      <c r="E651" s="9" t="str">
        <f>if('Point Intercept 1'!E651 = 'Point Intercept 2'!E651, 'Point Intercept 1'!E651, "ERROR")</f>
        <v>VB</v>
      </c>
      <c r="F651" s="9">
        <f>if('Point Intercept 1'!F651 = 'Point Intercept 2'!F651, 'Point Intercept 1'!F651, "ERROR")</f>
        <v>1</v>
      </c>
      <c r="G651" s="9" t="str">
        <f>if('Point Intercept 1'!G651 = 'Point Intercept 2'!G651, 'Point Intercept 1'!G651, "ERROR")</f>
        <v>SU</v>
      </c>
      <c r="H651" s="9">
        <f>if('Point Intercept 1'!I651 = 'Point Intercept 2'!I651, 'Point Intercept 1'!I651, "ERROR")</f>
        <v>8</v>
      </c>
      <c r="I651" s="9">
        <f>if('Point Intercept 1'!H651 = 'Point Intercept 2'!H651, 'Point Intercept 1'!H651, "ERROR")</f>
        <v>2</v>
      </c>
      <c r="J651" s="9">
        <f>if('Point Intercept 1'!J651 = 'Point Intercept 2'!J651, 'Point Intercept 1'!J651, "ERROR")</f>
        <v>5</v>
      </c>
      <c r="K651" s="9" t="str">
        <f>if('Point Intercept 1'!K651 = 'Point Intercept 2'!K651, 'Point Intercept 1'!K651, "ERROR")</f>
        <v>L</v>
      </c>
      <c r="L651" s="9" t="str">
        <f>if('Point Intercept 1'!L651 = 'Point Intercept 2'!L651, 'Point Intercept 1'!L651, "ERROR")</f>
        <v>Litter</v>
      </c>
    </row>
    <row r="652">
      <c r="A652" s="9">
        <f>if('Point Intercept 1'!A652 = 'Point Intercept 2'!A652, 'Point Intercept 1'!A652, "ERROR")</f>
        <v>7</v>
      </c>
      <c r="B652" s="9">
        <f>if('Point Intercept 1'!B652 = 'Point Intercept 2'!B652, 'Point Intercept 1'!B652, "ERROR")</f>
        <v>2025</v>
      </c>
      <c r="C652" s="14">
        <f>if('Point Intercept 1'!C652 = 'Point Intercept 2'!C652, 'Point Intercept 1'!C652, "ERROR")</f>
        <v>45764</v>
      </c>
      <c r="D652" s="9" t="str">
        <f>if('Point Intercept 1'!D652 = 'Point Intercept 2'!D652, 'Point Intercept 1'!D652, "ERROR")</f>
        <v>ERROR</v>
      </c>
      <c r="E652" s="9" t="str">
        <f>if('Point Intercept 1'!E652 = 'Point Intercept 2'!E652, 'Point Intercept 1'!E652, "ERROR")</f>
        <v>VB</v>
      </c>
      <c r="F652" s="9">
        <f>if('Point Intercept 1'!F652 = 'Point Intercept 2'!F652, 'Point Intercept 1'!F652, "ERROR")</f>
        <v>1</v>
      </c>
      <c r="G652" s="9" t="str">
        <f>if('Point Intercept 1'!G652 = 'Point Intercept 2'!G652, 'Point Intercept 1'!G652, "ERROR")</f>
        <v>SU</v>
      </c>
      <c r="H652" s="9">
        <f>if('Point Intercept 1'!I652 = 'Point Intercept 2'!I652, 'Point Intercept 1'!I652, "ERROR")</f>
        <v>8</v>
      </c>
      <c r="I652" s="9">
        <f>if('Point Intercept 1'!H652 = 'Point Intercept 2'!H652, 'Point Intercept 1'!H652, "ERROR")</f>
        <v>2</v>
      </c>
      <c r="J652" s="9">
        <f>if('Point Intercept 1'!J652 = 'Point Intercept 2'!J652, 'Point Intercept 1'!J652, "ERROR")</f>
        <v>5</v>
      </c>
      <c r="K652" s="9" t="str">
        <f>if('Point Intercept 1'!K652 = 'Point Intercept 2'!K652, 'Point Intercept 1'!K652, "ERROR")</f>
        <v>EROMOS</v>
      </c>
      <c r="L652" s="9" t="str">
        <f>if('Point Intercept 1'!L652 = 'Point Intercept 2'!L652, 'Point Intercept 1'!L652, "ERROR")</f>
        <v>Erodium moschatum</v>
      </c>
    </row>
    <row r="653">
      <c r="A653" s="9">
        <f>if('Point Intercept 1'!A653 = 'Point Intercept 2'!A653, 'Point Intercept 1'!A653, "ERROR")</f>
        <v>7</v>
      </c>
      <c r="B653" s="9">
        <f>if('Point Intercept 1'!B653 = 'Point Intercept 2'!B653, 'Point Intercept 1'!B653, "ERROR")</f>
        <v>2025</v>
      </c>
      <c r="C653" s="14">
        <f>if('Point Intercept 1'!C653 = 'Point Intercept 2'!C653, 'Point Intercept 1'!C653, "ERROR")</f>
        <v>45764</v>
      </c>
      <c r="D653" s="9" t="str">
        <f>if('Point Intercept 1'!D653 = 'Point Intercept 2'!D653, 'Point Intercept 1'!D653, "ERROR")</f>
        <v>ERROR</v>
      </c>
      <c r="E653" s="9" t="str">
        <f>if('Point Intercept 1'!E653 = 'Point Intercept 2'!E653, 'Point Intercept 1'!E653, "ERROR")</f>
        <v>VB</v>
      </c>
      <c r="F653" s="9">
        <f>if('Point Intercept 1'!F653 = 'Point Intercept 2'!F653, 'Point Intercept 1'!F653, "ERROR")</f>
        <v>1</v>
      </c>
      <c r="G653" s="9" t="str">
        <f>if('Point Intercept 1'!G653 = 'Point Intercept 2'!G653, 'Point Intercept 1'!G653, "ERROR")</f>
        <v>SU</v>
      </c>
      <c r="H653" s="9">
        <f>if('Point Intercept 1'!I653 = 'Point Intercept 2'!I653, 'Point Intercept 1'!I653, "ERROR")</f>
        <v>8</v>
      </c>
      <c r="I653" s="9">
        <f>if('Point Intercept 1'!H653 = 'Point Intercept 2'!H653, 'Point Intercept 1'!H653, "ERROR")</f>
        <v>2</v>
      </c>
      <c r="J653" s="9">
        <f>if('Point Intercept 1'!J653 = 'Point Intercept 2'!J653, 'Point Intercept 1'!J653, "ERROR")</f>
        <v>5</v>
      </c>
      <c r="K653" s="9" t="str">
        <f>if('Point Intercept 1'!K653 = 'Point Intercept 2'!K653, 'Point Intercept 1'!K653, "ERROR")</f>
        <v>SONOLE</v>
      </c>
      <c r="L653" s="9" t="str">
        <f>if('Point Intercept 1'!L653 = 'Point Intercept 2'!L653, 'Point Intercept 1'!L653, "ERROR")</f>
        <v>Sonchus oleraceus</v>
      </c>
    </row>
    <row r="654">
      <c r="A654" s="9">
        <f>if('Point Intercept 1'!A654 = 'Point Intercept 2'!A654, 'Point Intercept 1'!A654, "ERROR")</f>
        <v>7</v>
      </c>
      <c r="B654" s="9">
        <f>if('Point Intercept 1'!B654 = 'Point Intercept 2'!B654, 'Point Intercept 1'!B654, "ERROR")</f>
        <v>2025</v>
      </c>
      <c r="C654" s="14">
        <f>if('Point Intercept 1'!C654 = 'Point Intercept 2'!C654, 'Point Intercept 1'!C654, "ERROR")</f>
        <v>45764</v>
      </c>
      <c r="D654" s="9" t="str">
        <f>if('Point Intercept 1'!D654 = 'Point Intercept 2'!D654, 'Point Intercept 1'!D654, "ERROR")</f>
        <v>ERROR</v>
      </c>
      <c r="E654" s="9" t="str">
        <f>if('Point Intercept 1'!E654 = 'Point Intercept 2'!E654, 'Point Intercept 1'!E654, "ERROR")</f>
        <v>VB</v>
      </c>
      <c r="F654" s="9">
        <f>if('Point Intercept 1'!F654 = 'Point Intercept 2'!F654, 'Point Intercept 1'!F654, "ERROR")</f>
        <v>1</v>
      </c>
      <c r="G654" s="9" t="str">
        <f>if('Point Intercept 1'!G654 = 'Point Intercept 2'!G654, 'Point Intercept 1'!G654, "ERROR")</f>
        <v>SU</v>
      </c>
      <c r="H654" s="9">
        <f>if('Point Intercept 1'!I654 = 'Point Intercept 2'!I654, 'Point Intercept 1'!I654, "ERROR")</f>
        <v>9</v>
      </c>
      <c r="I654" s="9">
        <f>if('Point Intercept 1'!H654 = 'Point Intercept 2'!H654, 'Point Intercept 1'!H654, "ERROR")</f>
        <v>2</v>
      </c>
      <c r="J654" s="9">
        <f>if('Point Intercept 1'!J654 = 'Point Intercept 2'!J654, 'Point Intercept 1'!J654, "ERROR")</f>
        <v>7</v>
      </c>
      <c r="K654" s="9" t="str">
        <f>if('Point Intercept 1'!K654 = 'Point Intercept 2'!K654, 'Point Intercept 1'!K654, "ERROR")</f>
        <v>L</v>
      </c>
      <c r="L654" s="9" t="str">
        <f>if('Point Intercept 1'!L654 = 'Point Intercept 2'!L654, 'Point Intercept 1'!L654, "ERROR")</f>
        <v>Litter</v>
      </c>
    </row>
    <row r="655">
      <c r="A655" s="9">
        <f>if('Point Intercept 1'!A655 = 'Point Intercept 2'!A655, 'Point Intercept 1'!A655, "ERROR")</f>
        <v>7</v>
      </c>
      <c r="B655" s="9">
        <f>if('Point Intercept 1'!B655 = 'Point Intercept 2'!B655, 'Point Intercept 1'!B655, "ERROR")</f>
        <v>2025</v>
      </c>
      <c r="C655" s="14">
        <f>if('Point Intercept 1'!C655 = 'Point Intercept 2'!C655, 'Point Intercept 1'!C655, "ERROR")</f>
        <v>45764</v>
      </c>
      <c r="D655" s="9" t="str">
        <f>if('Point Intercept 1'!D655 = 'Point Intercept 2'!D655, 'Point Intercept 1'!D655, "ERROR")</f>
        <v>ERROR</v>
      </c>
      <c r="E655" s="9" t="str">
        <f>if('Point Intercept 1'!E655 = 'Point Intercept 2'!E655, 'Point Intercept 1'!E655, "ERROR")</f>
        <v>VB</v>
      </c>
      <c r="F655" s="9">
        <f>if('Point Intercept 1'!F655 = 'Point Intercept 2'!F655, 'Point Intercept 1'!F655, "ERROR")</f>
        <v>1</v>
      </c>
      <c r="G655" s="9" t="str">
        <f>if('Point Intercept 1'!G655 = 'Point Intercept 2'!G655, 'Point Intercept 1'!G655, "ERROR")</f>
        <v>SU</v>
      </c>
      <c r="H655" s="9">
        <f>if('Point Intercept 1'!I655 = 'Point Intercept 2'!I655, 'Point Intercept 1'!I655, "ERROR")</f>
        <v>9</v>
      </c>
      <c r="I655" s="9">
        <f>if('Point Intercept 1'!H655 = 'Point Intercept 2'!H655, 'Point Intercept 1'!H655, "ERROR")</f>
        <v>2</v>
      </c>
      <c r="J655" s="9">
        <f>if('Point Intercept 1'!J655 = 'Point Intercept 2'!J655, 'Point Intercept 1'!J655, "ERROR")</f>
        <v>7</v>
      </c>
      <c r="K655" s="9" t="str">
        <f>if('Point Intercept 1'!K655 = 'Point Intercept 2'!K655, 'Point Intercept 1'!K655, "ERROR")</f>
        <v>CENMEL</v>
      </c>
      <c r="L655" s="9" t="str">
        <f>if('Point Intercept 1'!L655 = 'Point Intercept 2'!L655, 'Point Intercept 1'!L655, "ERROR")</f>
        <v>Centaurea melitensis</v>
      </c>
    </row>
    <row r="656">
      <c r="A656" s="9">
        <f>if('Point Intercept 1'!A656 = 'Point Intercept 2'!A656, 'Point Intercept 1'!A656, "ERROR")</f>
        <v>7</v>
      </c>
      <c r="B656" s="9">
        <f>if('Point Intercept 1'!B656 = 'Point Intercept 2'!B656, 'Point Intercept 1'!B656, "ERROR")</f>
        <v>2025</v>
      </c>
      <c r="C656" s="14">
        <f>if('Point Intercept 1'!C656 = 'Point Intercept 2'!C656, 'Point Intercept 1'!C656, "ERROR")</f>
        <v>45764</v>
      </c>
      <c r="D656" s="9" t="str">
        <f>if('Point Intercept 1'!D656 = 'Point Intercept 2'!D656, 'Point Intercept 1'!D656, "ERROR")</f>
        <v>ERROR</v>
      </c>
      <c r="E656" s="9" t="str">
        <f>if('Point Intercept 1'!E656 = 'Point Intercept 2'!E656, 'Point Intercept 1'!E656, "ERROR")</f>
        <v>VB</v>
      </c>
      <c r="F656" s="9">
        <f>if('Point Intercept 1'!F656 = 'Point Intercept 2'!F656, 'Point Intercept 1'!F656, "ERROR")</f>
        <v>1</v>
      </c>
      <c r="G656" s="9" t="str">
        <f>if('Point Intercept 1'!G656 = 'Point Intercept 2'!G656, 'Point Intercept 1'!G656, "ERROR")</f>
        <v>SU</v>
      </c>
      <c r="H656" s="9">
        <f>if('Point Intercept 1'!I656 = 'Point Intercept 2'!I656, 'Point Intercept 1'!I656, "ERROR")</f>
        <v>9</v>
      </c>
      <c r="I656" s="9">
        <f>if('Point Intercept 1'!H656 = 'Point Intercept 2'!H656, 'Point Intercept 1'!H656, "ERROR")</f>
        <v>2</v>
      </c>
      <c r="J656" s="9">
        <f>if('Point Intercept 1'!J656 = 'Point Intercept 2'!J656, 'Point Intercept 1'!J656, "ERROR")</f>
        <v>7</v>
      </c>
      <c r="K656" s="9" t="str">
        <f>if('Point Intercept 1'!K656 = 'Point Intercept 2'!K656, 'Point Intercept 1'!K656, "ERROR")</f>
        <v>UROLIN</v>
      </c>
      <c r="L656" s="9" t="str">
        <f>if('Point Intercept 1'!L656 = 'Point Intercept 2'!L656, 'Point Intercept 1'!L656, "ERROR")</f>
        <v>Uropappus lindleyi</v>
      </c>
    </row>
    <row r="657">
      <c r="A657" s="9">
        <f>if('Point Intercept 1'!A657 = 'Point Intercept 2'!A657, 'Point Intercept 1'!A657, "ERROR")</f>
        <v>7</v>
      </c>
      <c r="B657" s="9">
        <f>if('Point Intercept 1'!B657 = 'Point Intercept 2'!B657, 'Point Intercept 1'!B657, "ERROR")</f>
        <v>2025</v>
      </c>
      <c r="C657" s="14">
        <f>if('Point Intercept 1'!C657 = 'Point Intercept 2'!C657, 'Point Intercept 1'!C657, "ERROR")</f>
        <v>45764</v>
      </c>
      <c r="D657" s="9" t="str">
        <f>if('Point Intercept 1'!D657 = 'Point Intercept 2'!D657, 'Point Intercept 1'!D657, "ERROR")</f>
        <v>ERROR</v>
      </c>
      <c r="E657" s="9" t="str">
        <f>if('Point Intercept 1'!E657 = 'Point Intercept 2'!E657, 'Point Intercept 1'!E657, "ERROR")</f>
        <v>VB</v>
      </c>
      <c r="F657" s="9">
        <f>if('Point Intercept 1'!F657 = 'Point Intercept 2'!F657, 'Point Intercept 1'!F657, "ERROR")</f>
        <v>1</v>
      </c>
      <c r="G657" s="9" t="str">
        <f>if('Point Intercept 1'!G657 = 'Point Intercept 2'!G657, 'Point Intercept 1'!G657, "ERROR")</f>
        <v>SU</v>
      </c>
      <c r="H657" s="9">
        <f>if('Point Intercept 1'!I657 = 'Point Intercept 2'!I657, 'Point Intercept 1'!I657, "ERROR")</f>
        <v>9</v>
      </c>
      <c r="I657" s="9">
        <f>if('Point Intercept 1'!H657 = 'Point Intercept 2'!H657, 'Point Intercept 1'!H657, "ERROR")</f>
        <v>2</v>
      </c>
      <c r="J657" s="9">
        <f>if('Point Intercept 1'!J657 = 'Point Intercept 2'!J657, 'Point Intercept 1'!J657, "ERROR")</f>
        <v>7</v>
      </c>
      <c r="K657" s="9" t="str">
        <f>if('Point Intercept 1'!K657 = 'Point Intercept 2'!K657, 'Point Intercept 1'!K657, "ERROR")</f>
        <v>EROMOS</v>
      </c>
      <c r="L657" s="9" t="str">
        <f>if('Point Intercept 1'!L657 = 'Point Intercept 2'!L657, 'Point Intercept 1'!L657, "ERROR")</f>
        <v>Erodium moschatum</v>
      </c>
    </row>
    <row r="658">
      <c r="A658" s="9">
        <f>if('Point Intercept 1'!A658 = 'Point Intercept 2'!A658, 'Point Intercept 1'!A658, "ERROR")</f>
        <v>7</v>
      </c>
      <c r="B658" s="9">
        <f>if('Point Intercept 1'!B658 = 'Point Intercept 2'!B658, 'Point Intercept 1'!B658, "ERROR")</f>
        <v>2025</v>
      </c>
      <c r="C658" s="14">
        <f>if('Point Intercept 1'!C658 = 'Point Intercept 2'!C658, 'Point Intercept 1'!C658, "ERROR")</f>
        <v>45764</v>
      </c>
      <c r="D658" s="9" t="str">
        <f>if('Point Intercept 1'!D658 = 'Point Intercept 2'!D658, 'Point Intercept 1'!D658, "ERROR")</f>
        <v>ERROR</v>
      </c>
      <c r="E658" s="9" t="str">
        <f>if('Point Intercept 1'!E658 = 'Point Intercept 2'!E658, 'Point Intercept 1'!E658, "ERROR")</f>
        <v>VB</v>
      </c>
      <c r="F658" s="9">
        <f>if('Point Intercept 1'!F658 = 'Point Intercept 2'!F658, 'Point Intercept 1'!F658, "ERROR")</f>
        <v>1</v>
      </c>
      <c r="G658" s="9" t="str">
        <f>if('Point Intercept 1'!G658 = 'Point Intercept 2'!G658, 'Point Intercept 1'!G658, "ERROR")</f>
        <v>SU</v>
      </c>
      <c r="H658" s="9">
        <f>if('Point Intercept 1'!I658 = 'Point Intercept 2'!I658, 'Point Intercept 1'!I658, "ERROR")</f>
        <v>10</v>
      </c>
      <c r="I658" s="9">
        <f>if('Point Intercept 1'!H658 = 'Point Intercept 2'!H658, 'Point Intercept 1'!H658, "ERROR")</f>
        <v>2</v>
      </c>
      <c r="J658" s="9">
        <f>if('Point Intercept 1'!J658 = 'Point Intercept 2'!J658, 'Point Intercept 1'!J658, "ERROR")</f>
        <v>8</v>
      </c>
      <c r="K658" s="9" t="str">
        <f>if('Point Intercept 1'!K658 = 'Point Intercept 2'!K658, 'Point Intercept 1'!K658, "ERROR")</f>
        <v>L</v>
      </c>
      <c r="L658" s="9" t="str">
        <f>if('Point Intercept 1'!L658 = 'Point Intercept 2'!L658, 'Point Intercept 1'!L658, "ERROR")</f>
        <v>Litter</v>
      </c>
    </row>
    <row r="659">
      <c r="A659" s="9">
        <f>if('Point Intercept 1'!A659 = 'Point Intercept 2'!A659, 'Point Intercept 1'!A659, "ERROR")</f>
        <v>7</v>
      </c>
      <c r="B659" s="9">
        <f>if('Point Intercept 1'!B659 = 'Point Intercept 2'!B659, 'Point Intercept 1'!B659, "ERROR")</f>
        <v>2025</v>
      </c>
      <c r="C659" s="14">
        <f>if('Point Intercept 1'!C659 = 'Point Intercept 2'!C659, 'Point Intercept 1'!C659, "ERROR")</f>
        <v>45764</v>
      </c>
      <c r="D659" s="9" t="str">
        <f>if('Point Intercept 1'!D659 = 'Point Intercept 2'!D659, 'Point Intercept 1'!D659, "ERROR")</f>
        <v>ERROR</v>
      </c>
      <c r="E659" s="9" t="str">
        <f>if('Point Intercept 1'!E659 = 'Point Intercept 2'!E659, 'Point Intercept 1'!E659, "ERROR")</f>
        <v>VB</v>
      </c>
      <c r="F659" s="9">
        <f>if('Point Intercept 1'!F659 = 'Point Intercept 2'!F659, 'Point Intercept 1'!F659, "ERROR")</f>
        <v>1</v>
      </c>
      <c r="G659" s="9" t="str">
        <f>if('Point Intercept 1'!G659 = 'Point Intercept 2'!G659, 'Point Intercept 1'!G659, "ERROR")</f>
        <v>SU</v>
      </c>
      <c r="H659" s="9">
        <f>if('Point Intercept 1'!I659 = 'Point Intercept 2'!I659, 'Point Intercept 1'!I659, "ERROR")</f>
        <v>10</v>
      </c>
      <c r="I659" s="9">
        <f>if('Point Intercept 1'!H659 = 'Point Intercept 2'!H659, 'Point Intercept 1'!H659, "ERROR")</f>
        <v>2</v>
      </c>
      <c r="J659" s="9">
        <f>if('Point Intercept 1'!J659 = 'Point Intercept 2'!J659, 'Point Intercept 1'!J659, "ERROR")</f>
        <v>8</v>
      </c>
      <c r="K659" s="9" t="str">
        <f>if('Point Intercept 1'!K659 = 'Point Intercept 2'!K659, 'Point Intercept 1'!K659, "ERROR")</f>
        <v>EROMOS</v>
      </c>
      <c r="L659" s="9" t="str">
        <f>if('Point Intercept 1'!L659 = 'Point Intercept 2'!L659, 'Point Intercept 1'!L659, "ERROR")</f>
        <v>Erodium moschatum</v>
      </c>
    </row>
    <row r="660">
      <c r="A660" s="9">
        <f>if('Point Intercept 1'!A660 = 'Point Intercept 2'!A660, 'Point Intercept 1'!A660, "ERROR")</f>
        <v>7</v>
      </c>
      <c r="B660" s="9">
        <f>if('Point Intercept 1'!B660 = 'Point Intercept 2'!B660, 'Point Intercept 1'!B660, "ERROR")</f>
        <v>2025</v>
      </c>
      <c r="C660" s="14">
        <f>if('Point Intercept 1'!C660 = 'Point Intercept 2'!C660, 'Point Intercept 1'!C660, "ERROR")</f>
        <v>45764</v>
      </c>
      <c r="D660" s="9" t="str">
        <f>if('Point Intercept 1'!D660 = 'Point Intercept 2'!D660, 'Point Intercept 1'!D660, "ERROR")</f>
        <v>ERROR</v>
      </c>
      <c r="E660" s="9" t="str">
        <f>if('Point Intercept 1'!E660 = 'Point Intercept 2'!E660, 'Point Intercept 1'!E660, "ERROR")</f>
        <v>VB</v>
      </c>
      <c r="F660" s="9">
        <f>if('Point Intercept 1'!F660 = 'Point Intercept 2'!F660, 'Point Intercept 1'!F660, "ERROR")</f>
        <v>1</v>
      </c>
      <c r="G660" s="9" t="str">
        <f>if('Point Intercept 1'!G660 = 'Point Intercept 2'!G660, 'Point Intercept 1'!G660, "ERROR")</f>
        <v>SU</v>
      </c>
      <c r="H660" s="9">
        <f>if('Point Intercept 1'!I660 = 'Point Intercept 2'!I660, 'Point Intercept 1'!I660, "ERROR")</f>
        <v>10</v>
      </c>
      <c r="I660" s="9">
        <f>if('Point Intercept 1'!H660 = 'Point Intercept 2'!H660, 'Point Intercept 1'!H660, "ERROR")</f>
        <v>2</v>
      </c>
      <c r="J660" s="9">
        <f>if('Point Intercept 1'!J660 = 'Point Intercept 2'!J660, 'Point Intercept 1'!J660, "ERROR")</f>
        <v>8</v>
      </c>
      <c r="K660" s="9" t="str">
        <f>if('Point Intercept 1'!K660 = 'Point Intercept 2'!K660, 'Point Intercept 1'!K660, "ERROR")</f>
        <v>STEDIE</v>
      </c>
      <c r="L660" s="9" t="str">
        <f>if('Point Intercept 1'!L660 = 'Point Intercept 2'!L660, 'Point Intercept 1'!L660, "ERROR")</f>
        <v>Stephanomeria diegensis</v>
      </c>
    </row>
    <row r="661">
      <c r="A661" s="9">
        <f>if('Point Intercept 1'!A661 = 'Point Intercept 2'!A661, 'Point Intercept 1'!A661, "ERROR")</f>
        <v>7</v>
      </c>
      <c r="B661" s="9">
        <f>if('Point Intercept 1'!B661 = 'Point Intercept 2'!B661, 'Point Intercept 1'!B661, "ERROR")</f>
        <v>2025</v>
      </c>
      <c r="C661" s="14">
        <f>if('Point Intercept 1'!C661 = 'Point Intercept 2'!C661, 'Point Intercept 1'!C661, "ERROR")</f>
        <v>45764</v>
      </c>
      <c r="D661" s="9" t="str">
        <f>if('Point Intercept 1'!D661 = 'Point Intercept 2'!D661, 'Point Intercept 1'!D661, "ERROR")</f>
        <v>ERROR</v>
      </c>
      <c r="E661" s="9" t="str">
        <f>if('Point Intercept 1'!E661 = 'Point Intercept 2'!E661, 'Point Intercept 1'!E661, "ERROR")</f>
        <v>VB</v>
      </c>
      <c r="F661" s="9">
        <f>if('Point Intercept 1'!F661 = 'Point Intercept 2'!F661, 'Point Intercept 1'!F661, "ERROR")</f>
        <v>1</v>
      </c>
      <c r="G661" s="9" t="str">
        <f>if('Point Intercept 1'!G661 = 'Point Intercept 2'!G661, 'Point Intercept 1'!G661, "ERROR")</f>
        <v>SU</v>
      </c>
      <c r="H661" s="9">
        <f>if('Point Intercept 1'!I661 = 'Point Intercept 2'!I661, 'Point Intercept 1'!I661, "ERROR")</f>
        <v>11</v>
      </c>
      <c r="I661" s="9">
        <f>if('Point Intercept 1'!H661 = 'Point Intercept 2'!H661, 'Point Intercept 1'!H661, "ERROR")</f>
        <v>2</v>
      </c>
      <c r="J661" s="9">
        <f>if('Point Intercept 1'!J661 = 'Point Intercept 2'!J661, 'Point Intercept 1'!J661, "ERROR")</f>
        <v>8.5</v>
      </c>
      <c r="K661" s="9" t="str">
        <f>if('Point Intercept 1'!K661 = 'Point Intercept 2'!K661, 'Point Intercept 1'!K661, "ERROR")</f>
        <v>L</v>
      </c>
      <c r="L661" s="9" t="str">
        <f>if('Point Intercept 1'!L661 = 'Point Intercept 2'!L661, 'Point Intercept 1'!L661, "ERROR")</f>
        <v>Litter</v>
      </c>
    </row>
    <row r="662">
      <c r="A662" s="9">
        <f>if('Point Intercept 1'!A662 = 'Point Intercept 2'!A662, 'Point Intercept 1'!A662, "ERROR")</f>
        <v>7</v>
      </c>
      <c r="B662" s="9">
        <f>if('Point Intercept 1'!B662 = 'Point Intercept 2'!B662, 'Point Intercept 1'!B662, "ERROR")</f>
        <v>2025</v>
      </c>
      <c r="C662" s="14">
        <f>if('Point Intercept 1'!C662 = 'Point Intercept 2'!C662, 'Point Intercept 1'!C662, "ERROR")</f>
        <v>45764</v>
      </c>
      <c r="D662" s="9" t="str">
        <f>if('Point Intercept 1'!D662 = 'Point Intercept 2'!D662, 'Point Intercept 1'!D662, "ERROR")</f>
        <v>ERROR</v>
      </c>
      <c r="E662" s="9" t="str">
        <f>if('Point Intercept 1'!E662 = 'Point Intercept 2'!E662, 'Point Intercept 1'!E662, "ERROR")</f>
        <v>VB</v>
      </c>
      <c r="F662" s="9">
        <f>if('Point Intercept 1'!F662 = 'Point Intercept 2'!F662, 'Point Intercept 1'!F662, "ERROR")</f>
        <v>1</v>
      </c>
      <c r="G662" s="9" t="str">
        <f>if('Point Intercept 1'!G662 = 'Point Intercept 2'!G662, 'Point Intercept 1'!G662, "ERROR")</f>
        <v>SU</v>
      </c>
      <c r="H662" s="9">
        <f>if('Point Intercept 1'!I662 = 'Point Intercept 2'!I662, 'Point Intercept 1'!I662, "ERROR")</f>
        <v>11</v>
      </c>
      <c r="I662" s="9">
        <f>if('Point Intercept 1'!H662 = 'Point Intercept 2'!H662, 'Point Intercept 1'!H662, "ERROR")</f>
        <v>2</v>
      </c>
      <c r="J662" s="9">
        <f>if('Point Intercept 1'!J662 = 'Point Intercept 2'!J662, 'Point Intercept 1'!J662, "ERROR")</f>
        <v>8.5</v>
      </c>
      <c r="K662" s="9" t="str">
        <f>if('Point Intercept 1'!K662 = 'Point Intercept 2'!K662, 'Point Intercept 1'!K662, "ERROR")</f>
        <v>CENMEL</v>
      </c>
      <c r="L662" s="9" t="str">
        <f>if('Point Intercept 1'!L662 = 'Point Intercept 2'!L662, 'Point Intercept 1'!L662, "ERROR")</f>
        <v>Centaurea melitensis</v>
      </c>
    </row>
    <row r="663">
      <c r="A663" s="9">
        <f>if('Point Intercept 1'!A663 = 'Point Intercept 2'!A663, 'Point Intercept 1'!A663, "ERROR")</f>
        <v>7</v>
      </c>
      <c r="B663" s="9">
        <f>if('Point Intercept 1'!B663 = 'Point Intercept 2'!B663, 'Point Intercept 1'!B663, "ERROR")</f>
        <v>2025</v>
      </c>
      <c r="C663" s="14">
        <f>if('Point Intercept 1'!C663 = 'Point Intercept 2'!C663, 'Point Intercept 1'!C663, "ERROR")</f>
        <v>45764</v>
      </c>
      <c r="D663" s="9" t="str">
        <f>if('Point Intercept 1'!D663 = 'Point Intercept 2'!D663, 'Point Intercept 1'!D663, "ERROR")</f>
        <v>ERROR</v>
      </c>
      <c r="E663" s="9" t="str">
        <f>if('Point Intercept 1'!E663 = 'Point Intercept 2'!E663, 'Point Intercept 1'!E663, "ERROR")</f>
        <v>VB</v>
      </c>
      <c r="F663" s="9">
        <f>if('Point Intercept 1'!F663 = 'Point Intercept 2'!F663, 'Point Intercept 1'!F663, "ERROR")</f>
        <v>1</v>
      </c>
      <c r="G663" s="9" t="str">
        <f>if('Point Intercept 1'!G663 = 'Point Intercept 2'!G663, 'Point Intercept 1'!G663, "ERROR")</f>
        <v>SU</v>
      </c>
      <c r="H663" s="9">
        <f>if('Point Intercept 1'!I663 = 'Point Intercept 2'!I663, 'Point Intercept 1'!I663, "ERROR")</f>
        <v>11</v>
      </c>
      <c r="I663" s="9">
        <f>if('Point Intercept 1'!H663 = 'Point Intercept 2'!H663, 'Point Intercept 1'!H663, "ERROR")</f>
        <v>2</v>
      </c>
      <c r="J663" s="9">
        <f>if('Point Intercept 1'!J663 = 'Point Intercept 2'!J663, 'Point Intercept 1'!J663, "ERROR")</f>
        <v>8.5</v>
      </c>
      <c r="K663" s="9" t="str">
        <f>if('Point Intercept 1'!K663 = 'Point Intercept 2'!K663, 'Point Intercept 1'!K663, "ERROR")</f>
        <v>BROMAD</v>
      </c>
      <c r="L663" s="9" t="str">
        <f>if('Point Intercept 1'!L663 = 'Point Intercept 2'!L663, 'Point Intercept 1'!L663, "ERROR")</f>
        <v>Bromus madritensis</v>
      </c>
    </row>
    <row r="664">
      <c r="A664" s="9">
        <f>if('Point Intercept 1'!A664 = 'Point Intercept 2'!A664, 'Point Intercept 1'!A664, "ERROR")</f>
        <v>7</v>
      </c>
      <c r="B664" s="9">
        <f>if('Point Intercept 1'!B664 = 'Point Intercept 2'!B664, 'Point Intercept 1'!B664, "ERROR")</f>
        <v>2025</v>
      </c>
      <c r="C664" s="14">
        <f>if('Point Intercept 1'!C664 = 'Point Intercept 2'!C664, 'Point Intercept 1'!C664, "ERROR")</f>
        <v>45764</v>
      </c>
      <c r="D664" s="9" t="str">
        <f>if('Point Intercept 1'!D664 = 'Point Intercept 2'!D664, 'Point Intercept 1'!D664, "ERROR")</f>
        <v>ERROR</v>
      </c>
      <c r="E664" s="9" t="str">
        <f>if('Point Intercept 1'!E664 = 'Point Intercept 2'!E664, 'Point Intercept 1'!E664, "ERROR")</f>
        <v>VB</v>
      </c>
      <c r="F664" s="9">
        <f>if('Point Intercept 1'!F664 = 'Point Intercept 2'!F664, 'Point Intercept 1'!F664, "ERROR")</f>
        <v>1</v>
      </c>
      <c r="G664" s="9" t="str">
        <f>if('Point Intercept 1'!G664 = 'Point Intercept 2'!G664, 'Point Intercept 1'!G664, "ERROR")</f>
        <v>SU</v>
      </c>
      <c r="H664" s="9">
        <f>if('Point Intercept 1'!I664 = 'Point Intercept 2'!I664, 'Point Intercept 1'!I664, "ERROR")</f>
        <v>12</v>
      </c>
      <c r="I664" s="9">
        <f>if('Point Intercept 1'!H664 = 'Point Intercept 2'!H664, 'Point Intercept 1'!H664, "ERROR")</f>
        <v>2</v>
      </c>
      <c r="J664" s="9">
        <f>if('Point Intercept 1'!J664 = 'Point Intercept 2'!J664, 'Point Intercept 1'!J664, "ERROR")</f>
        <v>9</v>
      </c>
      <c r="K664" s="9" t="str">
        <f>if('Point Intercept 1'!K664 = 'Point Intercept 2'!K664, 'Point Intercept 1'!K664, "ERROR")</f>
        <v>L</v>
      </c>
      <c r="L664" s="9" t="str">
        <f>if('Point Intercept 1'!L664 = 'Point Intercept 2'!L664, 'Point Intercept 1'!L664, "ERROR")</f>
        <v>Litter</v>
      </c>
    </row>
    <row r="665">
      <c r="A665" s="9">
        <f>if('Point Intercept 1'!A665 = 'Point Intercept 2'!A665, 'Point Intercept 1'!A665, "ERROR")</f>
        <v>7</v>
      </c>
      <c r="B665" s="9">
        <f>if('Point Intercept 1'!B665 = 'Point Intercept 2'!B665, 'Point Intercept 1'!B665, "ERROR")</f>
        <v>2025</v>
      </c>
      <c r="C665" s="14">
        <f>if('Point Intercept 1'!C665 = 'Point Intercept 2'!C665, 'Point Intercept 1'!C665, "ERROR")</f>
        <v>45764</v>
      </c>
      <c r="D665" s="9" t="str">
        <f>if('Point Intercept 1'!D665 = 'Point Intercept 2'!D665, 'Point Intercept 1'!D665, "ERROR")</f>
        <v>ERROR</v>
      </c>
      <c r="E665" s="9" t="str">
        <f>if('Point Intercept 1'!E665 = 'Point Intercept 2'!E665, 'Point Intercept 1'!E665, "ERROR")</f>
        <v>VB</v>
      </c>
      <c r="F665" s="9">
        <f>if('Point Intercept 1'!F665 = 'Point Intercept 2'!F665, 'Point Intercept 1'!F665, "ERROR")</f>
        <v>1</v>
      </c>
      <c r="G665" s="9" t="str">
        <f>if('Point Intercept 1'!G665 = 'Point Intercept 2'!G665, 'Point Intercept 1'!G665, "ERROR")</f>
        <v>SU</v>
      </c>
      <c r="H665" s="9">
        <f>if('Point Intercept 1'!I665 = 'Point Intercept 2'!I665, 'Point Intercept 1'!I665, "ERROR")</f>
        <v>12</v>
      </c>
      <c r="I665" s="9">
        <f>if('Point Intercept 1'!H665 = 'Point Intercept 2'!H665, 'Point Intercept 1'!H665, "ERROR")</f>
        <v>2</v>
      </c>
      <c r="J665" s="9">
        <f>if('Point Intercept 1'!J665 = 'Point Intercept 2'!J665, 'Point Intercept 1'!J665, "ERROR")</f>
        <v>9</v>
      </c>
      <c r="K665" s="9" t="str">
        <f>if('Point Intercept 1'!K665 = 'Point Intercept 2'!K665, 'Point Intercept 1'!K665, "ERROR")</f>
        <v>DEIFAS</v>
      </c>
      <c r="L665" s="9" t="str">
        <f>if('Point Intercept 1'!L665 = 'Point Intercept 2'!L665, 'Point Intercept 1'!L665, "ERROR")</f>
        <v>Deinandra fasciculata</v>
      </c>
    </row>
    <row r="666">
      <c r="A666" s="9">
        <f>if('Point Intercept 1'!A666 = 'Point Intercept 2'!A666, 'Point Intercept 1'!A666, "ERROR")</f>
        <v>7</v>
      </c>
      <c r="B666" s="9">
        <f>if('Point Intercept 1'!B666 = 'Point Intercept 2'!B666, 'Point Intercept 1'!B666, "ERROR")</f>
        <v>2025</v>
      </c>
      <c r="C666" s="14">
        <f>if('Point Intercept 1'!C666 = 'Point Intercept 2'!C666, 'Point Intercept 1'!C666, "ERROR")</f>
        <v>45764</v>
      </c>
      <c r="D666" s="9" t="str">
        <f>if('Point Intercept 1'!D666 = 'Point Intercept 2'!D666, 'Point Intercept 1'!D666, "ERROR")</f>
        <v>ERROR</v>
      </c>
      <c r="E666" s="9" t="str">
        <f>if('Point Intercept 1'!E666 = 'Point Intercept 2'!E666, 'Point Intercept 1'!E666, "ERROR")</f>
        <v>VB</v>
      </c>
      <c r="F666" s="9">
        <f>if('Point Intercept 1'!F666 = 'Point Intercept 2'!F666, 'Point Intercept 1'!F666, "ERROR")</f>
        <v>1</v>
      </c>
      <c r="G666" s="9" t="str">
        <f>if('Point Intercept 1'!G666 = 'Point Intercept 2'!G666, 'Point Intercept 1'!G666, "ERROR")</f>
        <v>SU</v>
      </c>
      <c r="H666" s="9">
        <f>if('Point Intercept 1'!I666 = 'Point Intercept 2'!I666, 'Point Intercept 1'!I666, "ERROR")</f>
        <v>12</v>
      </c>
      <c r="I666" s="9">
        <f>if('Point Intercept 1'!H666 = 'Point Intercept 2'!H666, 'Point Intercept 1'!H666, "ERROR")</f>
        <v>2</v>
      </c>
      <c r="J666" s="9">
        <f>if('Point Intercept 1'!J666 = 'Point Intercept 2'!J666, 'Point Intercept 1'!J666, "ERROR")</f>
        <v>9</v>
      </c>
      <c r="K666" s="9" t="str">
        <f>if('Point Intercept 1'!K666 = 'Point Intercept 2'!K666, 'Point Intercept 1'!K666, "ERROR")</f>
        <v>MEDPOL</v>
      </c>
      <c r="L666" s="9" t="str">
        <f>if('Point Intercept 1'!L666 = 'Point Intercept 2'!L666, 'Point Intercept 1'!L666, "ERROR")</f>
        <v>Medicago polymorpha</v>
      </c>
    </row>
    <row r="667">
      <c r="A667" s="9">
        <f>if('Point Intercept 1'!A667 = 'Point Intercept 2'!A667, 'Point Intercept 1'!A667, "ERROR")</f>
        <v>7</v>
      </c>
      <c r="B667" s="9">
        <f>if('Point Intercept 1'!B667 = 'Point Intercept 2'!B667, 'Point Intercept 1'!B667, "ERROR")</f>
        <v>2025</v>
      </c>
      <c r="C667" s="14">
        <f>if('Point Intercept 1'!C667 = 'Point Intercept 2'!C667, 'Point Intercept 1'!C667, "ERROR")</f>
        <v>45764</v>
      </c>
      <c r="D667" s="9" t="str">
        <f>if('Point Intercept 1'!D667 = 'Point Intercept 2'!D667, 'Point Intercept 1'!D667, "ERROR")</f>
        <v>ERROR</v>
      </c>
      <c r="E667" s="9" t="str">
        <f>if('Point Intercept 1'!E667 = 'Point Intercept 2'!E667, 'Point Intercept 1'!E667, "ERROR")</f>
        <v>VB</v>
      </c>
      <c r="F667" s="9">
        <f>if('Point Intercept 1'!F667 = 'Point Intercept 2'!F667, 'Point Intercept 1'!F667, "ERROR")</f>
        <v>1</v>
      </c>
      <c r="G667" s="9" t="str">
        <f>if('Point Intercept 1'!G667 = 'Point Intercept 2'!G667, 'Point Intercept 1'!G667, "ERROR")</f>
        <v>SU</v>
      </c>
      <c r="H667" s="9">
        <f>if('Point Intercept 1'!I667 = 'Point Intercept 2'!I667, 'Point Intercept 1'!I667, "ERROR")</f>
        <v>13</v>
      </c>
      <c r="I667" s="9">
        <f>if('Point Intercept 1'!H667 = 'Point Intercept 2'!H667, 'Point Intercept 1'!H667, "ERROR")</f>
        <v>2</v>
      </c>
      <c r="J667" s="9">
        <f>if('Point Intercept 1'!J667 = 'Point Intercept 2'!J667, 'Point Intercept 1'!J667, "ERROR")</f>
        <v>10</v>
      </c>
      <c r="K667" s="9" t="str">
        <f>if('Point Intercept 1'!K667 = 'Point Intercept 2'!K667, 'Point Intercept 1'!K667, "ERROR")</f>
        <v>L</v>
      </c>
      <c r="L667" s="9" t="str">
        <f>if('Point Intercept 1'!L667 = 'Point Intercept 2'!L667, 'Point Intercept 1'!L667, "ERROR")</f>
        <v>Litter</v>
      </c>
    </row>
    <row r="668">
      <c r="A668" s="9">
        <f>if('Point Intercept 1'!A668 = 'Point Intercept 2'!A668, 'Point Intercept 1'!A668, "ERROR")</f>
        <v>7</v>
      </c>
      <c r="B668" s="9">
        <f>if('Point Intercept 1'!B668 = 'Point Intercept 2'!B668, 'Point Intercept 1'!B668, "ERROR")</f>
        <v>2025</v>
      </c>
      <c r="C668" s="14">
        <f>if('Point Intercept 1'!C668 = 'Point Intercept 2'!C668, 'Point Intercept 1'!C668, "ERROR")</f>
        <v>45764</v>
      </c>
      <c r="D668" s="9" t="str">
        <f>if('Point Intercept 1'!D668 = 'Point Intercept 2'!D668, 'Point Intercept 1'!D668, "ERROR")</f>
        <v>ERROR</v>
      </c>
      <c r="E668" s="9" t="str">
        <f>if('Point Intercept 1'!E668 = 'Point Intercept 2'!E668, 'Point Intercept 1'!E668, "ERROR")</f>
        <v>VB</v>
      </c>
      <c r="F668" s="9">
        <f>if('Point Intercept 1'!F668 = 'Point Intercept 2'!F668, 'Point Intercept 1'!F668, "ERROR")</f>
        <v>1</v>
      </c>
      <c r="G668" s="9" t="str">
        <f>if('Point Intercept 1'!G668 = 'Point Intercept 2'!G668, 'Point Intercept 1'!G668, "ERROR")</f>
        <v>SU</v>
      </c>
      <c r="H668" s="9">
        <f>if('Point Intercept 1'!I668 = 'Point Intercept 2'!I668, 'Point Intercept 1'!I668, "ERROR")</f>
        <v>14</v>
      </c>
      <c r="I668" s="9">
        <f>if('Point Intercept 1'!H668 = 'Point Intercept 2'!H668, 'Point Intercept 1'!H668, "ERROR")</f>
        <v>2</v>
      </c>
      <c r="J668" s="9">
        <f>if('Point Intercept 1'!J668 = 'Point Intercept 2'!J668, 'Point Intercept 1'!J668, "ERROR")</f>
        <v>11</v>
      </c>
      <c r="K668" s="9" t="str">
        <f>if('Point Intercept 1'!K668 = 'Point Intercept 2'!K668, 'Point Intercept 1'!K668, "ERROR")</f>
        <v>L</v>
      </c>
      <c r="L668" s="9" t="str">
        <f>if('Point Intercept 1'!L668 = 'Point Intercept 2'!L668, 'Point Intercept 1'!L668, "ERROR")</f>
        <v>Litter</v>
      </c>
    </row>
    <row r="669">
      <c r="A669" s="9">
        <f>if('Point Intercept 1'!A669 = 'Point Intercept 2'!A669, 'Point Intercept 1'!A669, "ERROR")</f>
        <v>7</v>
      </c>
      <c r="B669" s="9">
        <f>if('Point Intercept 1'!B669 = 'Point Intercept 2'!B669, 'Point Intercept 1'!B669, "ERROR")</f>
        <v>2025</v>
      </c>
      <c r="C669" s="14">
        <f>if('Point Intercept 1'!C669 = 'Point Intercept 2'!C669, 'Point Intercept 1'!C669, "ERROR")</f>
        <v>45764</v>
      </c>
      <c r="D669" s="9" t="str">
        <f>if('Point Intercept 1'!D669 = 'Point Intercept 2'!D669, 'Point Intercept 1'!D669, "ERROR")</f>
        <v>ERROR</v>
      </c>
      <c r="E669" s="9" t="str">
        <f>if('Point Intercept 1'!E669 = 'Point Intercept 2'!E669, 'Point Intercept 1'!E669, "ERROR")</f>
        <v>VB</v>
      </c>
      <c r="F669" s="9">
        <f>if('Point Intercept 1'!F669 = 'Point Intercept 2'!F669, 'Point Intercept 1'!F669, "ERROR")</f>
        <v>1</v>
      </c>
      <c r="G669" s="9" t="str">
        <f>if('Point Intercept 1'!G669 = 'Point Intercept 2'!G669, 'Point Intercept 1'!G669, "ERROR")</f>
        <v>SU</v>
      </c>
      <c r="H669" s="9">
        <f>if('Point Intercept 1'!I669 = 'Point Intercept 2'!I669, 'Point Intercept 1'!I669, "ERROR")</f>
        <v>14</v>
      </c>
      <c r="I669" s="9">
        <f>if('Point Intercept 1'!H669 = 'Point Intercept 2'!H669, 'Point Intercept 1'!H669, "ERROR")</f>
        <v>2</v>
      </c>
      <c r="J669" s="9">
        <f>if('Point Intercept 1'!J669 = 'Point Intercept 2'!J669, 'Point Intercept 1'!J669, "ERROR")</f>
        <v>11</v>
      </c>
      <c r="K669" s="9" t="str">
        <f>if('Point Intercept 1'!K669 = 'Point Intercept 2'!K669, 'Point Intercept 1'!K669, "ERROR")</f>
        <v>DEIFAS</v>
      </c>
      <c r="L669" s="9" t="str">
        <f>if('Point Intercept 1'!L669 = 'Point Intercept 2'!L669, 'Point Intercept 1'!L669, "ERROR")</f>
        <v>Deinandra fasciculata</v>
      </c>
    </row>
    <row r="670">
      <c r="A670" s="9">
        <f>if('Point Intercept 1'!A670 = 'Point Intercept 2'!A670, 'Point Intercept 1'!A670, "ERROR")</f>
        <v>7</v>
      </c>
      <c r="B670" s="9">
        <f>if('Point Intercept 1'!B670 = 'Point Intercept 2'!B670, 'Point Intercept 1'!B670, "ERROR")</f>
        <v>2025</v>
      </c>
      <c r="C670" s="14">
        <f>if('Point Intercept 1'!C670 = 'Point Intercept 2'!C670, 'Point Intercept 1'!C670, "ERROR")</f>
        <v>45764</v>
      </c>
      <c r="D670" s="9" t="str">
        <f>if('Point Intercept 1'!D670 = 'Point Intercept 2'!D670, 'Point Intercept 1'!D670, "ERROR")</f>
        <v>ERROR</v>
      </c>
      <c r="E670" s="9" t="str">
        <f>if('Point Intercept 1'!E670 = 'Point Intercept 2'!E670, 'Point Intercept 1'!E670, "ERROR")</f>
        <v>VB</v>
      </c>
      <c r="F670" s="9">
        <f>if('Point Intercept 1'!F670 = 'Point Intercept 2'!F670, 'Point Intercept 1'!F670, "ERROR")</f>
        <v>1</v>
      </c>
      <c r="G670" s="9" t="str">
        <f>if('Point Intercept 1'!G670 = 'Point Intercept 2'!G670, 'Point Intercept 1'!G670, "ERROR")</f>
        <v>SU</v>
      </c>
      <c r="H670" s="9">
        <f>if('Point Intercept 1'!I670 = 'Point Intercept 2'!I670, 'Point Intercept 1'!I670, "ERROR")</f>
        <v>14</v>
      </c>
      <c r="I670" s="9">
        <f>if('Point Intercept 1'!H670 = 'Point Intercept 2'!H670, 'Point Intercept 1'!H670, "ERROR")</f>
        <v>2</v>
      </c>
      <c r="J670" s="9">
        <f>if('Point Intercept 1'!J670 = 'Point Intercept 2'!J670, 'Point Intercept 1'!J670, "ERROR")</f>
        <v>11</v>
      </c>
      <c r="K670" s="9" t="str">
        <f>if('Point Intercept 1'!K670 = 'Point Intercept 2'!K670, 'Point Intercept 1'!K670, "ERROR")</f>
        <v>MEDPOL</v>
      </c>
      <c r="L670" s="9" t="str">
        <f>if('Point Intercept 1'!L670 = 'Point Intercept 2'!L670, 'Point Intercept 1'!L670, "ERROR")</f>
        <v>Medicago polymorpha</v>
      </c>
    </row>
    <row r="671">
      <c r="A671" s="9">
        <f>if('Point Intercept 1'!A671 = 'Point Intercept 2'!A671, 'Point Intercept 1'!A671, "ERROR")</f>
        <v>7</v>
      </c>
      <c r="B671" s="9">
        <f>if('Point Intercept 1'!B671 = 'Point Intercept 2'!B671, 'Point Intercept 1'!B671, "ERROR")</f>
        <v>2025</v>
      </c>
      <c r="C671" s="14">
        <f>if('Point Intercept 1'!C671 = 'Point Intercept 2'!C671, 'Point Intercept 1'!C671, "ERROR")</f>
        <v>45764</v>
      </c>
      <c r="D671" s="9" t="str">
        <f>if('Point Intercept 1'!D671 = 'Point Intercept 2'!D671, 'Point Intercept 1'!D671, "ERROR")</f>
        <v>ERROR</v>
      </c>
      <c r="E671" s="9" t="str">
        <f>if('Point Intercept 1'!E671 = 'Point Intercept 2'!E671, 'Point Intercept 1'!E671, "ERROR")</f>
        <v>VB</v>
      </c>
      <c r="F671" s="9">
        <f>if('Point Intercept 1'!F671 = 'Point Intercept 2'!F671, 'Point Intercept 1'!F671, "ERROR")</f>
        <v>1</v>
      </c>
      <c r="G671" s="9" t="str">
        <f>if('Point Intercept 1'!G671 = 'Point Intercept 2'!G671, 'Point Intercept 1'!G671, "ERROR")</f>
        <v>SU</v>
      </c>
      <c r="H671" s="9">
        <f>if('Point Intercept 1'!I671 = 'Point Intercept 2'!I671, 'Point Intercept 1'!I671, "ERROR")</f>
        <v>14</v>
      </c>
      <c r="I671" s="9">
        <f>if('Point Intercept 1'!H671 = 'Point Intercept 2'!H671, 'Point Intercept 1'!H671, "ERROR")</f>
        <v>2</v>
      </c>
      <c r="J671" s="9">
        <f>if('Point Intercept 1'!J671 = 'Point Intercept 2'!J671, 'Point Intercept 1'!J671, "ERROR")</f>
        <v>11</v>
      </c>
      <c r="K671" s="9" t="str">
        <f>if('Point Intercept 1'!K671 = 'Point Intercept 2'!K671, 'Point Intercept 1'!K671, "ERROR")</f>
        <v>UROLIN</v>
      </c>
      <c r="L671" s="9" t="str">
        <f>if('Point Intercept 1'!L671 = 'Point Intercept 2'!L671, 'Point Intercept 1'!L671, "ERROR")</f>
        <v>Uropappus lindleyi</v>
      </c>
    </row>
    <row r="672">
      <c r="A672" s="9">
        <f>if('Point Intercept 1'!A672 = 'Point Intercept 2'!A672, 'Point Intercept 1'!A672, "ERROR")</f>
        <v>7</v>
      </c>
      <c r="B672" s="9">
        <f>if('Point Intercept 1'!B672 = 'Point Intercept 2'!B672, 'Point Intercept 1'!B672, "ERROR")</f>
        <v>2025</v>
      </c>
      <c r="C672" s="14">
        <f>if('Point Intercept 1'!C672 = 'Point Intercept 2'!C672, 'Point Intercept 1'!C672, "ERROR")</f>
        <v>45764</v>
      </c>
      <c r="D672" s="9" t="str">
        <f>if('Point Intercept 1'!D672 = 'Point Intercept 2'!D672, 'Point Intercept 1'!D672, "ERROR")</f>
        <v>ERROR</v>
      </c>
      <c r="E672" s="9" t="str">
        <f>if('Point Intercept 1'!E672 = 'Point Intercept 2'!E672, 'Point Intercept 1'!E672, "ERROR")</f>
        <v>VB</v>
      </c>
      <c r="F672" s="9">
        <f>if('Point Intercept 1'!F672 = 'Point Intercept 2'!F672, 'Point Intercept 1'!F672, "ERROR")</f>
        <v>1</v>
      </c>
      <c r="G672" s="9" t="str">
        <f>if('Point Intercept 1'!G672 = 'Point Intercept 2'!G672, 'Point Intercept 1'!G672, "ERROR")</f>
        <v>SU</v>
      </c>
      <c r="H672" s="9">
        <f>if('Point Intercept 1'!I672 = 'Point Intercept 2'!I672, 'Point Intercept 1'!I672, "ERROR")</f>
        <v>15</v>
      </c>
      <c r="I672" s="9">
        <f>if('Point Intercept 1'!H672 = 'Point Intercept 2'!H672, 'Point Intercept 1'!H672, "ERROR")</f>
        <v>2</v>
      </c>
      <c r="J672" s="9">
        <f>if('Point Intercept 1'!J672 = 'Point Intercept 2'!J672, 'Point Intercept 1'!J672, "ERROR")</f>
        <v>12</v>
      </c>
      <c r="K672" s="9" t="str">
        <f>if('Point Intercept 1'!K672 = 'Point Intercept 2'!K672, 'Point Intercept 1'!K672, "ERROR")</f>
        <v>L</v>
      </c>
      <c r="L672" s="9" t="str">
        <f>if('Point Intercept 1'!L672 = 'Point Intercept 2'!L672, 'Point Intercept 1'!L672, "ERROR")</f>
        <v>Litter</v>
      </c>
    </row>
    <row r="673">
      <c r="A673" s="9">
        <f>if('Point Intercept 1'!A673 = 'Point Intercept 2'!A673, 'Point Intercept 1'!A673, "ERROR")</f>
        <v>7</v>
      </c>
      <c r="B673" s="9">
        <f>if('Point Intercept 1'!B673 = 'Point Intercept 2'!B673, 'Point Intercept 1'!B673, "ERROR")</f>
        <v>2025</v>
      </c>
      <c r="C673" s="14">
        <f>if('Point Intercept 1'!C673 = 'Point Intercept 2'!C673, 'Point Intercept 1'!C673, "ERROR")</f>
        <v>45764</v>
      </c>
      <c r="D673" s="9" t="str">
        <f>if('Point Intercept 1'!D673 = 'Point Intercept 2'!D673, 'Point Intercept 1'!D673, "ERROR")</f>
        <v>ERROR</v>
      </c>
      <c r="E673" s="9" t="str">
        <f>if('Point Intercept 1'!E673 = 'Point Intercept 2'!E673, 'Point Intercept 1'!E673, "ERROR")</f>
        <v>VB</v>
      </c>
      <c r="F673" s="9">
        <f>if('Point Intercept 1'!F673 = 'Point Intercept 2'!F673, 'Point Intercept 1'!F673, "ERROR")</f>
        <v>1</v>
      </c>
      <c r="G673" s="9" t="str">
        <f>if('Point Intercept 1'!G673 = 'Point Intercept 2'!G673, 'Point Intercept 1'!G673, "ERROR")</f>
        <v>SU</v>
      </c>
      <c r="H673" s="9">
        <f>if('Point Intercept 1'!I673 = 'Point Intercept 2'!I673, 'Point Intercept 1'!I673, "ERROR")</f>
        <v>15</v>
      </c>
      <c r="I673" s="9">
        <f>if('Point Intercept 1'!H673 = 'Point Intercept 2'!H673, 'Point Intercept 1'!H673, "ERROR")</f>
        <v>2</v>
      </c>
      <c r="J673" s="9">
        <f>if('Point Intercept 1'!J673 = 'Point Intercept 2'!J673, 'Point Intercept 1'!J673, "ERROR")</f>
        <v>12</v>
      </c>
      <c r="K673" s="9" t="str">
        <f>if('Point Intercept 1'!K673 = 'Point Intercept 2'!K673, 'Point Intercept 1'!K673, "ERROR")</f>
        <v>CENMEL</v>
      </c>
      <c r="L673" s="9" t="str">
        <f>if('Point Intercept 1'!L673 = 'Point Intercept 2'!L673, 'Point Intercept 1'!L673, "ERROR")</f>
        <v>Centaurea melitensis</v>
      </c>
    </row>
    <row r="674">
      <c r="A674" s="9">
        <f>if('Point Intercept 1'!A674 = 'Point Intercept 2'!A674, 'Point Intercept 1'!A674, "ERROR")</f>
        <v>7</v>
      </c>
      <c r="B674" s="9">
        <f>if('Point Intercept 1'!B674 = 'Point Intercept 2'!B674, 'Point Intercept 1'!B674, "ERROR")</f>
        <v>2025</v>
      </c>
      <c r="C674" s="14">
        <f>if('Point Intercept 1'!C674 = 'Point Intercept 2'!C674, 'Point Intercept 1'!C674, "ERROR")</f>
        <v>45764</v>
      </c>
      <c r="D674" s="9" t="str">
        <f>if('Point Intercept 1'!D674 = 'Point Intercept 2'!D674, 'Point Intercept 1'!D674, "ERROR")</f>
        <v>ERROR</v>
      </c>
      <c r="E674" s="9" t="str">
        <f>if('Point Intercept 1'!E674 = 'Point Intercept 2'!E674, 'Point Intercept 1'!E674, "ERROR")</f>
        <v>VB</v>
      </c>
      <c r="F674" s="9">
        <f>if('Point Intercept 1'!F674 = 'Point Intercept 2'!F674, 'Point Intercept 1'!F674, "ERROR")</f>
        <v>1</v>
      </c>
      <c r="G674" s="9" t="str">
        <f>if('Point Intercept 1'!G674 = 'Point Intercept 2'!G674, 'Point Intercept 1'!G674, "ERROR")</f>
        <v>SU</v>
      </c>
      <c r="H674" s="9">
        <f>if('Point Intercept 1'!I674 = 'Point Intercept 2'!I674, 'Point Intercept 1'!I674, "ERROR")</f>
        <v>15</v>
      </c>
      <c r="I674" s="9">
        <f>if('Point Intercept 1'!H674 = 'Point Intercept 2'!H674, 'Point Intercept 1'!H674, "ERROR")</f>
        <v>2</v>
      </c>
      <c r="J674" s="9">
        <f>if('Point Intercept 1'!J674 = 'Point Intercept 2'!J674, 'Point Intercept 1'!J674, "ERROR")</f>
        <v>12</v>
      </c>
      <c r="K674" s="9" t="str">
        <f>if('Point Intercept 1'!K674 = 'Point Intercept 2'!K674, 'Point Intercept 1'!K674, "ERROR")</f>
        <v>FESMYU</v>
      </c>
      <c r="L674" s="9" t="str">
        <f>if('Point Intercept 1'!L674 = 'Point Intercept 2'!L674, 'Point Intercept 1'!L674, "ERROR")</f>
        <v>Festuca myuros</v>
      </c>
    </row>
    <row r="675">
      <c r="A675" s="9">
        <f>if('Point Intercept 1'!A675 = 'Point Intercept 2'!A675, 'Point Intercept 1'!A675, "ERROR")</f>
        <v>7</v>
      </c>
      <c r="B675" s="9">
        <f>if('Point Intercept 1'!B675 = 'Point Intercept 2'!B675, 'Point Intercept 1'!B675, "ERROR")</f>
        <v>2025</v>
      </c>
      <c r="C675" s="14">
        <f>if('Point Intercept 1'!C675 = 'Point Intercept 2'!C675, 'Point Intercept 1'!C675, "ERROR")</f>
        <v>45764</v>
      </c>
      <c r="D675" s="9" t="str">
        <f>if('Point Intercept 1'!D675 = 'Point Intercept 2'!D675, 'Point Intercept 1'!D675, "ERROR")</f>
        <v>ERROR</v>
      </c>
      <c r="E675" s="9" t="str">
        <f>if('Point Intercept 1'!E675 = 'Point Intercept 2'!E675, 'Point Intercept 1'!E675, "ERROR")</f>
        <v>VB</v>
      </c>
      <c r="F675" s="9">
        <f>if('Point Intercept 1'!F675 = 'Point Intercept 2'!F675, 'Point Intercept 1'!F675, "ERROR")</f>
        <v>1</v>
      </c>
      <c r="G675" s="9" t="str">
        <f>if('Point Intercept 1'!G675 = 'Point Intercept 2'!G675, 'Point Intercept 1'!G675, "ERROR")</f>
        <v>SU</v>
      </c>
      <c r="H675" s="9">
        <f>if('Point Intercept 1'!I675 = 'Point Intercept 2'!I675, 'Point Intercept 1'!I675, "ERROR")</f>
        <v>15</v>
      </c>
      <c r="I675" s="9">
        <f>if('Point Intercept 1'!H675 = 'Point Intercept 2'!H675, 'Point Intercept 1'!H675, "ERROR")</f>
        <v>2</v>
      </c>
      <c r="J675" s="9">
        <f>if('Point Intercept 1'!J675 = 'Point Intercept 2'!J675, 'Point Intercept 1'!J675, "ERROR")</f>
        <v>12</v>
      </c>
      <c r="K675" s="9" t="str">
        <f>if('Point Intercept 1'!K675 = 'Point Intercept 2'!K675, 'Point Intercept 1'!K675, "ERROR")</f>
        <v>LASCAL</v>
      </c>
      <c r="L675" s="9" t="str">
        <f>if('Point Intercept 1'!L675 = 'Point Intercept 2'!L675, 'Point Intercept 1'!L675, "ERROR")</f>
        <v>Lasthenia californica</v>
      </c>
    </row>
    <row r="676">
      <c r="A676" s="9">
        <f>if('Point Intercept 1'!A676 = 'Point Intercept 2'!A676, 'Point Intercept 1'!A676, "ERROR")</f>
        <v>7</v>
      </c>
      <c r="B676" s="9">
        <f>if('Point Intercept 1'!B676 = 'Point Intercept 2'!B676, 'Point Intercept 1'!B676, "ERROR")</f>
        <v>2025</v>
      </c>
      <c r="C676" s="14">
        <f>if('Point Intercept 1'!C676 = 'Point Intercept 2'!C676, 'Point Intercept 1'!C676, "ERROR")</f>
        <v>45764</v>
      </c>
      <c r="D676" s="9" t="str">
        <f>if('Point Intercept 1'!D676 = 'Point Intercept 2'!D676, 'Point Intercept 1'!D676, "ERROR")</f>
        <v>ERROR</v>
      </c>
      <c r="E676" s="9" t="str">
        <f>if('Point Intercept 1'!E676 = 'Point Intercept 2'!E676, 'Point Intercept 1'!E676, "ERROR")</f>
        <v>VB</v>
      </c>
      <c r="F676" s="9">
        <f>if('Point Intercept 1'!F676 = 'Point Intercept 2'!F676, 'Point Intercept 1'!F676, "ERROR")</f>
        <v>1</v>
      </c>
      <c r="G676" s="9" t="str">
        <f>if('Point Intercept 1'!G676 = 'Point Intercept 2'!G676, 'Point Intercept 1'!G676, "ERROR")</f>
        <v>SU</v>
      </c>
      <c r="H676" s="9">
        <f>if('Point Intercept 1'!I676 = 'Point Intercept 2'!I676, 'Point Intercept 1'!I676, "ERROR")</f>
        <v>15</v>
      </c>
      <c r="I676" s="9">
        <f>if('Point Intercept 1'!H676 = 'Point Intercept 2'!H676, 'Point Intercept 1'!H676, "ERROR")</f>
        <v>2</v>
      </c>
      <c r="J676" s="9">
        <f>if('Point Intercept 1'!J676 = 'Point Intercept 2'!J676, 'Point Intercept 1'!J676, "ERROR")</f>
        <v>12</v>
      </c>
      <c r="K676" s="9" t="str">
        <f>if('Point Intercept 1'!K676 = 'Point Intercept 2'!K676, 'Point Intercept 1'!K676, "ERROR")</f>
        <v>EROMOS</v>
      </c>
      <c r="L676" s="9" t="str">
        <f>if('Point Intercept 1'!L676 = 'Point Intercept 2'!L676, 'Point Intercept 1'!L676, "ERROR")</f>
        <v>Erodium moschatum</v>
      </c>
    </row>
    <row r="677">
      <c r="A677" s="9">
        <f>if('Point Intercept 1'!A677 = 'Point Intercept 2'!A677, 'Point Intercept 1'!A677, "ERROR")</f>
        <v>8</v>
      </c>
      <c r="B677" s="9">
        <f>if('Point Intercept 1'!B677 = 'Point Intercept 2'!B677, 'Point Intercept 1'!B677, "ERROR")</f>
        <v>2025</v>
      </c>
      <c r="C677" s="14">
        <f>if('Point Intercept 1'!C677 = 'Point Intercept 2'!C677, 'Point Intercept 1'!C677, "ERROR")</f>
        <v>45764</v>
      </c>
      <c r="D677" s="9" t="str">
        <f>if('Point Intercept 1'!D677 = 'Point Intercept 2'!D677, 'Point Intercept 1'!D677, "ERROR")</f>
        <v>TL, BN, JR, AA</v>
      </c>
      <c r="E677" s="9" t="str">
        <f>if('Point Intercept 1'!E677 = 'Point Intercept 2'!E677, 'Point Intercept 1'!E677, "ERROR")</f>
        <v>VB</v>
      </c>
      <c r="F677" s="9">
        <f>if('Point Intercept 1'!F677 = 'Point Intercept 2'!F677, 'Point Intercept 1'!F677, "ERROR")</f>
        <v>1</v>
      </c>
      <c r="G677" s="9" t="str">
        <f>if('Point Intercept 1'!G677 = 'Point Intercept 2'!G677, 'Point Intercept 1'!G677, "ERROR")</f>
        <v>SS</v>
      </c>
      <c r="H677" s="9">
        <f>if('Point Intercept 1'!I677 = 'Point Intercept 2'!I677, 'Point Intercept 1'!I677, "ERROR")</f>
        <v>1</v>
      </c>
      <c r="I677" s="9">
        <f>if('Point Intercept 1'!H677 = 'Point Intercept 2'!H677, 'Point Intercept 1'!H677, "ERROR")</f>
        <v>1</v>
      </c>
      <c r="J677" s="9">
        <f>if('Point Intercept 1'!J677 = 'Point Intercept 2'!J677, 'Point Intercept 1'!J677, "ERROR")</f>
        <v>0</v>
      </c>
      <c r="K677" s="9" t="str">
        <f>if('Point Intercept 1'!K677 = 'Point Intercept 2'!K677, 'Point Intercept 1'!K677, "ERROR")</f>
        <v>L</v>
      </c>
      <c r="L677" s="9" t="str">
        <f>if('Point Intercept 1'!L677 = 'Point Intercept 2'!L677, 'Point Intercept 1'!L677, "ERROR")</f>
        <v>Litter</v>
      </c>
    </row>
    <row r="678">
      <c r="A678" s="9">
        <f>if('Point Intercept 1'!A678 = 'Point Intercept 2'!A678, 'Point Intercept 1'!A678, "ERROR")</f>
        <v>8</v>
      </c>
      <c r="B678" s="9">
        <f>if('Point Intercept 1'!B678 = 'Point Intercept 2'!B678, 'Point Intercept 1'!B678, "ERROR")</f>
        <v>2025</v>
      </c>
      <c r="C678" s="14">
        <f>if('Point Intercept 1'!C678 = 'Point Intercept 2'!C678, 'Point Intercept 1'!C678, "ERROR")</f>
        <v>45764</v>
      </c>
      <c r="D678" s="9" t="str">
        <f>if('Point Intercept 1'!D678 = 'Point Intercept 2'!D678, 'Point Intercept 1'!D678, "ERROR")</f>
        <v>TL, BN, JR, AA</v>
      </c>
      <c r="E678" s="9" t="str">
        <f>if('Point Intercept 1'!E678 = 'Point Intercept 2'!E678, 'Point Intercept 1'!E678, "ERROR")</f>
        <v>VB</v>
      </c>
      <c r="F678" s="9">
        <f>if('Point Intercept 1'!F678 = 'Point Intercept 2'!F678, 'Point Intercept 1'!F678, "ERROR")</f>
        <v>1</v>
      </c>
      <c r="G678" s="9" t="str">
        <f>if('Point Intercept 1'!G678 = 'Point Intercept 2'!G678, 'Point Intercept 1'!G678, "ERROR")</f>
        <v>SS</v>
      </c>
      <c r="H678" s="9">
        <f>if('Point Intercept 1'!I678 = 'Point Intercept 2'!I678, 'Point Intercept 1'!I678, "ERROR")</f>
        <v>1</v>
      </c>
      <c r="I678" s="9">
        <f>if('Point Intercept 1'!H678 = 'Point Intercept 2'!H678, 'Point Intercept 1'!H678, "ERROR")</f>
        <v>1</v>
      </c>
      <c r="J678" s="9">
        <f>if('Point Intercept 1'!J678 = 'Point Intercept 2'!J678, 'Point Intercept 1'!J678, "ERROR")</f>
        <v>0</v>
      </c>
      <c r="K678" s="9" t="str">
        <f>if('Point Intercept 1'!K678 = 'Point Intercept 2'!K678, 'Point Intercept 1'!K678, "ERROR")</f>
        <v>CENMEL</v>
      </c>
      <c r="L678" s="9" t="str">
        <f>if('Point Intercept 1'!L678 = 'Point Intercept 2'!L678, 'Point Intercept 1'!L678, "ERROR")</f>
        <v>Centaurea melitensis</v>
      </c>
    </row>
    <row r="679">
      <c r="A679" s="9">
        <f>if('Point Intercept 1'!A679 = 'Point Intercept 2'!A679, 'Point Intercept 1'!A679, "ERROR")</f>
        <v>8</v>
      </c>
      <c r="B679" s="9">
        <f>if('Point Intercept 1'!B679 = 'Point Intercept 2'!B679, 'Point Intercept 1'!B679, "ERROR")</f>
        <v>2025</v>
      </c>
      <c r="C679" s="14">
        <f>if('Point Intercept 1'!C679 = 'Point Intercept 2'!C679, 'Point Intercept 1'!C679, "ERROR")</f>
        <v>45764</v>
      </c>
      <c r="D679" s="9" t="str">
        <f>if('Point Intercept 1'!D679 = 'Point Intercept 2'!D679, 'Point Intercept 1'!D679, "ERROR")</f>
        <v>TL, BN, JR, AA</v>
      </c>
      <c r="E679" s="9" t="str">
        <f>if('Point Intercept 1'!E679 = 'Point Intercept 2'!E679, 'Point Intercept 1'!E679, "ERROR")</f>
        <v>VB</v>
      </c>
      <c r="F679" s="9">
        <f>if('Point Intercept 1'!F679 = 'Point Intercept 2'!F679, 'Point Intercept 1'!F679, "ERROR")</f>
        <v>1</v>
      </c>
      <c r="G679" s="9" t="str">
        <f>if('Point Intercept 1'!G679 = 'Point Intercept 2'!G679, 'Point Intercept 1'!G679, "ERROR")</f>
        <v>SS</v>
      </c>
      <c r="H679" s="9">
        <f>if('Point Intercept 1'!I679 = 'Point Intercept 2'!I679, 'Point Intercept 1'!I679, "ERROR")</f>
        <v>1</v>
      </c>
      <c r="I679" s="9">
        <f>if('Point Intercept 1'!H679 = 'Point Intercept 2'!H679, 'Point Intercept 1'!H679, "ERROR")</f>
        <v>1</v>
      </c>
      <c r="J679" s="9">
        <f>if('Point Intercept 1'!J679 = 'Point Intercept 2'!J679, 'Point Intercept 1'!J679, "ERROR")</f>
        <v>0</v>
      </c>
      <c r="K679" s="9" t="str">
        <f>if('Point Intercept 1'!K679 = 'Point Intercept 2'!K679, 'Point Intercept 1'!K679, "ERROR")</f>
        <v>FESMYU</v>
      </c>
      <c r="L679" s="9" t="str">
        <f>if('Point Intercept 1'!L679 = 'Point Intercept 2'!L679, 'Point Intercept 1'!L679, "ERROR")</f>
        <v>Festuca myuros</v>
      </c>
    </row>
    <row r="680">
      <c r="A680" s="9">
        <f>if('Point Intercept 1'!A680 = 'Point Intercept 2'!A680, 'Point Intercept 1'!A680, "ERROR")</f>
        <v>8</v>
      </c>
      <c r="B680" s="9">
        <f>if('Point Intercept 1'!B680 = 'Point Intercept 2'!B680, 'Point Intercept 1'!B680, "ERROR")</f>
        <v>2025</v>
      </c>
      <c r="C680" s="14">
        <f>if('Point Intercept 1'!C680 = 'Point Intercept 2'!C680, 'Point Intercept 1'!C680, "ERROR")</f>
        <v>45764</v>
      </c>
      <c r="D680" s="9" t="str">
        <f>if('Point Intercept 1'!D680 = 'Point Intercept 2'!D680, 'Point Intercept 1'!D680, "ERROR")</f>
        <v>TL, BN, JR, AA</v>
      </c>
      <c r="E680" s="9" t="str">
        <f>if('Point Intercept 1'!E680 = 'Point Intercept 2'!E680, 'Point Intercept 1'!E680, "ERROR")</f>
        <v>VB</v>
      </c>
      <c r="F680" s="9">
        <f>if('Point Intercept 1'!F680 = 'Point Intercept 2'!F680, 'Point Intercept 1'!F680, "ERROR")</f>
        <v>1</v>
      </c>
      <c r="G680" s="9" t="str">
        <f>if('Point Intercept 1'!G680 = 'Point Intercept 2'!G680, 'Point Intercept 1'!G680, "ERROR")</f>
        <v>SS</v>
      </c>
      <c r="H680" s="9">
        <f>if('Point Intercept 1'!I680 = 'Point Intercept 2'!I680, 'Point Intercept 1'!I680, "ERROR")</f>
        <v>1</v>
      </c>
      <c r="I680" s="9">
        <f>if('Point Intercept 1'!H680 = 'Point Intercept 2'!H680, 'Point Intercept 1'!H680, "ERROR")</f>
        <v>1</v>
      </c>
      <c r="J680" s="9">
        <f>if('Point Intercept 1'!J680 = 'Point Intercept 2'!J680, 'Point Intercept 1'!J680, "ERROR")</f>
        <v>0</v>
      </c>
      <c r="K680" s="9" t="str">
        <f>if('Point Intercept 1'!K680 = 'Point Intercept 2'!K680, 'Point Intercept 1'!K680, "ERROR")</f>
        <v>DEIFAS</v>
      </c>
      <c r="L680" s="9" t="str">
        <f>if('Point Intercept 1'!L680 = 'Point Intercept 2'!L680, 'Point Intercept 1'!L680, "ERROR")</f>
        <v>Deinandra fasciculata</v>
      </c>
    </row>
    <row r="681">
      <c r="A681" s="9">
        <f>if('Point Intercept 1'!A681 = 'Point Intercept 2'!A681, 'Point Intercept 1'!A681, "ERROR")</f>
        <v>8</v>
      </c>
      <c r="B681" s="9">
        <f>if('Point Intercept 1'!B681 = 'Point Intercept 2'!B681, 'Point Intercept 1'!B681, "ERROR")</f>
        <v>2025</v>
      </c>
      <c r="C681" s="14">
        <f>if('Point Intercept 1'!C681 = 'Point Intercept 2'!C681, 'Point Intercept 1'!C681, "ERROR")</f>
        <v>45764</v>
      </c>
      <c r="D681" s="9" t="str">
        <f>if('Point Intercept 1'!D681 = 'Point Intercept 2'!D681, 'Point Intercept 1'!D681, "ERROR")</f>
        <v>TL, BN, JR, AA</v>
      </c>
      <c r="E681" s="9" t="str">
        <f>if('Point Intercept 1'!E681 = 'Point Intercept 2'!E681, 'Point Intercept 1'!E681, "ERROR")</f>
        <v>VB</v>
      </c>
      <c r="F681" s="9">
        <f>if('Point Intercept 1'!F681 = 'Point Intercept 2'!F681, 'Point Intercept 1'!F681, "ERROR")</f>
        <v>1</v>
      </c>
      <c r="G681" s="9" t="str">
        <f>if('Point Intercept 1'!G681 = 'Point Intercept 2'!G681, 'Point Intercept 1'!G681, "ERROR")</f>
        <v>SS</v>
      </c>
      <c r="H681" s="9">
        <f>if('Point Intercept 1'!I681 = 'Point Intercept 2'!I681, 'Point Intercept 1'!I681, "ERROR")</f>
        <v>1</v>
      </c>
      <c r="I681" s="9">
        <f>if('Point Intercept 1'!H681 = 'Point Intercept 2'!H681, 'Point Intercept 1'!H681, "ERROR")</f>
        <v>1</v>
      </c>
      <c r="J681" s="9">
        <f>if('Point Intercept 1'!J681 = 'Point Intercept 2'!J681, 'Point Intercept 1'!J681, "ERROR")</f>
        <v>0</v>
      </c>
      <c r="K681" s="9" t="str">
        <f>if('Point Intercept 1'!K681 = 'Point Intercept 2'!K681, 'Point Intercept 1'!K681, "ERROR")</f>
        <v>SONASP</v>
      </c>
      <c r="L681" s="9" t="str">
        <f>if('Point Intercept 1'!L681 = 'Point Intercept 2'!L681, 'Point Intercept 1'!L681, "ERROR")</f>
        <v>Sonchus asper</v>
      </c>
    </row>
    <row r="682">
      <c r="A682" s="9">
        <f>if('Point Intercept 1'!A682 = 'Point Intercept 2'!A682, 'Point Intercept 1'!A682, "ERROR")</f>
        <v>8</v>
      </c>
      <c r="B682" s="9">
        <f>if('Point Intercept 1'!B682 = 'Point Intercept 2'!B682, 'Point Intercept 1'!B682, "ERROR")</f>
        <v>2025</v>
      </c>
      <c r="C682" s="14">
        <f>if('Point Intercept 1'!C682 = 'Point Intercept 2'!C682, 'Point Intercept 1'!C682, "ERROR")</f>
        <v>45764</v>
      </c>
      <c r="D682" s="9" t="str">
        <f>if('Point Intercept 1'!D682 = 'Point Intercept 2'!D682, 'Point Intercept 1'!D682, "ERROR")</f>
        <v>TL, BN, JR, AA</v>
      </c>
      <c r="E682" s="9" t="str">
        <f>if('Point Intercept 1'!E682 = 'Point Intercept 2'!E682, 'Point Intercept 1'!E682, "ERROR")</f>
        <v>VB</v>
      </c>
      <c r="F682" s="9">
        <f>if('Point Intercept 1'!F682 = 'Point Intercept 2'!F682, 'Point Intercept 1'!F682, "ERROR")</f>
        <v>1</v>
      </c>
      <c r="G682" s="9" t="str">
        <f>if('Point Intercept 1'!G682 = 'Point Intercept 2'!G682, 'Point Intercept 1'!G682, "ERROR")</f>
        <v>SS</v>
      </c>
      <c r="H682" s="9">
        <f>if('Point Intercept 1'!I682 = 'Point Intercept 2'!I682, 'Point Intercept 1'!I682, "ERROR")</f>
        <v>2</v>
      </c>
      <c r="I682" s="9">
        <f>if('Point Intercept 1'!H682 = 'Point Intercept 2'!H682, 'Point Intercept 1'!H682, "ERROR")</f>
        <v>1</v>
      </c>
      <c r="J682" s="9">
        <f>if('Point Intercept 1'!J682 = 'Point Intercept 2'!J682, 'Point Intercept 1'!J682, "ERROR")</f>
        <v>1</v>
      </c>
      <c r="K682" s="9" t="str">
        <f>if('Point Intercept 1'!K682 = 'Point Intercept 2'!K682, 'Point Intercept 1'!K682, "ERROR")</f>
        <v>L</v>
      </c>
      <c r="L682" s="9" t="str">
        <f>if('Point Intercept 1'!L682 = 'Point Intercept 2'!L682, 'Point Intercept 1'!L682, "ERROR")</f>
        <v>Litter</v>
      </c>
    </row>
    <row r="683">
      <c r="A683" s="9">
        <f>if('Point Intercept 1'!A683 = 'Point Intercept 2'!A683, 'Point Intercept 1'!A683, "ERROR")</f>
        <v>8</v>
      </c>
      <c r="B683" s="9">
        <f>if('Point Intercept 1'!B683 = 'Point Intercept 2'!B683, 'Point Intercept 1'!B683, "ERROR")</f>
        <v>2025</v>
      </c>
      <c r="C683" s="14">
        <f>if('Point Intercept 1'!C683 = 'Point Intercept 2'!C683, 'Point Intercept 1'!C683, "ERROR")</f>
        <v>45764</v>
      </c>
      <c r="D683" s="9" t="str">
        <f>if('Point Intercept 1'!D683 = 'Point Intercept 2'!D683, 'Point Intercept 1'!D683, "ERROR")</f>
        <v>TL, BN, JR, AA</v>
      </c>
      <c r="E683" s="9" t="str">
        <f>if('Point Intercept 1'!E683 = 'Point Intercept 2'!E683, 'Point Intercept 1'!E683, "ERROR")</f>
        <v>VB</v>
      </c>
      <c r="F683" s="9">
        <f>if('Point Intercept 1'!F683 = 'Point Intercept 2'!F683, 'Point Intercept 1'!F683, "ERROR")</f>
        <v>1</v>
      </c>
      <c r="G683" s="9" t="str">
        <f>if('Point Intercept 1'!G683 = 'Point Intercept 2'!G683, 'Point Intercept 1'!G683, "ERROR")</f>
        <v>SS</v>
      </c>
      <c r="H683" s="9">
        <f>if('Point Intercept 1'!I683 = 'Point Intercept 2'!I683, 'Point Intercept 1'!I683, "ERROR")</f>
        <v>2</v>
      </c>
      <c r="I683" s="9">
        <f>if('Point Intercept 1'!H683 = 'Point Intercept 2'!H683, 'Point Intercept 1'!H683, "ERROR")</f>
        <v>1</v>
      </c>
      <c r="J683" s="9">
        <f>if('Point Intercept 1'!J683 = 'Point Intercept 2'!J683, 'Point Intercept 1'!J683, "ERROR")</f>
        <v>1</v>
      </c>
      <c r="K683" s="9" t="str">
        <f>if('Point Intercept 1'!K683 = 'Point Intercept 2'!K683, 'Point Intercept 1'!K683, "ERROR")</f>
        <v>MEDPOL</v>
      </c>
      <c r="L683" s="9" t="str">
        <f>if('Point Intercept 1'!L683 = 'Point Intercept 2'!L683, 'Point Intercept 1'!L683, "ERROR")</f>
        <v>Medicago polymorpha</v>
      </c>
    </row>
    <row r="684">
      <c r="A684" s="9">
        <f>if('Point Intercept 1'!A684 = 'Point Intercept 2'!A684, 'Point Intercept 1'!A684, "ERROR")</f>
        <v>8</v>
      </c>
      <c r="B684" s="9">
        <f>if('Point Intercept 1'!B684 = 'Point Intercept 2'!B684, 'Point Intercept 1'!B684, "ERROR")</f>
        <v>2025</v>
      </c>
      <c r="C684" s="14">
        <f>if('Point Intercept 1'!C684 = 'Point Intercept 2'!C684, 'Point Intercept 1'!C684, "ERROR")</f>
        <v>45764</v>
      </c>
      <c r="D684" s="9" t="str">
        <f>if('Point Intercept 1'!D684 = 'Point Intercept 2'!D684, 'Point Intercept 1'!D684, "ERROR")</f>
        <v>TL, BN, JR, AA</v>
      </c>
      <c r="E684" s="9" t="str">
        <f>if('Point Intercept 1'!E684 = 'Point Intercept 2'!E684, 'Point Intercept 1'!E684, "ERROR")</f>
        <v>VB</v>
      </c>
      <c r="F684" s="9">
        <f>if('Point Intercept 1'!F684 = 'Point Intercept 2'!F684, 'Point Intercept 1'!F684, "ERROR")</f>
        <v>1</v>
      </c>
      <c r="G684" s="9" t="str">
        <f>if('Point Intercept 1'!G684 = 'Point Intercept 2'!G684, 'Point Intercept 1'!G684, "ERROR")</f>
        <v>SS</v>
      </c>
      <c r="H684" s="9">
        <f>if('Point Intercept 1'!I684 = 'Point Intercept 2'!I684, 'Point Intercept 1'!I684, "ERROR")</f>
        <v>2</v>
      </c>
      <c r="I684" s="9">
        <f>if('Point Intercept 1'!H684 = 'Point Intercept 2'!H684, 'Point Intercept 1'!H684, "ERROR")</f>
        <v>1</v>
      </c>
      <c r="J684" s="9">
        <f>if('Point Intercept 1'!J684 = 'Point Intercept 2'!J684, 'Point Intercept 1'!J684, "ERROR")</f>
        <v>1</v>
      </c>
      <c r="K684" s="9" t="str">
        <f>if('Point Intercept 1'!K684 = 'Point Intercept 2'!K684, 'Point Intercept 1'!K684, "ERROR")</f>
        <v>CENMEL</v>
      </c>
      <c r="L684" s="9" t="str">
        <f>if('Point Intercept 1'!L684 = 'Point Intercept 2'!L684, 'Point Intercept 1'!L684, "ERROR")</f>
        <v>Centaurea melitensis</v>
      </c>
    </row>
    <row r="685">
      <c r="A685" s="9">
        <f>if('Point Intercept 1'!A685 = 'Point Intercept 2'!A685, 'Point Intercept 1'!A685, "ERROR")</f>
        <v>8</v>
      </c>
      <c r="B685" s="9">
        <f>if('Point Intercept 1'!B685 = 'Point Intercept 2'!B685, 'Point Intercept 1'!B685, "ERROR")</f>
        <v>2025</v>
      </c>
      <c r="C685" s="14">
        <f>if('Point Intercept 1'!C685 = 'Point Intercept 2'!C685, 'Point Intercept 1'!C685, "ERROR")</f>
        <v>45764</v>
      </c>
      <c r="D685" s="9" t="str">
        <f>if('Point Intercept 1'!D685 = 'Point Intercept 2'!D685, 'Point Intercept 1'!D685, "ERROR")</f>
        <v>TL, BN, JR, AA</v>
      </c>
      <c r="E685" s="9" t="str">
        <f>if('Point Intercept 1'!E685 = 'Point Intercept 2'!E685, 'Point Intercept 1'!E685, "ERROR")</f>
        <v>VB</v>
      </c>
      <c r="F685" s="9">
        <f>if('Point Intercept 1'!F685 = 'Point Intercept 2'!F685, 'Point Intercept 1'!F685, "ERROR")</f>
        <v>1</v>
      </c>
      <c r="G685" s="9" t="str">
        <f>if('Point Intercept 1'!G685 = 'Point Intercept 2'!G685, 'Point Intercept 1'!G685, "ERROR")</f>
        <v>SS</v>
      </c>
      <c r="H685" s="9">
        <f>if('Point Intercept 1'!I685 = 'Point Intercept 2'!I685, 'Point Intercept 1'!I685, "ERROR")</f>
        <v>3</v>
      </c>
      <c r="I685" s="9">
        <f>if('Point Intercept 1'!H685 = 'Point Intercept 2'!H685, 'Point Intercept 1'!H685, "ERROR")</f>
        <v>1</v>
      </c>
      <c r="J685" s="9">
        <f>if('Point Intercept 1'!J685 = 'Point Intercept 2'!J685, 'Point Intercept 1'!J685, "ERROR")</f>
        <v>1.5</v>
      </c>
      <c r="K685" s="9" t="str">
        <f>if('Point Intercept 1'!K685 = 'Point Intercept 2'!K685, 'Point Intercept 1'!K685, "ERROR")</f>
        <v>L</v>
      </c>
      <c r="L685" s="9" t="str">
        <f>if('Point Intercept 1'!L685 = 'Point Intercept 2'!L685, 'Point Intercept 1'!L685, "ERROR")</f>
        <v>Litter</v>
      </c>
    </row>
    <row r="686">
      <c r="A686" s="9">
        <f>if('Point Intercept 1'!A686 = 'Point Intercept 2'!A686, 'Point Intercept 1'!A686, "ERROR")</f>
        <v>8</v>
      </c>
      <c r="B686" s="9">
        <f>if('Point Intercept 1'!B686 = 'Point Intercept 2'!B686, 'Point Intercept 1'!B686, "ERROR")</f>
        <v>2025</v>
      </c>
      <c r="C686" s="14">
        <f>if('Point Intercept 1'!C686 = 'Point Intercept 2'!C686, 'Point Intercept 1'!C686, "ERROR")</f>
        <v>45764</v>
      </c>
      <c r="D686" s="9" t="str">
        <f>if('Point Intercept 1'!D686 = 'Point Intercept 2'!D686, 'Point Intercept 1'!D686, "ERROR")</f>
        <v>TL, BN, JR, AA</v>
      </c>
      <c r="E686" s="9" t="str">
        <f>if('Point Intercept 1'!E686 = 'Point Intercept 2'!E686, 'Point Intercept 1'!E686, "ERROR")</f>
        <v>VB</v>
      </c>
      <c r="F686" s="9">
        <f>if('Point Intercept 1'!F686 = 'Point Intercept 2'!F686, 'Point Intercept 1'!F686, "ERROR")</f>
        <v>1</v>
      </c>
      <c r="G686" s="9" t="str">
        <f>if('Point Intercept 1'!G686 = 'Point Intercept 2'!G686, 'Point Intercept 1'!G686, "ERROR")</f>
        <v>SS</v>
      </c>
      <c r="H686" s="9">
        <f>if('Point Intercept 1'!I686 = 'Point Intercept 2'!I686, 'Point Intercept 1'!I686, "ERROR")</f>
        <v>3</v>
      </c>
      <c r="I686" s="9">
        <f>if('Point Intercept 1'!H686 = 'Point Intercept 2'!H686, 'Point Intercept 1'!H686, "ERROR")</f>
        <v>1</v>
      </c>
      <c r="J686" s="9">
        <f>if('Point Intercept 1'!J686 = 'Point Intercept 2'!J686, 'Point Intercept 1'!J686, "ERROR")</f>
        <v>1.5</v>
      </c>
      <c r="K686" s="9" t="str">
        <f>if('Point Intercept 1'!K686 = 'Point Intercept 2'!K686, 'Point Intercept 1'!K686, "ERROR")</f>
        <v>EROMOS</v>
      </c>
      <c r="L686" s="9" t="str">
        <f>if('Point Intercept 1'!L686 = 'Point Intercept 2'!L686, 'Point Intercept 1'!L686, "ERROR")</f>
        <v>Erodium moschatum</v>
      </c>
    </row>
    <row r="687">
      <c r="A687" s="9">
        <f>if('Point Intercept 1'!A687 = 'Point Intercept 2'!A687, 'Point Intercept 1'!A687, "ERROR")</f>
        <v>8</v>
      </c>
      <c r="B687" s="9">
        <f>if('Point Intercept 1'!B687 = 'Point Intercept 2'!B687, 'Point Intercept 1'!B687, "ERROR")</f>
        <v>2025</v>
      </c>
      <c r="C687" s="14">
        <f>if('Point Intercept 1'!C687 = 'Point Intercept 2'!C687, 'Point Intercept 1'!C687, "ERROR")</f>
        <v>45764</v>
      </c>
      <c r="D687" s="9" t="str">
        <f>if('Point Intercept 1'!D687 = 'Point Intercept 2'!D687, 'Point Intercept 1'!D687, "ERROR")</f>
        <v>TL, BN, JR, AA</v>
      </c>
      <c r="E687" s="9" t="str">
        <f>if('Point Intercept 1'!E687 = 'Point Intercept 2'!E687, 'Point Intercept 1'!E687, "ERROR")</f>
        <v>VB</v>
      </c>
      <c r="F687" s="9">
        <f>if('Point Intercept 1'!F687 = 'Point Intercept 2'!F687, 'Point Intercept 1'!F687, "ERROR")</f>
        <v>1</v>
      </c>
      <c r="G687" s="9" t="str">
        <f>if('Point Intercept 1'!G687 = 'Point Intercept 2'!G687, 'Point Intercept 1'!G687, "ERROR")</f>
        <v>SS</v>
      </c>
      <c r="H687" s="9">
        <f>if('Point Intercept 1'!I687 = 'Point Intercept 2'!I687, 'Point Intercept 1'!I687, "ERROR")</f>
        <v>4</v>
      </c>
      <c r="I687" s="9">
        <f>if('Point Intercept 1'!H687 = 'Point Intercept 2'!H687, 'Point Intercept 1'!H687, "ERROR")</f>
        <v>1</v>
      </c>
      <c r="J687" s="9">
        <f>if('Point Intercept 1'!J687 = 'Point Intercept 2'!J687, 'Point Intercept 1'!J687, "ERROR")</f>
        <v>2</v>
      </c>
      <c r="K687" s="9" t="str">
        <f>if('Point Intercept 1'!K687 = 'Point Intercept 2'!K687, 'Point Intercept 1'!K687, "ERROR")</f>
        <v>L</v>
      </c>
      <c r="L687" s="9" t="str">
        <f>if('Point Intercept 1'!L687 = 'Point Intercept 2'!L687, 'Point Intercept 1'!L687, "ERROR")</f>
        <v>Litter</v>
      </c>
    </row>
    <row r="688">
      <c r="A688" s="9">
        <f>if('Point Intercept 1'!A688 = 'Point Intercept 2'!A688, 'Point Intercept 1'!A688, "ERROR")</f>
        <v>8</v>
      </c>
      <c r="B688" s="9">
        <f>if('Point Intercept 1'!B688 = 'Point Intercept 2'!B688, 'Point Intercept 1'!B688, "ERROR")</f>
        <v>2025</v>
      </c>
      <c r="C688" s="14">
        <f>if('Point Intercept 1'!C688 = 'Point Intercept 2'!C688, 'Point Intercept 1'!C688, "ERROR")</f>
        <v>45764</v>
      </c>
      <c r="D688" s="9" t="str">
        <f>if('Point Intercept 1'!D688 = 'Point Intercept 2'!D688, 'Point Intercept 1'!D688, "ERROR")</f>
        <v>TL, BN, JR, AA</v>
      </c>
      <c r="E688" s="9" t="str">
        <f>if('Point Intercept 1'!E688 = 'Point Intercept 2'!E688, 'Point Intercept 1'!E688, "ERROR")</f>
        <v>VB</v>
      </c>
      <c r="F688" s="9">
        <f>if('Point Intercept 1'!F688 = 'Point Intercept 2'!F688, 'Point Intercept 1'!F688, "ERROR")</f>
        <v>1</v>
      </c>
      <c r="G688" s="9" t="str">
        <f>if('Point Intercept 1'!G688 = 'Point Intercept 2'!G688, 'Point Intercept 1'!G688, "ERROR")</f>
        <v>SS</v>
      </c>
      <c r="H688" s="9">
        <f>if('Point Intercept 1'!I688 = 'Point Intercept 2'!I688, 'Point Intercept 1'!I688, "ERROR")</f>
        <v>4</v>
      </c>
      <c r="I688" s="9">
        <f>if('Point Intercept 1'!H688 = 'Point Intercept 2'!H688, 'Point Intercept 1'!H688, "ERROR")</f>
        <v>1</v>
      </c>
      <c r="J688" s="9">
        <f>if('Point Intercept 1'!J688 = 'Point Intercept 2'!J688, 'Point Intercept 1'!J688, "ERROR")</f>
        <v>2</v>
      </c>
      <c r="K688" s="9" t="str">
        <f>if('Point Intercept 1'!K688 = 'Point Intercept 2'!K688, 'Point Intercept 1'!K688, "ERROR")</f>
        <v>DEIFAS</v>
      </c>
      <c r="L688" s="9" t="str">
        <f>if('Point Intercept 1'!L688 = 'Point Intercept 2'!L688, 'Point Intercept 1'!L688, "ERROR")</f>
        <v>Deinandra fasciculata</v>
      </c>
    </row>
    <row r="689">
      <c r="A689" s="9">
        <f>if('Point Intercept 1'!A689 = 'Point Intercept 2'!A689, 'Point Intercept 1'!A689, "ERROR")</f>
        <v>8</v>
      </c>
      <c r="B689" s="9">
        <f>if('Point Intercept 1'!B689 = 'Point Intercept 2'!B689, 'Point Intercept 1'!B689, "ERROR")</f>
        <v>2025</v>
      </c>
      <c r="C689" s="14">
        <f>if('Point Intercept 1'!C689 = 'Point Intercept 2'!C689, 'Point Intercept 1'!C689, "ERROR")</f>
        <v>45764</v>
      </c>
      <c r="D689" s="9" t="str">
        <f>if('Point Intercept 1'!D689 = 'Point Intercept 2'!D689, 'Point Intercept 1'!D689, "ERROR")</f>
        <v>TL, BN, JR, AA</v>
      </c>
      <c r="E689" s="9" t="str">
        <f>if('Point Intercept 1'!E689 = 'Point Intercept 2'!E689, 'Point Intercept 1'!E689, "ERROR")</f>
        <v>VB</v>
      </c>
      <c r="F689" s="9">
        <f>if('Point Intercept 1'!F689 = 'Point Intercept 2'!F689, 'Point Intercept 1'!F689, "ERROR")</f>
        <v>1</v>
      </c>
      <c r="G689" s="9" t="str">
        <f>if('Point Intercept 1'!G689 = 'Point Intercept 2'!G689, 'Point Intercept 1'!G689, "ERROR")</f>
        <v>SS</v>
      </c>
      <c r="H689" s="9">
        <f>if('Point Intercept 1'!I689 = 'Point Intercept 2'!I689, 'Point Intercept 1'!I689, "ERROR")</f>
        <v>5</v>
      </c>
      <c r="I689" s="9">
        <f>if('Point Intercept 1'!H689 = 'Point Intercept 2'!H689, 'Point Intercept 1'!H689, "ERROR")</f>
        <v>1</v>
      </c>
      <c r="J689" s="9">
        <f>if('Point Intercept 1'!J689 = 'Point Intercept 2'!J689, 'Point Intercept 1'!J689, "ERROR")</f>
        <v>3</v>
      </c>
      <c r="K689" s="9" t="str">
        <f>if('Point Intercept 1'!K689 = 'Point Intercept 2'!K689, 'Point Intercept 1'!K689, "ERROR")</f>
        <v>L</v>
      </c>
      <c r="L689" s="9" t="str">
        <f>if('Point Intercept 1'!L689 = 'Point Intercept 2'!L689, 'Point Intercept 1'!L689, "ERROR")</f>
        <v>Litter</v>
      </c>
    </row>
    <row r="690">
      <c r="A690" s="9">
        <f>if('Point Intercept 1'!A690 = 'Point Intercept 2'!A690, 'Point Intercept 1'!A690, "ERROR")</f>
        <v>8</v>
      </c>
      <c r="B690" s="9">
        <f>if('Point Intercept 1'!B690 = 'Point Intercept 2'!B690, 'Point Intercept 1'!B690, "ERROR")</f>
        <v>2025</v>
      </c>
      <c r="C690" s="14">
        <f>if('Point Intercept 1'!C690 = 'Point Intercept 2'!C690, 'Point Intercept 1'!C690, "ERROR")</f>
        <v>45764</v>
      </c>
      <c r="D690" s="9" t="str">
        <f>if('Point Intercept 1'!D690 = 'Point Intercept 2'!D690, 'Point Intercept 1'!D690, "ERROR")</f>
        <v>TL, BN, JR, AA</v>
      </c>
      <c r="E690" s="9" t="str">
        <f>if('Point Intercept 1'!E690 = 'Point Intercept 2'!E690, 'Point Intercept 1'!E690, "ERROR")</f>
        <v>VB</v>
      </c>
      <c r="F690" s="9">
        <f>if('Point Intercept 1'!F690 = 'Point Intercept 2'!F690, 'Point Intercept 1'!F690, "ERROR")</f>
        <v>1</v>
      </c>
      <c r="G690" s="9" t="str">
        <f>if('Point Intercept 1'!G690 = 'Point Intercept 2'!G690, 'Point Intercept 1'!G690, "ERROR")</f>
        <v>SS</v>
      </c>
      <c r="H690" s="9">
        <f>if('Point Intercept 1'!I690 = 'Point Intercept 2'!I690, 'Point Intercept 1'!I690, "ERROR")</f>
        <v>6</v>
      </c>
      <c r="I690" s="9">
        <f>if('Point Intercept 1'!H690 = 'Point Intercept 2'!H690, 'Point Intercept 1'!H690, "ERROR")</f>
        <v>1</v>
      </c>
      <c r="J690" s="9">
        <f>if('Point Intercept 1'!J690 = 'Point Intercept 2'!J690, 'Point Intercept 1'!J690, "ERROR")</f>
        <v>3.5</v>
      </c>
      <c r="K690" s="9" t="str">
        <f>if('Point Intercept 1'!K690 = 'Point Intercept 2'!K690, 'Point Intercept 1'!K690, "ERROR")</f>
        <v>L</v>
      </c>
      <c r="L690" s="9" t="str">
        <f>if('Point Intercept 1'!L690 = 'Point Intercept 2'!L690, 'Point Intercept 1'!L690, "ERROR")</f>
        <v>Litter</v>
      </c>
    </row>
    <row r="691">
      <c r="A691" s="9">
        <f>if('Point Intercept 1'!A691 = 'Point Intercept 2'!A691, 'Point Intercept 1'!A691, "ERROR")</f>
        <v>8</v>
      </c>
      <c r="B691" s="9">
        <f>if('Point Intercept 1'!B691 = 'Point Intercept 2'!B691, 'Point Intercept 1'!B691, "ERROR")</f>
        <v>2025</v>
      </c>
      <c r="C691" s="14">
        <f>if('Point Intercept 1'!C691 = 'Point Intercept 2'!C691, 'Point Intercept 1'!C691, "ERROR")</f>
        <v>45764</v>
      </c>
      <c r="D691" s="9" t="str">
        <f>if('Point Intercept 1'!D691 = 'Point Intercept 2'!D691, 'Point Intercept 1'!D691, "ERROR")</f>
        <v>TL, BN, JR, AA</v>
      </c>
      <c r="E691" s="9" t="str">
        <f>if('Point Intercept 1'!E691 = 'Point Intercept 2'!E691, 'Point Intercept 1'!E691, "ERROR")</f>
        <v>VB</v>
      </c>
      <c r="F691" s="9">
        <f>if('Point Intercept 1'!F691 = 'Point Intercept 2'!F691, 'Point Intercept 1'!F691, "ERROR")</f>
        <v>1</v>
      </c>
      <c r="G691" s="9" t="str">
        <f>if('Point Intercept 1'!G691 = 'Point Intercept 2'!G691, 'Point Intercept 1'!G691, "ERROR")</f>
        <v>SS</v>
      </c>
      <c r="H691" s="9">
        <f>if('Point Intercept 1'!I691 = 'Point Intercept 2'!I691, 'Point Intercept 1'!I691, "ERROR")</f>
        <v>6</v>
      </c>
      <c r="I691" s="9">
        <f>if('Point Intercept 1'!H691 = 'Point Intercept 2'!H691, 'Point Intercept 1'!H691, "ERROR")</f>
        <v>1</v>
      </c>
      <c r="J691" s="9">
        <f>if('Point Intercept 1'!J691 = 'Point Intercept 2'!J691, 'Point Intercept 1'!J691, "ERROR")</f>
        <v>3.5</v>
      </c>
      <c r="K691" s="9" t="str">
        <f>if('Point Intercept 1'!K691 = 'Point Intercept 2'!K691, 'Point Intercept 1'!K691, "ERROR")</f>
        <v>MEDPOL</v>
      </c>
      <c r="L691" s="9" t="str">
        <f>if('Point Intercept 1'!L691 = 'Point Intercept 2'!L691, 'Point Intercept 1'!L691, "ERROR")</f>
        <v>Medicago polymorpha</v>
      </c>
    </row>
    <row r="692">
      <c r="A692" s="9">
        <f>if('Point Intercept 1'!A692 = 'Point Intercept 2'!A692, 'Point Intercept 1'!A692, "ERROR")</f>
        <v>8</v>
      </c>
      <c r="B692" s="9">
        <f>if('Point Intercept 1'!B692 = 'Point Intercept 2'!B692, 'Point Intercept 1'!B692, "ERROR")</f>
        <v>2025</v>
      </c>
      <c r="C692" s="14">
        <f>if('Point Intercept 1'!C692 = 'Point Intercept 2'!C692, 'Point Intercept 1'!C692, "ERROR")</f>
        <v>45764</v>
      </c>
      <c r="D692" s="9" t="str">
        <f>if('Point Intercept 1'!D692 = 'Point Intercept 2'!D692, 'Point Intercept 1'!D692, "ERROR")</f>
        <v>TL, BN, JR, AA</v>
      </c>
      <c r="E692" s="9" t="str">
        <f>if('Point Intercept 1'!E692 = 'Point Intercept 2'!E692, 'Point Intercept 1'!E692, "ERROR")</f>
        <v>VB</v>
      </c>
      <c r="F692" s="9">
        <f>if('Point Intercept 1'!F692 = 'Point Intercept 2'!F692, 'Point Intercept 1'!F692, "ERROR")</f>
        <v>1</v>
      </c>
      <c r="G692" s="9" t="str">
        <f>if('Point Intercept 1'!G692 = 'Point Intercept 2'!G692, 'Point Intercept 1'!G692, "ERROR")</f>
        <v>SS</v>
      </c>
      <c r="H692" s="9">
        <f>if('Point Intercept 1'!I692 = 'Point Intercept 2'!I692, 'Point Intercept 1'!I692, "ERROR")</f>
        <v>6</v>
      </c>
      <c r="I692" s="9">
        <f>if('Point Intercept 1'!H692 = 'Point Intercept 2'!H692, 'Point Intercept 1'!H692, "ERROR")</f>
        <v>1</v>
      </c>
      <c r="J692" s="9">
        <f>if('Point Intercept 1'!J692 = 'Point Intercept 2'!J692, 'Point Intercept 1'!J692, "ERROR")</f>
        <v>3.5</v>
      </c>
      <c r="K692" s="9" t="str">
        <f>if('Point Intercept 1'!K692 = 'Point Intercept 2'!K692, 'Point Intercept 1'!K692, "ERROR")</f>
        <v>EROMOS</v>
      </c>
      <c r="L692" s="9" t="str">
        <f>if('Point Intercept 1'!L692 = 'Point Intercept 2'!L692, 'Point Intercept 1'!L692, "ERROR")</f>
        <v>Erodium moschatum</v>
      </c>
    </row>
    <row r="693">
      <c r="A693" s="9">
        <f>if('Point Intercept 1'!A693 = 'Point Intercept 2'!A693, 'Point Intercept 1'!A693, "ERROR")</f>
        <v>8</v>
      </c>
      <c r="B693" s="9">
        <f>if('Point Intercept 1'!B693 = 'Point Intercept 2'!B693, 'Point Intercept 1'!B693, "ERROR")</f>
        <v>2025</v>
      </c>
      <c r="C693" s="14">
        <f>if('Point Intercept 1'!C693 = 'Point Intercept 2'!C693, 'Point Intercept 1'!C693, "ERROR")</f>
        <v>45764</v>
      </c>
      <c r="D693" s="9" t="str">
        <f>if('Point Intercept 1'!D693 = 'Point Intercept 2'!D693, 'Point Intercept 1'!D693, "ERROR")</f>
        <v>TL, BN, JR, AA</v>
      </c>
      <c r="E693" s="9" t="str">
        <f>if('Point Intercept 1'!E693 = 'Point Intercept 2'!E693, 'Point Intercept 1'!E693, "ERROR")</f>
        <v>VB</v>
      </c>
      <c r="F693" s="9">
        <f>if('Point Intercept 1'!F693 = 'Point Intercept 2'!F693, 'Point Intercept 1'!F693, "ERROR")</f>
        <v>1</v>
      </c>
      <c r="G693" s="9" t="str">
        <f>if('Point Intercept 1'!G693 = 'Point Intercept 2'!G693, 'Point Intercept 1'!G693, "ERROR")</f>
        <v>SS</v>
      </c>
      <c r="H693" s="9">
        <f>if('Point Intercept 1'!I693 = 'Point Intercept 2'!I693, 'Point Intercept 1'!I693, "ERROR")</f>
        <v>6</v>
      </c>
      <c r="I693" s="9">
        <f>if('Point Intercept 1'!H693 = 'Point Intercept 2'!H693, 'Point Intercept 1'!H693, "ERROR")</f>
        <v>1</v>
      </c>
      <c r="J693" s="9">
        <f>if('Point Intercept 1'!J693 = 'Point Intercept 2'!J693, 'Point Intercept 1'!J693, "ERROR")</f>
        <v>3.5</v>
      </c>
      <c r="K693" s="9" t="str">
        <f>if('Point Intercept 1'!K693 = 'Point Intercept 2'!K693, 'Point Intercept 1'!K693, "ERROR")</f>
        <v>DEIFAS</v>
      </c>
      <c r="L693" s="9" t="str">
        <f>if('Point Intercept 1'!L693 = 'Point Intercept 2'!L693, 'Point Intercept 1'!L693, "ERROR")</f>
        <v>Deinandra fasciculata</v>
      </c>
    </row>
    <row r="694">
      <c r="A694" s="9">
        <f>if('Point Intercept 1'!A694 = 'Point Intercept 2'!A694, 'Point Intercept 1'!A694, "ERROR")</f>
        <v>8</v>
      </c>
      <c r="B694" s="9">
        <f>if('Point Intercept 1'!B694 = 'Point Intercept 2'!B694, 'Point Intercept 1'!B694, "ERROR")</f>
        <v>2025</v>
      </c>
      <c r="C694" s="14">
        <f>if('Point Intercept 1'!C694 = 'Point Intercept 2'!C694, 'Point Intercept 1'!C694, "ERROR")</f>
        <v>45764</v>
      </c>
      <c r="D694" s="9" t="str">
        <f>if('Point Intercept 1'!D694 = 'Point Intercept 2'!D694, 'Point Intercept 1'!D694, "ERROR")</f>
        <v>TL, BN, JR, AA</v>
      </c>
      <c r="E694" s="9" t="str">
        <f>if('Point Intercept 1'!E694 = 'Point Intercept 2'!E694, 'Point Intercept 1'!E694, "ERROR")</f>
        <v>VB</v>
      </c>
      <c r="F694" s="9">
        <f>if('Point Intercept 1'!F694 = 'Point Intercept 2'!F694, 'Point Intercept 1'!F694, "ERROR")</f>
        <v>1</v>
      </c>
      <c r="G694" s="9" t="str">
        <f>if('Point Intercept 1'!G694 = 'Point Intercept 2'!G694, 'Point Intercept 1'!G694, "ERROR")</f>
        <v>SS</v>
      </c>
      <c r="H694" s="9">
        <f>if('Point Intercept 1'!I694 = 'Point Intercept 2'!I694, 'Point Intercept 1'!I694, "ERROR")</f>
        <v>7</v>
      </c>
      <c r="I694" s="9">
        <f>if('Point Intercept 1'!H694 = 'Point Intercept 2'!H694, 'Point Intercept 1'!H694, "ERROR")</f>
        <v>1</v>
      </c>
      <c r="J694" s="9">
        <f>if('Point Intercept 1'!J694 = 'Point Intercept 2'!J694, 'Point Intercept 1'!J694, "ERROR")</f>
        <v>4</v>
      </c>
      <c r="K694" s="9" t="str">
        <f>if('Point Intercept 1'!K694 = 'Point Intercept 2'!K694, 'Point Intercept 1'!K694, "ERROR")</f>
        <v>L</v>
      </c>
      <c r="L694" s="9" t="str">
        <f>if('Point Intercept 1'!L694 = 'Point Intercept 2'!L694, 'Point Intercept 1'!L694, "ERROR")</f>
        <v>Litter</v>
      </c>
    </row>
    <row r="695">
      <c r="A695" s="9">
        <f>if('Point Intercept 1'!A695 = 'Point Intercept 2'!A695, 'Point Intercept 1'!A695, "ERROR")</f>
        <v>8</v>
      </c>
      <c r="B695" s="9">
        <f>if('Point Intercept 1'!B695 = 'Point Intercept 2'!B695, 'Point Intercept 1'!B695, "ERROR")</f>
        <v>2025</v>
      </c>
      <c r="C695" s="14">
        <f>if('Point Intercept 1'!C695 = 'Point Intercept 2'!C695, 'Point Intercept 1'!C695, "ERROR")</f>
        <v>45764</v>
      </c>
      <c r="D695" s="9" t="str">
        <f>if('Point Intercept 1'!D695 = 'Point Intercept 2'!D695, 'Point Intercept 1'!D695, "ERROR")</f>
        <v>TL, BN, JR, AA</v>
      </c>
      <c r="E695" s="9" t="str">
        <f>if('Point Intercept 1'!E695 = 'Point Intercept 2'!E695, 'Point Intercept 1'!E695, "ERROR")</f>
        <v>VB</v>
      </c>
      <c r="F695" s="9">
        <f>if('Point Intercept 1'!F695 = 'Point Intercept 2'!F695, 'Point Intercept 1'!F695, "ERROR")</f>
        <v>1</v>
      </c>
      <c r="G695" s="9" t="str">
        <f>if('Point Intercept 1'!G695 = 'Point Intercept 2'!G695, 'Point Intercept 1'!G695, "ERROR")</f>
        <v>SS</v>
      </c>
      <c r="H695" s="9">
        <f>if('Point Intercept 1'!I695 = 'Point Intercept 2'!I695, 'Point Intercept 1'!I695, "ERROR")</f>
        <v>7</v>
      </c>
      <c r="I695" s="9">
        <f>if('Point Intercept 1'!H695 = 'Point Intercept 2'!H695, 'Point Intercept 1'!H695, "ERROR")</f>
        <v>1</v>
      </c>
      <c r="J695" s="9">
        <f>if('Point Intercept 1'!J695 = 'Point Intercept 2'!J695, 'Point Intercept 1'!J695, "ERROR")</f>
        <v>4</v>
      </c>
      <c r="K695" s="9" t="str">
        <f>if('Point Intercept 1'!K695 = 'Point Intercept 2'!K695, 'Point Intercept 1'!K695, "ERROR")</f>
        <v>EROMOS</v>
      </c>
      <c r="L695" s="9" t="str">
        <f>if('Point Intercept 1'!L695 = 'Point Intercept 2'!L695, 'Point Intercept 1'!L695, "ERROR")</f>
        <v>Erodium moschatum</v>
      </c>
    </row>
    <row r="696">
      <c r="A696" s="9">
        <f>if('Point Intercept 1'!A696 = 'Point Intercept 2'!A696, 'Point Intercept 1'!A696, "ERROR")</f>
        <v>8</v>
      </c>
      <c r="B696" s="9">
        <f>if('Point Intercept 1'!B696 = 'Point Intercept 2'!B696, 'Point Intercept 1'!B696, "ERROR")</f>
        <v>2025</v>
      </c>
      <c r="C696" s="14">
        <f>if('Point Intercept 1'!C696 = 'Point Intercept 2'!C696, 'Point Intercept 1'!C696, "ERROR")</f>
        <v>45764</v>
      </c>
      <c r="D696" s="9" t="str">
        <f>if('Point Intercept 1'!D696 = 'Point Intercept 2'!D696, 'Point Intercept 1'!D696, "ERROR")</f>
        <v>TL, BN, JR, AA</v>
      </c>
      <c r="E696" s="9" t="str">
        <f>if('Point Intercept 1'!E696 = 'Point Intercept 2'!E696, 'Point Intercept 1'!E696, "ERROR")</f>
        <v>VB</v>
      </c>
      <c r="F696" s="9">
        <f>if('Point Intercept 1'!F696 = 'Point Intercept 2'!F696, 'Point Intercept 1'!F696, "ERROR")</f>
        <v>1</v>
      </c>
      <c r="G696" s="9" t="str">
        <f>if('Point Intercept 1'!G696 = 'Point Intercept 2'!G696, 'Point Intercept 1'!G696, "ERROR")</f>
        <v>SS</v>
      </c>
      <c r="H696" s="9">
        <f>if('Point Intercept 1'!I696 = 'Point Intercept 2'!I696, 'Point Intercept 1'!I696, "ERROR")</f>
        <v>7</v>
      </c>
      <c r="I696" s="9">
        <f>if('Point Intercept 1'!H696 = 'Point Intercept 2'!H696, 'Point Intercept 1'!H696, "ERROR")</f>
        <v>1</v>
      </c>
      <c r="J696" s="9">
        <f>if('Point Intercept 1'!J696 = 'Point Intercept 2'!J696, 'Point Intercept 1'!J696, "ERROR")</f>
        <v>4</v>
      </c>
      <c r="K696" s="9" t="str">
        <f>if('Point Intercept 1'!K696 = 'Point Intercept 2'!K696, 'Point Intercept 1'!K696, "ERROR")</f>
        <v>SONOLE</v>
      </c>
      <c r="L696" s="9" t="str">
        <f>if('Point Intercept 1'!L696 = 'Point Intercept 2'!L696, 'Point Intercept 1'!L696, "ERROR")</f>
        <v>Sonchus oleraceus</v>
      </c>
    </row>
    <row r="697">
      <c r="A697" s="9">
        <f>if('Point Intercept 1'!A697 = 'Point Intercept 2'!A697, 'Point Intercept 1'!A697, "ERROR")</f>
        <v>8</v>
      </c>
      <c r="B697" s="9">
        <f>if('Point Intercept 1'!B697 = 'Point Intercept 2'!B697, 'Point Intercept 1'!B697, "ERROR")</f>
        <v>2025</v>
      </c>
      <c r="C697" s="14">
        <f>if('Point Intercept 1'!C697 = 'Point Intercept 2'!C697, 'Point Intercept 1'!C697, "ERROR")</f>
        <v>45764</v>
      </c>
      <c r="D697" s="9" t="str">
        <f>if('Point Intercept 1'!D697 = 'Point Intercept 2'!D697, 'Point Intercept 1'!D697, "ERROR")</f>
        <v>TL, BN, JR, AA</v>
      </c>
      <c r="E697" s="9" t="str">
        <f>if('Point Intercept 1'!E697 = 'Point Intercept 2'!E697, 'Point Intercept 1'!E697, "ERROR")</f>
        <v>VB</v>
      </c>
      <c r="F697" s="9">
        <f>if('Point Intercept 1'!F697 = 'Point Intercept 2'!F697, 'Point Intercept 1'!F697, "ERROR")</f>
        <v>1</v>
      </c>
      <c r="G697" s="9" t="str">
        <f>if('Point Intercept 1'!G697 = 'Point Intercept 2'!G697, 'Point Intercept 1'!G697, "ERROR")</f>
        <v>SS</v>
      </c>
      <c r="H697" s="9">
        <f>if('Point Intercept 1'!I697 = 'Point Intercept 2'!I697, 'Point Intercept 1'!I697, "ERROR")</f>
        <v>7</v>
      </c>
      <c r="I697" s="9">
        <f>if('Point Intercept 1'!H697 = 'Point Intercept 2'!H697, 'Point Intercept 1'!H697, "ERROR")</f>
        <v>1</v>
      </c>
      <c r="J697" s="9">
        <f>if('Point Intercept 1'!J697 = 'Point Intercept 2'!J697, 'Point Intercept 1'!J697, "ERROR")</f>
        <v>4</v>
      </c>
      <c r="K697" s="9" t="str">
        <f>if('Point Intercept 1'!K697 = 'Point Intercept 2'!K697, 'Point Intercept 1'!K697, "ERROR")</f>
        <v>DEIFAS</v>
      </c>
      <c r="L697" s="9" t="str">
        <f>if('Point Intercept 1'!L697 = 'Point Intercept 2'!L697, 'Point Intercept 1'!L697, "ERROR")</f>
        <v>Deinandra fasciculata</v>
      </c>
    </row>
    <row r="698">
      <c r="A698" s="9">
        <f>if('Point Intercept 1'!A698 = 'Point Intercept 2'!A698, 'Point Intercept 1'!A698, "ERROR")</f>
        <v>8</v>
      </c>
      <c r="B698" s="9">
        <f>if('Point Intercept 1'!B698 = 'Point Intercept 2'!B698, 'Point Intercept 1'!B698, "ERROR")</f>
        <v>2025</v>
      </c>
      <c r="C698" s="14">
        <f>if('Point Intercept 1'!C698 = 'Point Intercept 2'!C698, 'Point Intercept 1'!C698, "ERROR")</f>
        <v>45764</v>
      </c>
      <c r="D698" s="9" t="str">
        <f>if('Point Intercept 1'!D698 = 'Point Intercept 2'!D698, 'Point Intercept 1'!D698, "ERROR")</f>
        <v>TL, BN, JR, AA</v>
      </c>
      <c r="E698" s="9" t="str">
        <f>if('Point Intercept 1'!E698 = 'Point Intercept 2'!E698, 'Point Intercept 1'!E698, "ERROR")</f>
        <v>VB</v>
      </c>
      <c r="F698" s="9">
        <f>if('Point Intercept 1'!F698 = 'Point Intercept 2'!F698, 'Point Intercept 1'!F698, "ERROR")</f>
        <v>1</v>
      </c>
      <c r="G698" s="9" t="str">
        <f>if('Point Intercept 1'!G698 = 'Point Intercept 2'!G698, 'Point Intercept 1'!G698, "ERROR")</f>
        <v>SS</v>
      </c>
      <c r="H698" s="9">
        <f>if('Point Intercept 1'!I698 = 'Point Intercept 2'!I698, 'Point Intercept 1'!I698, "ERROR")</f>
        <v>8</v>
      </c>
      <c r="I698" s="9">
        <f>if('Point Intercept 1'!H698 = 'Point Intercept 2'!H698, 'Point Intercept 1'!H698, "ERROR")</f>
        <v>1</v>
      </c>
      <c r="J698" s="9">
        <f>if('Point Intercept 1'!J698 = 'Point Intercept 2'!J698, 'Point Intercept 1'!J698, "ERROR")</f>
        <v>5</v>
      </c>
      <c r="K698" s="9" t="str">
        <f>if('Point Intercept 1'!K698 = 'Point Intercept 2'!K698, 'Point Intercept 1'!K698, "ERROR")</f>
        <v>L</v>
      </c>
      <c r="L698" s="9" t="str">
        <f>if('Point Intercept 1'!L698 = 'Point Intercept 2'!L698, 'Point Intercept 1'!L698, "ERROR")</f>
        <v>Litter</v>
      </c>
    </row>
    <row r="699">
      <c r="A699" s="9">
        <f>if('Point Intercept 1'!A699 = 'Point Intercept 2'!A699, 'Point Intercept 1'!A699, "ERROR")</f>
        <v>8</v>
      </c>
      <c r="B699" s="9">
        <f>if('Point Intercept 1'!B699 = 'Point Intercept 2'!B699, 'Point Intercept 1'!B699, "ERROR")</f>
        <v>2025</v>
      </c>
      <c r="C699" s="14">
        <f>if('Point Intercept 1'!C699 = 'Point Intercept 2'!C699, 'Point Intercept 1'!C699, "ERROR")</f>
        <v>45764</v>
      </c>
      <c r="D699" s="9" t="str">
        <f>if('Point Intercept 1'!D699 = 'Point Intercept 2'!D699, 'Point Intercept 1'!D699, "ERROR")</f>
        <v>TL, BN, JR, AA</v>
      </c>
      <c r="E699" s="9" t="str">
        <f>if('Point Intercept 1'!E699 = 'Point Intercept 2'!E699, 'Point Intercept 1'!E699, "ERROR")</f>
        <v>VB</v>
      </c>
      <c r="F699" s="9">
        <f>if('Point Intercept 1'!F699 = 'Point Intercept 2'!F699, 'Point Intercept 1'!F699, "ERROR")</f>
        <v>1</v>
      </c>
      <c r="G699" s="9" t="str">
        <f>if('Point Intercept 1'!G699 = 'Point Intercept 2'!G699, 'Point Intercept 1'!G699, "ERROR")</f>
        <v>SS</v>
      </c>
      <c r="H699" s="9">
        <f>if('Point Intercept 1'!I699 = 'Point Intercept 2'!I699, 'Point Intercept 1'!I699, "ERROR")</f>
        <v>8</v>
      </c>
      <c r="I699" s="9">
        <f>if('Point Intercept 1'!H699 = 'Point Intercept 2'!H699, 'Point Intercept 1'!H699, "ERROR")</f>
        <v>1</v>
      </c>
      <c r="J699" s="9">
        <f>if('Point Intercept 1'!J699 = 'Point Intercept 2'!J699, 'Point Intercept 1'!J699, "ERROR")</f>
        <v>5</v>
      </c>
      <c r="K699" s="9" t="str">
        <f>if('Point Intercept 1'!K699 = 'Point Intercept 2'!K699, 'Point Intercept 1'!K699, "ERROR")</f>
        <v>EROMOS</v>
      </c>
      <c r="L699" s="9" t="str">
        <f>if('Point Intercept 1'!L699 = 'Point Intercept 2'!L699, 'Point Intercept 1'!L699, "ERROR")</f>
        <v>Erodium moschatum</v>
      </c>
    </row>
    <row r="700">
      <c r="A700" s="9">
        <f>if('Point Intercept 1'!A700 = 'Point Intercept 2'!A700, 'Point Intercept 1'!A700, "ERROR")</f>
        <v>8</v>
      </c>
      <c r="B700" s="9">
        <f>if('Point Intercept 1'!B700 = 'Point Intercept 2'!B700, 'Point Intercept 1'!B700, "ERROR")</f>
        <v>2025</v>
      </c>
      <c r="C700" s="14">
        <f>if('Point Intercept 1'!C700 = 'Point Intercept 2'!C700, 'Point Intercept 1'!C700, "ERROR")</f>
        <v>45764</v>
      </c>
      <c r="D700" s="9" t="str">
        <f>if('Point Intercept 1'!D700 = 'Point Intercept 2'!D700, 'Point Intercept 1'!D700, "ERROR")</f>
        <v>TL, BN, JR, AA</v>
      </c>
      <c r="E700" s="9" t="str">
        <f>if('Point Intercept 1'!E700 = 'Point Intercept 2'!E700, 'Point Intercept 1'!E700, "ERROR")</f>
        <v>VB</v>
      </c>
      <c r="F700" s="9">
        <f>if('Point Intercept 1'!F700 = 'Point Intercept 2'!F700, 'Point Intercept 1'!F700, "ERROR")</f>
        <v>1</v>
      </c>
      <c r="G700" s="9" t="str">
        <f>if('Point Intercept 1'!G700 = 'Point Intercept 2'!G700, 'Point Intercept 1'!G700, "ERROR")</f>
        <v>SS</v>
      </c>
      <c r="H700" s="9">
        <f>if('Point Intercept 1'!I700 = 'Point Intercept 2'!I700, 'Point Intercept 1'!I700, "ERROR")</f>
        <v>9</v>
      </c>
      <c r="I700" s="9">
        <f>if('Point Intercept 1'!H700 = 'Point Intercept 2'!H700, 'Point Intercept 1'!H700, "ERROR")</f>
        <v>1</v>
      </c>
      <c r="J700" s="9">
        <f>if('Point Intercept 1'!J700 = 'Point Intercept 2'!J700, 'Point Intercept 1'!J700, "ERROR")</f>
        <v>7</v>
      </c>
      <c r="K700" s="9" t="str">
        <f>if('Point Intercept 1'!K700 = 'Point Intercept 2'!K700, 'Point Intercept 1'!K700, "ERROR")</f>
        <v>L</v>
      </c>
      <c r="L700" s="9" t="str">
        <f>if('Point Intercept 1'!L700 = 'Point Intercept 2'!L700, 'Point Intercept 1'!L700, "ERROR")</f>
        <v>Litter</v>
      </c>
    </row>
    <row r="701">
      <c r="A701" s="9">
        <f>if('Point Intercept 1'!A701 = 'Point Intercept 2'!A701, 'Point Intercept 1'!A701, "ERROR")</f>
        <v>8</v>
      </c>
      <c r="B701" s="9">
        <f>if('Point Intercept 1'!B701 = 'Point Intercept 2'!B701, 'Point Intercept 1'!B701, "ERROR")</f>
        <v>2025</v>
      </c>
      <c r="C701" s="14">
        <f>if('Point Intercept 1'!C701 = 'Point Intercept 2'!C701, 'Point Intercept 1'!C701, "ERROR")</f>
        <v>45764</v>
      </c>
      <c r="D701" s="9" t="str">
        <f>if('Point Intercept 1'!D701 = 'Point Intercept 2'!D701, 'Point Intercept 1'!D701, "ERROR")</f>
        <v>TL, BN, JR, AA</v>
      </c>
      <c r="E701" s="9" t="str">
        <f>if('Point Intercept 1'!E701 = 'Point Intercept 2'!E701, 'Point Intercept 1'!E701, "ERROR")</f>
        <v>VB</v>
      </c>
      <c r="F701" s="9">
        <f>if('Point Intercept 1'!F701 = 'Point Intercept 2'!F701, 'Point Intercept 1'!F701, "ERROR")</f>
        <v>1</v>
      </c>
      <c r="G701" s="9" t="str">
        <f>if('Point Intercept 1'!G701 = 'Point Intercept 2'!G701, 'Point Intercept 1'!G701, "ERROR")</f>
        <v>SS</v>
      </c>
      <c r="H701" s="9">
        <f>if('Point Intercept 1'!I701 = 'Point Intercept 2'!I701, 'Point Intercept 1'!I701, "ERROR")</f>
        <v>9</v>
      </c>
      <c r="I701" s="9">
        <f>if('Point Intercept 1'!H701 = 'Point Intercept 2'!H701, 'Point Intercept 1'!H701, "ERROR")</f>
        <v>1</v>
      </c>
      <c r="J701" s="9">
        <f>if('Point Intercept 1'!J701 = 'Point Intercept 2'!J701, 'Point Intercept 1'!J701, "ERROR")</f>
        <v>7</v>
      </c>
      <c r="K701" s="9" t="str">
        <f>if('Point Intercept 1'!K701 = 'Point Intercept 2'!K701, 'Point Intercept 1'!K701, "ERROR")</f>
        <v>BROMAD</v>
      </c>
      <c r="L701" s="9" t="str">
        <f>if('Point Intercept 1'!L701 = 'Point Intercept 2'!L701, 'Point Intercept 1'!L701, "ERROR")</f>
        <v>Bromus madritensis</v>
      </c>
    </row>
    <row r="702">
      <c r="A702" s="9">
        <f>if('Point Intercept 1'!A702 = 'Point Intercept 2'!A702, 'Point Intercept 1'!A702, "ERROR")</f>
        <v>8</v>
      </c>
      <c r="B702" s="9">
        <f>if('Point Intercept 1'!B702 = 'Point Intercept 2'!B702, 'Point Intercept 1'!B702, "ERROR")</f>
        <v>2025</v>
      </c>
      <c r="C702" s="14">
        <f>if('Point Intercept 1'!C702 = 'Point Intercept 2'!C702, 'Point Intercept 1'!C702, "ERROR")</f>
        <v>45764</v>
      </c>
      <c r="D702" s="9" t="str">
        <f>if('Point Intercept 1'!D702 = 'Point Intercept 2'!D702, 'Point Intercept 1'!D702, "ERROR")</f>
        <v>TL, BN, JR, AA</v>
      </c>
      <c r="E702" s="9" t="str">
        <f>if('Point Intercept 1'!E702 = 'Point Intercept 2'!E702, 'Point Intercept 1'!E702, "ERROR")</f>
        <v>VB</v>
      </c>
      <c r="F702" s="9">
        <f>if('Point Intercept 1'!F702 = 'Point Intercept 2'!F702, 'Point Intercept 1'!F702, "ERROR")</f>
        <v>1</v>
      </c>
      <c r="G702" s="9" t="str">
        <f>if('Point Intercept 1'!G702 = 'Point Intercept 2'!G702, 'Point Intercept 1'!G702, "ERROR")</f>
        <v>SS</v>
      </c>
      <c r="H702" s="9">
        <f>if('Point Intercept 1'!I702 = 'Point Intercept 2'!I702, 'Point Intercept 1'!I702, "ERROR")</f>
        <v>9</v>
      </c>
      <c r="I702" s="9">
        <f>if('Point Intercept 1'!H702 = 'Point Intercept 2'!H702, 'Point Intercept 1'!H702, "ERROR")</f>
        <v>1</v>
      </c>
      <c r="J702" s="9">
        <f>if('Point Intercept 1'!J702 = 'Point Intercept 2'!J702, 'Point Intercept 1'!J702, "ERROR")</f>
        <v>7</v>
      </c>
      <c r="K702" s="9" t="str">
        <f>if('Point Intercept 1'!K702 = 'Point Intercept 2'!K702, 'Point Intercept 1'!K702, "ERROR")</f>
        <v>DEIFAS</v>
      </c>
      <c r="L702" s="9" t="str">
        <f>if('Point Intercept 1'!L702 = 'Point Intercept 2'!L702, 'Point Intercept 1'!L702, "ERROR")</f>
        <v>Deinandra fasciculata</v>
      </c>
    </row>
    <row r="703">
      <c r="A703" s="9">
        <f>if('Point Intercept 1'!A703 = 'Point Intercept 2'!A703, 'Point Intercept 1'!A703, "ERROR")</f>
        <v>8</v>
      </c>
      <c r="B703" s="9">
        <f>if('Point Intercept 1'!B703 = 'Point Intercept 2'!B703, 'Point Intercept 1'!B703, "ERROR")</f>
        <v>2025</v>
      </c>
      <c r="C703" s="14">
        <f>if('Point Intercept 1'!C703 = 'Point Intercept 2'!C703, 'Point Intercept 1'!C703, "ERROR")</f>
        <v>45764</v>
      </c>
      <c r="D703" s="9" t="str">
        <f>if('Point Intercept 1'!D703 = 'Point Intercept 2'!D703, 'Point Intercept 1'!D703, "ERROR")</f>
        <v>TL, BN, JR, AA</v>
      </c>
      <c r="E703" s="9" t="str">
        <f>if('Point Intercept 1'!E703 = 'Point Intercept 2'!E703, 'Point Intercept 1'!E703, "ERROR")</f>
        <v>VB</v>
      </c>
      <c r="F703" s="9">
        <f>if('Point Intercept 1'!F703 = 'Point Intercept 2'!F703, 'Point Intercept 1'!F703, "ERROR")</f>
        <v>1</v>
      </c>
      <c r="G703" s="9" t="str">
        <f>if('Point Intercept 1'!G703 = 'Point Intercept 2'!G703, 'Point Intercept 1'!G703, "ERROR")</f>
        <v>SS</v>
      </c>
      <c r="H703" s="9">
        <f>if('Point Intercept 1'!I703 = 'Point Intercept 2'!I703, 'Point Intercept 1'!I703, "ERROR")</f>
        <v>9</v>
      </c>
      <c r="I703" s="9">
        <f>if('Point Intercept 1'!H703 = 'Point Intercept 2'!H703, 'Point Intercept 1'!H703, "ERROR")</f>
        <v>1</v>
      </c>
      <c r="J703" s="9">
        <f>if('Point Intercept 1'!J703 = 'Point Intercept 2'!J703, 'Point Intercept 1'!J703, "ERROR")</f>
        <v>7</v>
      </c>
      <c r="K703" s="9" t="str">
        <f>if('Point Intercept 1'!K703 = 'Point Intercept 2'!K703, 'Point Intercept 1'!K703, "ERROR")</f>
        <v>SONASP</v>
      </c>
      <c r="L703" s="9" t="str">
        <f>if('Point Intercept 1'!L703 = 'Point Intercept 2'!L703, 'Point Intercept 1'!L703, "ERROR")</f>
        <v>Sonchus asper</v>
      </c>
    </row>
    <row r="704">
      <c r="A704" s="9">
        <f>if('Point Intercept 1'!A704 = 'Point Intercept 2'!A704, 'Point Intercept 1'!A704, "ERROR")</f>
        <v>8</v>
      </c>
      <c r="B704" s="9">
        <f>if('Point Intercept 1'!B704 = 'Point Intercept 2'!B704, 'Point Intercept 1'!B704, "ERROR")</f>
        <v>2025</v>
      </c>
      <c r="C704" s="14">
        <f>if('Point Intercept 1'!C704 = 'Point Intercept 2'!C704, 'Point Intercept 1'!C704, "ERROR")</f>
        <v>45764</v>
      </c>
      <c r="D704" s="9" t="str">
        <f>if('Point Intercept 1'!D704 = 'Point Intercept 2'!D704, 'Point Intercept 1'!D704, "ERROR")</f>
        <v>TL, BN, JR, AA</v>
      </c>
      <c r="E704" s="9" t="str">
        <f>if('Point Intercept 1'!E704 = 'Point Intercept 2'!E704, 'Point Intercept 1'!E704, "ERROR")</f>
        <v>VB</v>
      </c>
      <c r="F704" s="9">
        <f>if('Point Intercept 1'!F704 = 'Point Intercept 2'!F704, 'Point Intercept 1'!F704, "ERROR")</f>
        <v>1</v>
      </c>
      <c r="G704" s="9" t="str">
        <f>if('Point Intercept 1'!G704 = 'Point Intercept 2'!G704, 'Point Intercept 1'!G704, "ERROR")</f>
        <v>SS</v>
      </c>
      <c r="H704" s="9">
        <f>if('Point Intercept 1'!I704 = 'Point Intercept 2'!I704, 'Point Intercept 1'!I704, "ERROR")</f>
        <v>10</v>
      </c>
      <c r="I704" s="9">
        <f>if('Point Intercept 1'!H704 = 'Point Intercept 2'!H704, 'Point Intercept 1'!H704, "ERROR")</f>
        <v>1</v>
      </c>
      <c r="J704" s="9">
        <f>if('Point Intercept 1'!J704 = 'Point Intercept 2'!J704, 'Point Intercept 1'!J704, "ERROR")</f>
        <v>8</v>
      </c>
      <c r="K704" s="9" t="str">
        <f>if('Point Intercept 1'!K704 = 'Point Intercept 2'!K704, 'Point Intercept 1'!K704, "ERROR")</f>
        <v>L</v>
      </c>
      <c r="L704" s="9" t="str">
        <f>if('Point Intercept 1'!L704 = 'Point Intercept 2'!L704, 'Point Intercept 1'!L704, "ERROR")</f>
        <v>Litter</v>
      </c>
    </row>
    <row r="705">
      <c r="A705" s="9">
        <f>if('Point Intercept 1'!A705 = 'Point Intercept 2'!A705, 'Point Intercept 1'!A705, "ERROR")</f>
        <v>8</v>
      </c>
      <c r="B705" s="9">
        <f>if('Point Intercept 1'!B705 = 'Point Intercept 2'!B705, 'Point Intercept 1'!B705, "ERROR")</f>
        <v>2025</v>
      </c>
      <c r="C705" s="14">
        <f>if('Point Intercept 1'!C705 = 'Point Intercept 2'!C705, 'Point Intercept 1'!C705, "ERROR")</f>
        <v>45764</v>
      </c>
      <c r="D705" s="9" t="str">
        <f>if('Point Intercept 1'!D705 = 'Point Intercept 2'!D705, 'Point Intercept 1'!D705, "ERROR")</f>
        <v>TL, BN, JR, AA</v>
      </c>
      <c r="E705" s="9" t="str">
        <f>if('Point Intercept 1'!E705 = 'Point Intercept 2'!E705, 'Point Intercept 1'!E705, "ERROR")</f>
        <v>VB</v>
      </c>
      <c r="F705" s="9">
        <f>if('Point Intercept 1'!F705 = 'Point Intercept 2'!F705, 'Point Intercept 1'!F705, "ERROR")</f>
        <v>1</v>
      </c>
      <c r="G705" s="9" t="str">
        <f>if('Point Intercept 1'!G705 = 'Point Intercept 2'!G705, 'Point Intercept 1'!G705, "ERROR")</f>
        <v>SS</v>
      </c>
      <c r="H705" s="9">
        <f>if('Point Intercept 1'!I705 = 'Point Intercept 2'!I705, 'Point Intercept 1'!I705, "ERROR")</f>
        <v>10</v>
      </c>
      <c r="I705" s="9">
        <f>if('Point Intercept 1'!H705 = 'Point Intercept 2'!H705, 'Point Intercept 1'!H705, "ERROR")</f>
        <v>1</v>
      </c>
      <c r="J705" s="9">
        <f>if('Point Intercept 1'!J705 = 'Point Intercept 2'!J705, 'Point Intercept 1'!J705, "ERROR")</f>
        <v>8</v>
      </c>
      <c r="K705" s="9" t="str">
        <f>if('Point Intercept 1'!K705 = 'Point Intercept 2'!K705, 'Point Intercept 1'!K705, "ERROR")</f>
        <v>SONOLE</v>
      </c>
      <c r="L705" s="9" t="str">
        <f>if('Point Intercept 1'!L705 = 'Point Intercept 2'!L705, 'Point Intercept 1'!L705, "ERROR")</f>
        <v>Sonchus oleraceus</v>
      </c>
    </row>
    <row r="706">
      <c r="A706" s="9">
        <f>if('Point Intercept 1'!A706 = 'Point Intercept 2'!A706, 'Point Intercept 1'!A706, "ERROR")</f>
        <v>8</v>
      </c>
      <c r="B706" s="9">
        <f>if('Point Intercept 1'!B706 = 'Point Intercept 2'!B706, 'Point Intercept 1'!B706, "ERROR")</f>
        <v>2025</v>
      </c>
      <c r="C706" s="14">
        <f>if('Point Intercept 1'!C706 = 'Point Intercept 2'!C706, 'Point Intercept 1'!C706, "ERROR")</f>
        <v>45764</v>
      </c>
      <c r="D706" s="9" t="str">
        <f>if('Point Intercept 1'!D706 = 'Point Intercept 2'!D706, 'Point Intercept 1'!D706, "ERROR")</f>
        <v>TL, BN, JR, AA</v>
      </c>
      <c r="E706" s="9" t="str">
        <f>if('Point Intercept 1'!E706 = 'Point Intercept 2'!E706, 'Point Intercept 1'!E706, "ERROR")</f>
        <v>VB</v>
      </c>
      <c r="F706" s="9">
        <f>if('Point Intercept 1'!F706 = 'Point Intercept 2'!F706, 'Point Intercept 1'!F706, "ERROR")</f>
        <v>1</v>
      </c>
      <c r="G706" s="9" t="str">
        <f>if('Point Intercept 1'!G706 = 'Point Intercept 2'!G706, 'Point Intercept 1'!G706, "ERROR")</f>
        <v>SS</v>
      </c>
      <c r="H706" s="9">
        <f>if('Point Intercept 1'!I706 = 'Point Intercept 2'!I706, 'Point Intercept 1'!I706, "ERROR")</f>
        <v>10</v>
      </c>
      <c r="I706" s="9">
        <f>if('Point Intercept 1'!H706 = 'Point Intercept 2'!H706, 'Point Intercept 1'!H706, "ERROR")</f>
        <v>1</v>
      </c>
      <c r="J706" s="9">
        <f>if('Point Intercept 1'!J706 = 'Point Intercept 2'!J706, 'Point Intercept 1'!J706, "ERROR")</f>
        <v>8</v>
      </c>
      <c r="K706" s="9" t="str">
        <f>if('Point Intercept 1'!K706 = 'Point Intercept 2'!K706, 'Point Intercept 1'!K706, "ERROR")</f>
        <v>BROMAD</v>
      </c>
      <c r="L706" s="9" t="str">
        <f>if('Point Intercept 1'!L706 = 'Point Intercept 2'!L706, 'Point Intercept 1'!L706, "ERROR")</f>
        <v>Bromus madritensis</v>
      </c>
    </row>
    <row r="707">
      <c r="A707" s="9">
        <f>if('Point Intercept 1'!A707 = 'Point Intercept 2'!A707, 'Point Intercept 1'!A707, "ERROR")</f>
        <v>8</v>
      </c>
      <c r="B707" s="9">
        <f>if('Point Intercept 1'!B707 = 'Point Intercept 2'!B707, 'Point Intercept 1'!B707, "ERROR")</f>
        <v>2025</v>
      </c>
      <c r="C707" s="14">
        <f>if('Point Intercept 1'!C707 = 'Point Intercept 2'!C707, 'Point Intercept 1'!C707, "ERROR")</f>
        <v>45764</v>
      </c>
      <c r="D707" s="9" t="str">
        <f>if('Point Intercept 1'!D707 = 'Point Intercept 2'!D707, 'Point Intercept 1'!D707, "ERROR")</f>
        <v>TL, BN, JR, AA</v>
      </c>
      <c r="E707" s="9" t="str">
        <f>if('Point Intercept 1'!E707 = 'Point Intercept 2'!E707, 'Point Intercept 1'!E707, "ERROR")</f>
        <v>VB</v>
      </c>
      <c r="F707" s="9">
        <f>if('Point Intercept 1'!F707 = 'Point Intercept 2'!F707, 'Point Intercept 1'!F707, "ERROR")</f>
        <v>1</v>
      </c>
      <c r="G707" s="9" t="str">
        <f>if('Point Intercept 1'!G707 = 'Point Intercept 2'!G707, 'Point Intercept 1'!G707, "ERROR")</f>
        <v>SS</v>
      </c>
      <c r="H707" s="9">
        <f>if('Point Intercept 1'!I707 = 'Point Intercept 2'!I707, 'Point Intercept 1'!I707, "ERROR")</f>
        <v>11</v>
      </c>
      <c r="I707" s="9">
        <f>if('Point Intercept 1'!H707 = 'Point Intercept 2'!H707, 'Point Intercept 1'!H707, "ERROR")</f>
        <v>1</v>
      </c>
      <c r="J707" s="9">
        <f>if('Point Intercept 1'!J707 = 'Point Intercept 2'!J707, 'Point Intercept 1'!J707, "ERROR")</f>
        <v>8.5</v>
      </c>
      <c r="K707" s="9" t="str">
        <f>if('Point Intercept 1'!K707 = 'Point Intercept 2'!K707, 'Point Intercept 1'!K707, "ERROR")</f>
        <v>L</v>
      </c>
      <c r="L707" s="9" t="str">
        <f>if('Point Intercept 1'!L707 = 'Point Intercept 2'!L707, 'Point Intercept 1'!L707, "ERROR")</f>
        <v>Litter</v>
      </c>
    </row>
    <row r="708">
      <c r="A708" s="9">
        <f>if('Point Intercept 1'!A708 = 'Point Intercept 2'!A708, 'Point Intercept 1'!A708, "ERROR")</f>
        <v>8</v>
      </c>
      <c r="B708" s="9">
        <f>if('Point Intercept 1'!B708 = 'Point Intercept 2'!B708, 'Point Intercept 1'!B708, "ERROR")</f>
        <v>2025</v>
      </c>
      <c r="C708" s="14">
        <f>if('Point Intercept 1'!C708 = 'Point Intercept 2'!C708, 'Point Intercept 1'!C708, "ERROR")</f>
        <v>45764</v>
      </c>
      <c r="D708" s="9" t="str">
        <f>if('Point Intercept 1'!D708 = 'Point Intercept 2'!D708, 'Point Intercept 1'!D708, "ERROR")</f>
        <v>TL, BN, JR, AA</v>
      </c>
      <c r="E708" s="9" t="str">
        <f>if('Point Intercept 1'!E708 = 'Point Intercept 2'!E708, 'Point Intercept 1'!E708, "ERROR")</f>
        <v>VB</v>
      </c>
      <c r="F708" s="9">
        <f>if('Point Intercept 1'!F708 = 'Point Intercept 2'!F708, 'Point Intercept 1'!F708, "ERROR")</f>
        <v>1</v>
      </c>
      <c r="G708" s="9" t="str">
        <f>if('Point Intercept 1'!G708 = 'Point Intercept 2'!G708, 'Point Intercept 1'!G708, "ERROR")</f>
        <v>SS</v>
      </c>
      <c r="H708" s="9">
        <f>if('Point Intercept 1'!I708 = 'Point Intercept 2'!I708, 'Point Intercept 1'!I708, "ERROR")</f>
        <v>11</v>
      </c>
      <c r="I708" s="9">
        <f>if('Point Intercept 1'!H708 = 'Point Intercept 2'!H708, 'Point Intercept 1'!H708, "ERROR")</f>
        <v>1</v>
      </c>
      <c r="J708" s="9">
        <f>if('Point Intercept 1'!J708 = 'Point Intercept 2'!J708, 'Point Intercept 1'!J708, "ERROR")</f>
        <v>8.5</v>
      </c>
      <c r="K708" s="9" t="str">
        <f>if('Point Intercept 1'!K708 = 'Point Intercept 2'!K708, 'Point Intercept 1'!K708, "ERROR")</f>
        <v>FESMYU</v>
      </c>
      <c r="L708" s="9" t="str">
        <f>if('Point Intercept 1'!L708 = 'Point Intercept 2'!L708, 'Point Intercept 1'!L708, "ERROR")</f>
        <v>Festuca myuros</v>
      </c>
    </row>
    <row r="709">
      <c r="A709" s="9">
        <f>if('Point Intercept 1'!A709 = 'Point Intercept 2'!A709, 'Point Intercept 1'!A709, "ERROR")</f>
        <v>8</v>
      </c>
      <c r="B709" s="9">
        <f>if('Point Intercept 1'!B709 = 'Point Intercept 2'!B709, 'Point Intercept 1'!B709, "ERROR")</f>
        <v>2025</v>
      </c>
      <c r="C709" s="14">
        <f>if('Point Intercept 1'!C709 = 'Point Intercept 2'!C709, 'Point Intercept 1'!C709, "ERROR")</f>
        <v>45764</v>
      </c>
      <c r="D709" s="9" t="str">
        <f>if('Point Intercept 1'!D709 = 'Point Intercept 2'!D709, 'Point Intercept 1'!D709, "ERROR")</f>
        <v>TL, BN, JR, AA</v>
      </c>
      <c r="E709" s="9" t="str">
        <f>if('Point Intercept 1'!E709 = 'Point Intercept 2'!E709, 'Point Intercept 1'!E709, "ERROR")</f>
        <v>VB</v>
      </c>
      <c r="F709" s="9">
        <f>if('Point Intercept 1'!F709 = 'Point Intercept 2'!F709, 'Point Intercept 1'!F709, "ERROR")</f>
        <v>1</v>
      </c>
      <c r="G709" s="9" t="str">
        <f>if('Point Intercept 1'!G709 = 'Point Intercept 2'!G709, 'Point Intercept 1'!G709, "ERROR")</f>
        <v>SS</v>
      </c>
      <c r="H709" s="9">
        <f>if('Point Intercept 1'!I709 = 'Point Intercept 2'!I709, 'Point Intercept 1'!I709, "ERROR")</f>
        <v>11</v>
      </c>
      <c r="I709" s="9">
        <f>if('Point Intercept 1'!H709 = 'Point Intercept 2'!H709, 'Point Intercept 1'!H709, "ERROR")</f>
        <v>1</v>
      </c>
      <c r="J709" s="9">
        <f>if('Point Intercept 1'!J709 = 'Point Intercept 2'!J709, 'Point Intercept 1'!J709, "ERROR")</f>
        <v>8.5</v>
      </c>
      <c r="K709" s="9" t="str">
        <f>if('Point Intercept 1'!K709 = 'Point Intercept 2'!K709, 'Point Intercept 1'!K709, "ERROR")</f>
        <v>DEIFAS</v>
      </c>
      <c r="L709" s="9" t="str">
        <f>if('Point Intercept 1'!L709 = 'Point Intercept 2'!L709, 'Point Intercept 1'!L709, "ERROR")</f>
        <v>Deinandra fasciculata</v>
      </c>
    </row>
    <row r="710">
      <c r="A710" s="9">
        <f>if('Point Intercept 1'!A710 = 'Point Intercept 2'!A710, 'Point Intercept 1'!A710, "ERROR")</f>
        <v>8</v>
      </c>
      <c r="B710" s="9">
        <f>if('Point Intercept 1'!B710 = 'Point Intercept 2'!B710, 'Point Intercept 1'!B710, "ERROR")</f>
        <v>2025</v>
      </c>
      <c r="C710" s="14">
        <f>if('Point Intercept 1'!C710 = 'Point Intercept 2'!C710, 'Point Intercept 1'!C710, "ERROR")</f>
        <v>45764</v>
      </c>
      <c r="D710" s="9" t="str">
        <f>if('Point Intercept 1'!D710 = 'Point Intercept 2'!D710, 'Point Intercept 1'!D710, "ERROR")</f>
        <v>TL, BN, JR, AA</v>
      </c>
      <c r="E710" s="9" t="str">
        <f>if('Point Intercept 1'!E710 = 'Point Intercept 2'!E710, 'Point Intercept 1'!E710, "ERROR")</f>
        <v>VB</v>
      </c>
      <c r="F710" s="9">
        <f>if('Point Intercept 1'!F710 = 'Point Intercept 2'!F710, 'Point Intercept 1'!F710, "ERROR")</f>
        <v>1</v>
      </c>
      <c r="G710" s="9" t="str">
        <f>if('Point Intercept 1'!G710 = 'Point Intercept 2'!G710, 'Point Intercept 1'!G710, "ERROR")</f>
        <v>SS</v>
      </c>
      <c r="H710" s="9">
        <f>if('Point Intercept 1'!I710 = 'Point Intercept 2'!I710, 'Point Intercept 1'!I710, "ERROR")</f>
        <v>12</v>
      </c>
      <c r="I710" s="9">
        <f>if('Point Intercept 1'!H710 = 'Point Intercept 2'!H710, 'Point Intercept 1'!H710, "ERROR")</f>
        <v>1</v>
      </c>
      <c r="J710" s="9">
        <f>if('Point Intercept 1'!J710 = 'Point Intercept 2'!J710, 'Point Intercept 1'!J710, "ERROR")</f>
        <v>9</v>
      </c>
      <c r="K710" s="9" t="str">
        <f>if('Point Intercept 1'!K710 = 'Point Intercept 2'!K710, 'Point Intercept 1'!K710, "ERROR")</f>
        <v>L</v>
      </c>
      <c r="L710" s="9" t="str">
        <f>if('Point Intercept 1'!L710 = 'Point Intercept 2'!L710, 'Point Intercept 1'!L710, "ERROR")</f>
        <v>Litter</v>
      </c>
    </row>
    <row r="711">
      <c r="A711" s="9">
        <f>if('Point Intercept 1'!A711 = 'Point Intercept 2'!A711, 'Point Intercept 1'!A711, "ERROR")</f>
        <v>8</v>
      </c>
      <c r="B711" s="9">
        <f>if('Point Intercept 1'!B711 = 'Point Intercept 2'!B711, 'Point Intercept 1'!B711, "ERROR")</f>
        <v>2025</v>
      </c>
      <c r="C711" s="14">
        <f>if('Point Intercept 1'!C711 = 'Point Intercept 2'!C711, 'Point Intercept 1'!C711, "ERROR")</f>
        <v>45764</v>
      </c>
      <c r="D711" s="9" t="str">
        <f>if('Point Intercept 1'!D711 = 'Point Intercept 2'!D711, 'Point Intercept 1'!D711, "ERROR")</f>
        <v>TL, BN, JR, AA</v>
      </c>
      <c r="E711" s="9" t="str">
        <f>if('Point Intercept 1'!E711 = 'Point Intercept 2'!E711, 'Point Intercept 1'!E711, "ERROR")</f>
        <v>VB</v>
      </c>
      <c r="F711" s="9">
        <f>if('Point Intercept 1'!F711 = 'Point Intercept 2'!F711, 'Point Intercept 1'!F711, "ERROR")</f>
        <v>1</v>
      </c>
      <c r="G711" s="9" t="str">
        <f>if('Point Intercept 1'!G711 = 'Point Intercept 2'!G711, 'Point Intercept 1'!G711, "ERROR")</f>
        <v>SS</v>
      </c>
      <c r="H711" s="9">
        <f>if('Point Intercept 1'!I711 = 'Point Intercept 2'!I711, 'Point Intercept 1'!I711, "ERROR")</f>
        <v>12</v>
      </c>
      <c r="I711" s="9">
        <f>if('Point Intercept 1'!H711 = 'Point Intercept 2'!H711, 'Point Intercept 1'!H711, "ERROR")</f>
        <v>1</v>
      </c>
      <c r="J711" s="9">
        <f>if('Point Intercept 1'!J711 = 'Point Intercept 2'!J711, 'Point Intercept 1'!J711, "ERROR")</f>
        <v>9</v>
      </c>
      <c r="K711" s="9" t="str">
        <f>if('Point Intercept 1'!K711 = 'Point Intercept 2'!K711, 'Point Intercept 1'!K711, "ERROR")</f>
        <v>SONASP</v>
      </c>
      <c r="L711" s="9" t="str">
        <f>if('Point Intercept 1'!L711 = 'Point Intercept 2'!L711, 'Point Intercept 1'!L711, "ERROR")</f>
        <v>Sonchus asper</v>
      </c>
    </row>
    <row r="712">
      <c r="A712" s="9">
        <f>if('Point Intercept 1'!A712 = 'Point Intercept 2'!A712, 'Point Intercept 1'!A712, "ERROR")</f>
        <v>8</v>
      </c>
      <c r="B712" s="9">
        <f>if('Point Intercept 1'!B712 = 'Point Intercept 2'!B712, 'Point Intercept 1'!B712, "ERROR")</f>
        <v>2025</v>
      </c>
      <c r="C712" s="14">
        <f>if('Point Intercept 1'!C712 = 'Point Intercept 2'!C712, 'Point Intercept 1'!C712, "ERROR")</f>
        <v>45764</v>
      </c>
      <c r="D712" s="9" t="str">
        <f>if('Point Intercept 1'!D712 = 'Point Intercept 2'!D712, 'Point Intercept 1'!D712, "ERROR")</f>
        <v>TL, BN, JR, AA</v>
      </c>
      <c r="E712" s="9" t="str">
        <f>if('Point Intercept 1'!E712 = 'Point Intercept 2'!E712, 'Point Intercept 1'!E712, "ERROR")</f>
        <v>VB</v>
      </c>
      <c r="F712" s="9">
        <f>if('Point Intercept 1'!F712 = 'Point Intercept 2'!F712, 'Point Intercept 1'!F712, "ERROR")</f>
        <v>1</v>
      </c>
      <c r="G712" s="9" t="str">
        <f>if('Point Intercept 1'!G712 = 'Point Intercept 2'!G712, 'Point Intercept 1'!G712, "ERROR")</f>
        <v>SS</v>
      </c>
      <c r="H712" s="9">
        <f>if('Point Intercept 1'!I712 = 'Point Intercept 2'!I712, 'Point Intercept 1'!I712, "ERROR")</f>
        <v>13</v>
      </c>
      <c r="I712" s="9">
        <f>if('Point Intercept 1'!H712 = 'Point Intercept 2'!H712, 'Point Intercept 1'!H712, "ERROR")</f>
        <v>1</v>
      </c>
      <c r="J712" s="9">
        <f>if('Point Intercept 1'!J712 = 'Point Intercept 2'!J712, 'Point Intercept 1'!J712, "ERROR")</f>
        <v>10</v>
      </c>
      <c r="K712" s="9" t="str">
        <f>if('Point Intercept 1'!K712 = 'Point Intercept 2'!K712, 'Point Intercept 1'!K712, "ERROR")</f>
        <v>L</v>
      </c>
      <c r="L712" s="9" t="str">
        <f>if('Point Intercept 1'!L712 = 'Point Intercept 2'!L712, 'Point Intercept 1'!L712, "ERROR")</f>
        <v>Litter</v>
      </c>
    </row>
    <row r="713">
      <c r="A713" s="9">
        <f>if('Point Intercept 1'!A713 = 'Point Intercept 2'!A713, 'Point Intercept 1'!A713, "ERROR")</f>
        <v>8</v>
      </c>
      <c r="B713" s="9">
        <f>if('Point Intercept 1'!B713 = 'Point Intercept 2'!B713, 'Point Intercept 1'!B713, "ERROR")</f>
        <v>2025</v>
      </c>
      <c r="C713" s="14">
        <f>if('Point Intercept 1'!C713 = 'Point Intercept 2'!C713, 'Point Intercept 1'!C713, "ERROR")</f>
        <v>45764</v>
      </c>
      <c r="D713" s="9" t="str">
        <f>if('Point Intercept 1'!D713 = 'Point Intercept 2'!D713, 'Point Intercept 1'!D713, "ERROR")</f>
        <v>TL, BN, JR, AA</v>
      </c>
      <c r="E713" s="9" t="str">
        <f>if('Point Intercept 1'!E713 = 'Point Intercept 2'!E713, 'Point Intercept 1'!E713, "ERROR")</f>
        <v>VB</v>
      </c>
      <c r="F713" s="9">
        <f>if('Point Intercept 1'!F713 = 'Point Intercept 2'!F713, 'Point Intercept 1'!F713, "ERROR")</f>
        <v>1</v>
      </c>
      <c r="G713" s="9" t="str">
        <f>if('Point Intercept 1'!G713 = 'Point Intercept 2'!G713, 'Point Intercept 1'!G713, "ERROR")</f>
        <v>SS</v>
      </c>
      <c r="H713" s="9">
        <f>if('Point Intercept 1'!I713 = 'Point Intercept 2'!I713, 'Point Intercept 1'!I713, "ERROR")</f>
        <v>13</v>
      </c>
      <c r="I713" s="9">
        <f>if('Point Intercept 1'!H713 = 'Point Intercept 2'!H713, 'Point Intercept 1'!H713, "ERROR")</f>
        <v>1</v>
      </c>
      <c r="J713" s="9">
        <f>if('Point Intercept 1'!J713 = 'Point Intercept 2'!J713, 'Point Intercept 1'!J713, "ERROR")</f>
        <v>10</v>
      </c>
      <c r="K713" s="9" t="str">
        <f>if('Point Intercept 1'!K713 = 'Point Intercept 2'!K713, 'Point Intercept 1'!K713, "ERROR")</f>
        <v>DEIFAS</v>
      </c>
      <c r="L713" s="9" t="str">
        <f>if('Point Intercept 1'!L713 = 'Point Intercept 2'!L713, 'Point Intercept 1'!L713, "ERROR")</f>
        <v>Deinandra fasciculata</v>
      </c>
    </row>
    <row r="714">
      <c r="A714" s="9">
        <f>if('Point Intercept 1'!A714 = 'Point Intercept 2'!A714, 'Point Intercept 1'!A714, "ERROR")</f>
        <v>8</v>
      </c>
      <c r="B714" s="9">
        <f>if('Point Intercept 1'!B714 = 'Point Intercept 2'!B714, 'Point Intercept 1'!B714, "ERROR")</f>
        <v>2025</v>
      </c>
      <c r="C714" s="14">
        <f>if('Point Intercept 1'!C714 = 'Point Intercept 2'!C714, 'Point Intercept 1'!C714, "ERROR")</f>
        <v>45764</v>
      </c>
      <c r="D714" s="9" t="str">
        <f>if('Point Intercept 1'!D714 = 'Point Intercept 2'!D714, 'Point Intercept 1'!D714, "ERROR")</f>
        <v>TL, BN, JR, AA</v>
      </c>
      <c r="E714" s="9" t="str">
        <f>if('Point Intercept 1'!E714 = 'Point Intercept 2'!E714, 'Point Intercept 1'!E714, "ERROR")</f>
        <v>VB</v>
      </c>
      <c r="F714" s="9">
        <f>if('Point Intercept 1'!F714 = 'Point Intercept 2'!F714, 'Point Intercept 1'!F714, "ERROR")</f>
        <v>1</v>
      </c>
      <c r="G714" s="9" t="str">
        <f>if('Point Intercept 1'!G714 = 'Point Intercept 2'!G714, 'Point Intercept 1'!G714, "ERROR")</f>
        <v>SS</v>
      </c>
      <c r="H714" s="9">
        <f>if('Point Intercept 1'!I714 = 'Point Intercept 2'!I714, 'Point Intercept 1'!I714, "ERROR")</f>
        <v>14</v>
      </c>
      <c r="I714" s="9">
        <f>if('Point Intercept 1'!H714 = 'Point Intercept 2'!H714, 'Point Intercept 1'!H714, "ERROR")</f>
        <v>1</v>
      </c>
      <c r="J714" s="9">
        <f>if('Point Intercept 1'!J714 = 'Point Intercept 2'!J714, 'Point Intercept 1'!J714, "ERROR")</f>
        <v>11</v>
      </c>
      <c r="K714" s="9" t="str">
        <f>if('Point Intercept 1'!K714 = 'Point Intercept 2'!K714, 'Point Intercept 1'!K714, "ERROR")</f>
        <v>L</v>
      </c>
      <c r="L714" s="9" t="str">
        <f>if('Point Intercept 1'!L714 = 'Point Intercept 2'!L714, 'Point Intercept 1'!L714, "ERROR")</f>
        <v>Litter</v>
      </c>
    </row>
    <row r="715">
      <c r="A715" s="9">
        <f>if('Point Intercept 1'!A715 = 'Point Intercept 2'!A715, 'Point Intercept 1'!A715, "ERROR")</f>
        <v>8</v>
      </c>
      <c r="B715" s="9">
        <f>if('Point Intercept 1'!B715 = 'Point Intercept 2'!B715, 'Point Intercept 1'!B715, "ERROR")</f>
        <v>2025</v>
      </c>
      <c r="C715" s="14">
        <f>if('Point Intercept 1'!C715 = 'Point Intercept 2'!C715, 'Point Intercept 1'!C715, "ERROR")</f>
        <v>45764</v>
      </c>
      <c r="D715" s="9" t="str">
        <f>if('Point Intercept 1'!D715 = 'Point Intercept 2'!D715, 'Point Intercept 1'!D715, "ERROR")</f>
        <v>TL, BN, JR, AA</v>
      </c>
      <c r="E715" s="9" t="str">
        <f>if('Point Intercept 1'!E715 = 'Point Intercept 2'!E715, 'Point Intercept 1'!E715, "ERROR")</f>
        <v>VB</v>
      </c>
      <c r="F715" s="9">
        <f>if('Point Intercept 1'!F715 = 'Point Intercept 2'!F715, 'Point Intercept 1'!F715, "ERROR")</f>
        <v>1</v>
      </c>
      <c r="G715" s="9" t="str">
        <f>if('Point Intercept 1'!G715 = 'Point Intercept 2'!G715, 'Point Intercept 1'!G715, "ERROR")</f>
        <v>SS</v>
      </c>
      <c r="H715" s="9">
        <f>if('Point Intercept 1'!I715 = 'Point Intercept 2'!I715, 'Point Intercept 1'!I715, "ERROR")</f>
        <v>14</v>
      </c>
      <c r="I715" s="9">
        <f>if('Point Intercept 1'!H715 = 'Point Intercept 2'!H715, 'Point Intercept 1'!H715, "ERROR")</f>
        <v>1</v>
      </c>
      <c r="J715" s="9">
        <f>if('Point Intercept 1'!J715 = 'Point Intercept 2'!J715, 'Point Intercept 1'!J715, "ERROR")</f>
        <v>11</v>
      </c>
      <c r="K715" s="9" t="str">
        <f>if('Point Intercept 1'!K715 = 'Point Intercept 2'!K715, 'Point Intercept 1'!K715, "ERROR")</f>
        <v>BROMAD</v>
      </c>
      <c r="L715" s="9" t="str">
        <f>if('Point Intercept 1'!L715 = 'Point Intercept 2'!L715, 'Point Intercept 1'!L715, "ERROR")</f>
        <v>Bromus madritensis</v>
      </c>
    </row>
    <row r="716">
      <c r="A716" s="9">
        <f>if('Point Intercept 1'!A716 = 'Point Intercept 2'!A716, 'Point Intercept 1'!A716, "ERROR")</f>
        <v>8</v>
      </c>
      <c r="B716" s="9">
        <f>if('Point Intercept 1'!B716 = 'Point Intercept 2'!B716, 'Point Intercept 1'!B716, "ERROR")</f>
        <v>2025</v>
      </c>
      <c r="C716" s="14">
        <f>if('Point Intercept 1'!C716 = 'Point Intercept 2'!C716, 'Point Intercept 1'!C716, "ERROR")</f>
        <v>45764</v>
      </c>
      <c r="D716" s="9" t="str">
        <f>if('Point Intercept 1'!D716 = 'Point Intercept 2'!D716, 'Point Intercept 1'!D716, "ERROR")</f>
        <v>TL, BN, JR, AA</v>
      </c>
      <c r="E716" s="9" t="str">
        <f>if('Point Intercept 1'!E716 = 'Point Intercept 2'!E716, 'Point Intercept 1'!E716, "ERROR")</f>
        <v>VB</v>
      </c>
      <c r="F716" s="9">
        <f>if('Point Intercept 1'!F716 = 'Point Intercept 2'!F716, 'Point Intercept 1'!F716, "ERROR")</f>
        <v>1</v>
      </c>
      <c r="G716" s="9" t="str">
        <f>if('Point Intercept 1'!G716 = 'Point Intercept 2'!G716, 'Point Intercept 1'!G716, "ERROR")</f>
        <v>SS</v>
      </c>
      <c r="H716" s="9">
        <f>if('Point Intercept 1'!I716 = 'Point Intercept 2'!I716, 'Point Intercept 1'!I716, "ERROR")</f>
        <v>15</v>
      </c>
      <c r="I716" s="9">
        <f>if('Point Intercept 1'!H716 = 'Point Intercept 2'!H716, 'Point Intercept 1'!H716, "ERROR")</f>
        <v>1</v>
      </c>
      <c r="J716" s="9">
        <f>if('Point Intercept 1'!J716 = 'Point Intercept 2'!J716, 'Point Intercept 1'!J716, "ERROR")</f>
        <v>12</v>
      </c>
      <c r="K716" s="9" t="str">
        <f>if('Point Intercept 1'!K716 = 'Point Intercept 2'!K716, 'Point Intercept 1'!K716, "ERROR")</f>
        <v>B</v>
      </c>
      <c r="L716" s="9" t="str">
        <f>if('Point Intercept 1'!L716 = 'Point Intercept 2'!L716, 'Point Intercept 1'!L716, "ERROR")</f>
        <v>Bareground</v>
      </c>
    </row>
    <row r="717">
      <c r="A717" s="9">
        <f>if('Point Intercept 1'!A717 = 'Point Intercept 2'!A717, 'Point Intercept 1'!A717, "ERROR")</f>
        <v>8</v>
      </c>
      <c r="B717" s="9">
        <f>if('Point Intercept 1'!B717 = 'Point Intercept 2'!B717, 'Point Intercept 1'!B717, "ERROR")</f>
        <v>2025</v>
      </c>
      <c r="C717" s="14">
        <f>if('Point Intercept 1'!C717 = 'Point Intercept 2'!C717, 'Point Intercept 1'!C717, "ERROR")</f>
        <v>45764</v>
      </c>
      <c r="D717" s="9" t="str">
        <f>if('Point Intercept 1'!D717 = 'Point Intercept 2'!D717, 'Point Intercept 1'!D717, "ERROR")</f>
        <v>TL, BN, JR, AA</v>
      </c>
      <c r="E717" s="9" t="str">
        <f>if('Point Intercept 1'!E717 = 'Point Intercept 2'!E717, 'Point Intercept 1'!E717, "ERROR")</f>
        <v>VB</v>
      </c>
      <c r="F717" s="9">
        <f>if('Point Intercept 1'!F717 = 'Point Intercept 2'!F717, 'Point Intercept 1'!F717, "ERROR")</f>
        <v>1</v>
      </c>
      <c r="G717" s="9" t="str">
        <f>if('Point Intercept 1'!G717 = 'Point Intercept 2'!G717, 'Point Intercept 1'!G717, "ERROR")</f>
        <v>SS</v>
      </c>
      <c r="H717" s="9">
        <f>if('Point Intercept 1'!I717 = 'Point Intercept 2'!I717, 'Point Intercept 1'!I717, "ERROR")</f>
        <v>1</v>
      </c>
      <c r="I717" s="9">
        <f>if('Point Intercept 1'!H717 = 'Point Intercept 2'!H717, 'Point Intercept 1'!H717, "ERROR")</f>
        <v>2</v>
      </c>
      <c r="J717" s="9">
        <f>if('Point Intercept 1'!J717 = 'Point Intercept 2'!J717, 'Point Intercept 1'!J717, "ERROR")</f>
        <v>0</v>
      </c>
      <c r="K717" s="9" t="str">
        <f>if('Point Intercept 1'!K717 = 'Point Intercept 2'!K717, 'Point Intercept 1'!K717, "ERROR")</f>
        <v>M</v>
      </c>
      <c r="L717" s="9" t="str">
        <f>if('Point Intercept 1'!L717 = 'Point Intercept 2'!L717, 'Point Intercept 1'!L717, "ERROR")</f>
        <v>Moss</v>
      </c>
    </row>
    <row r="718">
      <c r="A718" s="9">
        <f>if('Point Intercept 1'!A718 = 'Point Intercept 2'!A718, 'Point Intercept 1'!A718, "ERROR")</f>
        <v>8</v>
      </c>
      <c r="B718" s="9">
        <f>if('Point Intercept 1'!B718 = 'Point Intercept 2'!B718, 'Point Intercept 1'!B718, "ERROR")</f>
        <v>2025</v>
      </c>
      <c r="C718" s="14">
        <f>if('Point Intercept 1'!C718 = 'Point Intercept 2'!C718, 'Point Intercept 1'!C718, "ERROR")</f>
        <v>45764</v>
      </c>
      <c r="D718" s="9" t="str">
        <f>if('Point Intercept 1'!D718 = 'Point Intercept 2'!D718, 'Point Intercept 1'!D718, "ERROR")</f>
        <v>TL, BN, JR, AA</v>
      </c>
      <c r="E718" s="9" t="str">
        <f>if('Point Intercept 1'!E718 = 'Point Intercept 2'!E718, 'Point Intercept 1'!E718, "ERROR")</f>
        <v>VB</v>
      </c>
      <c r="F718" s="9">
        <f>if('Point Intercept 1'!F718 = 'Point Intercept 2'!F718, 'Point Intercept 1'!F718, "ERROR")</f>
        <v>1</v>
      </c>
      <c r="G718" s="9" t="str">
        <f>if('Point Intercept 1'!G718 = 'Point Intercept 2'!G718, 'Point Intercept 1'!G718, "ERROR")</f>
        <v>SS</v>
      </c>
      <c r="H718" s="9">
        <f>if('Point Intercept 1'!I718 = 'Point Intercept 2'!I718, 'Point Intercept 1'!I718, "ERROR")</f>
        <v>1</v>
      </c>
      <c r="I718" s="9">
        <f>if('Point Intercept 1'!H718 = 'Point Intercept 2'!H718, 'Point Intercept 1'!H718, "ERROR")</f>
        <v>2</v>
      </c>
      <c r="J718" s="9">
        <f>if('Point Intercept 1'!J718 = 'Point Intercept 2'!J718, 'Point Intercept 1'!J718, "ERROR")</f>
        <v>0</v>
      </c>
      <c r="K718" s="9" t="str">
        <f>if('Point Intercept 1'!K718 = 'Point Intercept 2'!K718, 'Point Intercept 1'!K718, "ERROR")</f>
        <v>CYLPRO</v>
      </c>
      <c r="L718" s="9" t="str">
        <f>if('Point Intercept 1'!L718 = 'Point Intercept 2'!L718, 'Point Intercept 1'!L718, "ERROR")</f>
        <v>Cylindropuntia prolifera</v>
      </c>
    </row>
    <row r="719">
      <c r="A719" s="9">
        <f>if('Point Intercept 1'!A719 = 'Point Intercept 2'!A719, 'Point Intercept 1'!A719, "ERROR")</f>
        <v>8</v>
      </c>
      <c r="B719" s="9">
        <f>if('Point Intercept 1'!B719 = 'Point Intercept 2'!B719, 'Point Intercept 1'!B719, "ERROR")</f>
        <v>2025</v>
      </c>
      <c r="C719" s="14">
        <f>if('Point Intercept 1'!C719 = 'Point Intercept 2'!C719, 'Point Intercept 1'!C719, "ERROR")</f>
        <v>45764</v>
      </c>
      <c r="D719" s="9" t="str">
        <f>if('Point Intercept 1'!D719 = 'Point Intercept 2'!D719, 'Point Intercept 1'!D719, "ERROR")</f>
        <v>TL, BN, JR, AA</v>
      </c>
      <c r="E719" s="9" t="str">
        <f>if('Point Intercept 1'!E719 = 'Point Intercept 2'!E719, 'Point Intercept 1'!E719, "ERROR")</f>
        <v>VB</v>
      </c>
      <c r="F719" s="9">
        <f>if('Point Intercept 1'!F719 = 'Point Intercept 2'!F719, 'Point Intercept 1'!F719, "ERROR")</f>
        <v>1</v>
      </c>
      <c r="G719" s="9" t="str">
        <f>if('Point Intercept 1'!G719 = 'Point Intercept 2'!G719, 'Point Intercept 1'!G719, "ERROR")</f>
        <v>SS</v>
      </c>
      <c r="H719" s="9">
        <f>if('Point Intercept 1'!I719 = 'Point Intercept 2'!I719, 'Point Intercept 1'!I719, "ERROR")</f>
        <v>1</v>
      </c>
      <c r="I719" s="9">
        <f>if('Point Intercept 1'!H719 = 'Point Intercept 2'!H719, 'Point Intercept 1'!H719, "ERROR")</f>
        <v>2</v>
      </c>
      <c r="J719" s="9">
        <f>if('Point Intercept 1'!J719 = 'Point Intercept 2'!J719, 'Point Intercept 1'!J719, "ERROR")</f>
        <v>0</v>
      </c>
      <c r="K719" s="9" t="str">
        <f>if('Point Intercept 1'!K719 = 'Point Intercept 2'!K719, 'Point Intercept 1'!K719, "ERROR")</f>
        <v>SONOLE</v>
      </c>
      <c r="L719" s="9" t="str">
        <f>if('Point Intercept 1'!L719 = 'Point Intercept 2'!L719, 'Point Intercept 1'!L719, "ERROR")</f>
        <v>Sonchus oleraceus</v>
      </c>
    </row>
    <row r="720">
      <c r="A720" s="9">
        <f>if('Point Intercept 1'!A720 = 'Point Intercept 2'!A720, 'Point Intercept 1'!A720, "ERROR")</f>
        <v>8</v>
      </c>
      <c r="B720" s="9">
        <f>if('Point Intercept 1'!B720 = 'Point Intercept 2'!B720, 'Point Intercept 1'!B720, "ERROR")</f>
        <v>2025</v>
      </c>
      <c r="C720" s="14">
        <f>if('Point Intercept 1'!C720 = 'Point Intercept 2'!C720, 'Point Intercept 1'!C720, "ERROR")</f>
        <v>45764</v>
      </c>
      <c r="D720" s="9" t="str">
        <f>if('Point Intercept 1'!D720 = 'Point Intercept 2'!D720, 'Point Intercept 1'!D720, "ERROR")</f>
        <v>TL, BN, JR, AA</v>
      </c>
      <c r="E720" s="9" t="str">
        <f>if('Point Intercept 1'!E720 = 'Point Intercept 2'!E720, 'Point Intercept 1'!E720, "ERROR")</f>
        <v>VB</v>
      </c>
      <c r="F720" s="9">
        <f>if('Point Intercept 1'!F720 = 'Point Intercept 2'!F720, 'Point Intercept 1'!F720, "ERROR")</f>
        <v>1</v>
      </c>
      <c r="G720" s="9" t="str">
        <f>if('Point Intercept 1'!G720 = 'Point Intercept 2'!G720, 'Point Intercept 1'!G720, "ERROR")</f>
        <v>SS</v>
      </c>
      <c r="H720" s="9">
        <f>if('Point Intercept 1'!I720 = 'Point Intercept 2'!I720, 'Point Intercept 1'!I720, "ERROR")</f>
        <v>1</v>
      </c>
      <c r="I720" s="9">
        <f>if('Point Intercept 1'!H720 = 'Point Intercept 2'!H720, 'Point Intercept 1'!H720, "ERROR")</f>
        <v>2</v>
      </c>
      <c r="J720" s="9">
        <f>if('Point Intercept 1'!J720 = 'Point Intercept 2'!J720, 'Point Intercept 1'!J720, "ERROR")</f>
        <v>0</v>
      </c>
      <c r="K720" s="9" t="str">
        <f>if('Point Intercept 1'!K720 = 'Point Intercept 2'!K720, 'Point Intercept 1'!K720, "ERROR")</f>
        <v>ERIFAS</v>
      </c>
      <c r="L720" s="9" t="str">
        <f>if('Point Intercept 1'!L720 = 'Point Intercept 2'!L720, 'Point Intercept 1'!L720, "ERROR")</f>
        <v>Eriogonum fasciculatum</v>
      </c>
    </row>
    <row r="721">
      <c r="A721" s="9">
        <f>if('Point Intercept 1'!A721 = 'Point Intercept 2'!A721, 'Point Intercept 1'!A721, "ERROR")</f>
        <v>8</v>
      </c>
      <c r="B721" s="9">
        <f>if('Point Intercept 1'!B721 = 'Point Intercept 2'!B721, 'Point Intercept 1'!B721, "ERROR")</f>
        <v>2025</v>
      </c>
      <c r="C721" s="14">
        <f>if('Point Intercept 1'!C721 = 'Point Intercept 2'!C721, 'Point Intercept 1'!C721, "ERROR")</f>
        <v>45764</v>
      </c>
      <c r="D721" s="9" t="str">
        <f>if('Point Intercept 1'!D721 = 'Point Intercept 2'!D721, 'Point Intercept 1'!D721, "ERROR")</f>
        <v>TL, BN, JR, AA</v>
      </c>
      <c r="E721" s="9" t="str">
        <f>if('Point Intercept 1'!E721 = 'Point Intercept 2'!E721, 'Point Intercept 1'!E721, "ERROR")</f>
        <v>VB</v>
      </c>
      <c r="F721" s="9">
        <f>if('Point Intercept 1'!F721 = 'Point Intercept 2'!F721, 'Point Intercept 1'!F721, "ERROR")</f>
        <v>1</v>
      </c>
      <c r="G721" s="9" t="str">
        <f>if('Point Intercept 1'!G721 = 'Point Intercept 2'!G721, 'Point Intercept 1'!G721, "ERROR")</f>
        <v>SS</v>
      </c>
      <c r="H721" s="9">
        <f>if('Point Intercept 1'!I721 = 'Point Intercept 2'!I721, 'Point Intercept 1'!I721, "ERROR")</f>
        <v>2</v>
      </c>
      <c r="I721" s="9">
        <f>if('Point Intercept 1'!H721 = 'Point Intercept 2'!H721, 'Point Intercept 1'!H721, "ERROR")</f>
        <v>2</v>
      </c>
      <c r="J721" s="9">
        <f>if('Point Intercept 1'!J721 = 'Point Intercept 2'!J721, 'Point Intercept 1'!J721, "ERROR")</f>
        <v>1</v>
      </c>
      <c r="K721" s="9" t="str">
        <f>if('Point Intercept 1'!K721 = 'Point Intercept 2'!K721, 'Point Intercept 1'!K721, "ERROR")</f>
        <v>L</v>
      </c>
      <c r="L721" s="9" t="str">
        <f>if('Point Intercept 1'!L721 = 'Point Intercept 2'!L721, 'Point Intercept 1'!L721, "ERROR")</f>
        <v>Litter</v>
      </c>
    </row>
    <row r="722">
      <c r="A722" s="9">
        <f>if('Point Intercept 1'!A722 = 'Point Intercept 2'!A722, 'Point Intercept 1'!A722, "ERROR")</f>
        <v>8</v>
      </c>
      <c r="B722" s="9">
        <f>if('Point Intercept 1'!B722 = 'Point Intercept 2'!B722, 'Point Intercept 1'!B722, "ERROR")</f>
        <v>2025</v>
      </c>
      <c r="C722" s="14">
        <f>if('Point Intercept 1'!C722 = 'Point Intercept 2'!C722, 'Point Intercept 1'!C722, "ERROR")</f>
        <v>45764</v>
      </c>
      <c r="D722" s="9" t="str">
        <f>if('Point Intercept 1'!D722 = 'Point Intercept 2'!D722, 'Point Intercept 1'!D722, "ERROR")</f>
        <v>TL, BN, JR, AA</v>
      </c>
      <c r="E722" s="9" t="str">
        <f>if('Point Intercept 1'!E722 = 'Point Intercept 2'!E722, 'Point Intercept 1'!E722, "ERROR")</f>
        <v>VB</v>
      </c>
      <c r="F722" s="9">
        <f>if('Point Intercept 1'!F722 = 'Point Intercept 2'!F722, 'Point Intercept 1'!F722, "ERROR")</f>
        <v>1</v>
      </c>
      <c r="G722" s="9" t="str">
        <f>if('Point Intercept 1'!G722 = 'Point Intercept 2'!G722, 'Point Intercept 1'!G722, "ERROR")</f>
        <v>SS</v>
      </c>
      <c r="H722" s="9">
        <f>if('Point Intercept 1'!I722 = 'Point Intercept 2'!I722, 'Point Intercept 1'!I722, "ERROR")</f>
        <v>2</v>
      </c>
      <c r="I722" s="9">
        <f>if('Point Intercept 1'!H722 = 'Point Intercept 2'!H722, 'Point Intercept 1'!H722, "ERROR")</f>
        <v>2</v>
      </c>
      <c r="J722" s="9">
        <f>if('Point Intercept 1'!J722 = 'Point Intercept 2'!J722, 'Point Intercept 1'!J722, "ERROR")</f>
        <v>1</v>
      </c>
      <c r="K722" s="9" t="str">
        <f>if('Point Intercept 1'!K722 = 'Point Intercept 2'!K722, 'Point Intercept 1'!K722, "ERROR")</f>
        <v>MEDPOL</v>
      </c>
      <c r="L722" s="9" t="str">
        <f>if('Point Intercept 1'!L722 = 'Point Intercept 2'!L722, 'Point Intercept 1'!L722, "ERROR")</f>
        <v>Medicago polymorpha</v>
      </c>
    </row>
    <row r="723">
      <c r="A723" s="9">
        <f>if('Point Intercept 1'!A723 = 'Point Intercept 2'!A723, 'Point Intercept 1'!A723, "ERROR")</f>
        <v>8</v>
      </c>
      <c r="B723" s="9">
        <f>if('Point Intercept 1'!B723 = 'Point Intercept 2'!B723, 'Point Intercept 1'!B723, "ERROR")</f>
        <v>2025</v>
      </c>
      <c r="C723" s="14">
        <f>if('Point Intercept 1'!C723 = 'Point Intercept 2'!C723, 'Point Intercept 1'!C723, "ERROR")</f>
        <v>45764</v>
      </c>
      <c r="D723" s="9" t="str">
        <f>if('Point Intercept 1'!D723 = 'Point Intercept 2'!D723, 'Point Intercept 1'!D723, "ERROR")</f>
        <v>TL, BN, JR, AA</v>
      </c>
      <c r="E723" s="9" t="str">
        <f>if('Point Intercept 1'!E723 = 'Point Intercept 2'!E723, 'Point Intercept 1'!E723, "ERROR")</f>
        <v>VB</v>
      </c>
      <c r="F723" s="9">
        <f>if('Point Intercept 1'!F723 = 'Point Intercept 2'!F723, 'Point Intercept 1'!F723, "ERROR")</f>
        <v>1</v>
      </c>
      <c r="G723" s="9" t="str">
        <f>if('Point Intercept 1'!G723 = 'Point Intercept 2'!G723, 'Point Intercept 1'!G723, "ERROR")</f>
        <v>SS</v>
      </c>
      <c r="H723" s="9">
        <f>if('Point Intercept 1'!I723 = 'Point Intercept 2'!I723, 'Point Intercept 1'!I723, "ERROR")</f>
        <v>2</v>
      </c>
      <c r="I723" s="9">
        <f>if('Point Intercept 1'!H723 = 'Point Intercept 2'!H723, 'Point Intercept 1'!H723, "ERROR")</f>
        <v>2</v>
      </c>
      <c r="J723" s="9">
        <f>if('Point Intercept 1'!J723 = 'Point Intercept 2'!J723, 'Point Intercept 1'!J723, "ERROR")</f>
        <v>1</v>
      </c>
      <c r="K723" s="9" t="str">
        <f>if('Point Intercept 1'!K723 = 'Point Intercept 2'!K723, 'Point Intercept 1'!K723, "ERROR")</f>
        <v>EROCIC</v>
      </c>
      <c r="L723" s="9" t="str">
        <f>if('Point Intercept 1'!L723 = 'Point Intercept 2'!L723, 'Point Intercept 1'!L723, "ERROR")</f>
        <v>Erodium cicutarium</v>
      </c>
    </row>
    <row r="724">
      <c r="A724" s="9">
        <f>if('Point Intercept 1'!A724 = 'Point Intercept 2'!A724, 'Point Intercept 1'!A724, "ERROR")</f>
        <v>8</v>
      </c>
      <c r="B724" s="9">
        <f>if('Point Intercept 1'!B724 = 'Point Intercept 2'!B724, 'Point Intercept 1'!B724, "ERROR")</f>
        <v>2025</v>
      </c>
      <c r="C724" s="14">
        <f>if('Point Intercept 1'!C724 = 'Point Intercept 2'!C724, 'Point Intercept 1'!C724, "ERROR")</f>
        <v>45764</v>
      </c>
      <c r="D724" s="9" t="str">
        <f>if('Point Intercept 1'!D724 = 'Point Intercept 2'!D724, 'Point Intercept 1'!D724, "ERROR")</f>
        <v>TL, BN, JR, AA</v>
      </c>
      <c r="E724" s="9" t="str">
        <f>if('Point Intercept 1'!E724 = 'Point Intercept 2'!E724, 'Point Intercept 1'!E724, "ERROR")</f>
        <v>VB</v>
      </c>
      <c r="F724" s="9">
        <f>if('Point Intercept 1'!F724 = 'Point Intercept 2'!F724, 'Point Intercept 1'!F724, "ERROR")</f>
        <v>1</v>
      </c>
      <c r="G724" s="9" t="str">
        <f>if('Point Intercept 1'!G724 = 'Point Intercept 2'!G724, 'Point Intercept 1'!G724, "ERROR")</f>
        <v>SS</v>
      </c>
      <c r="H724" s="9">
        <f>if('Point Intercept 1'!I724 = 'Point Intercept 2'!I724, 'Point Intercept 1'!I724, "ERROR")</f>
        <v>3</v>
      </c>
      <c r="I724" s="9">
        <f>if('Point Intercept 1'!H724 = 'Point Intercept 2'!H724, 'Point Intercept 1'!H724, "ERROR")</f>
        <v>2</v>
      </c>
      <c r="J724" s="9">
        <f>if('Point Intercept 1'!J724 = 'Point Intercept 2'!J724, 'Point Intercept 1'!J724, "ERROR")</f>
        <v>1.5</v>
      </c>
      <c r="K724" s="9" t="str">
        <f>if('Point Intercept 1'!K724 = 'Point Intercept 2'!K724, 'Point Intercept 1'!K724, "ERROR")</f>
        <v>L</v>
      </c>
      <c r="L724" s="9" t="str">
        <f>if('Point Intercept 1'!L724 = 'Point Intercept 2'!L724, 'Point Intercept 1'!L724, "ERROR")</f>
        <v>Litter</v>
      </c>
    </row>
    <row r="725">
      <c r="A725" s="9">
        <f>if('Point Intercept 1'!A725 = 'Point Intercept 2'!A725, 'Point Intercept 1'!A725, "ERROR")</f>
        <v>8</v>
      </c>
      <c r="B725" s="9">
        <f>if('Point Intercept 1'!B725 = 'Point Intercept 2'!B725, 'Point Intercept 1'!B725, "ERROR")</f>
        <v>2025</v>
      </c>
      <c r="C725" s="14">
        <f>if('Point Intercept 1'!C725 = 'Point Intercept 2'!C725, 'Point Intercept 1'!C725, "ERROR")</f>
        <v>45764</v>
      </c>
      <c r="D725" s="9" t="str">
        <f>if('Point Intercept 1'!D725 = 'Point Intercept 2'!D725, 'Point Intercept 1'!D725, "ERROR")</f>
        <v>TL, BN, JR, AA</v>
      </c>
      <c r="E725" s="9" t="str">
        <f>if('Point Intercept 1'!E725 = 'Point Intercept 2'!E725, 'Point Intercept 1'!E725, "ERROR")</f>
        <v>VB</v>
      </c>
      <c r="F725" s="9">
        <f>if('Point Intercept 1'!F725 = 'Point Intercept 2'!F725, 'Point Intercept 1'!F725, "ERROR")</f>
        <v>1</v>
      </c>
      <c r="G725" s="9" t="str">
        <f>if('Point Intercept 1'!G725 = 'Point Intercept 2'!G725, 'Point Intercept 1'!G725, "ERROR")</f>
        <v>SS</v>
      </c>
      <c r="H725" s="9">
        <f>if('Point Intercept 1'!I725 = 'Point Intercept 2'!I725, 'Point Intercept 1'!I725, "ERROR")</f>
        <v>3</v>
      </c>
      <c r="I725" s="9">
        <f>if('Point Intercept 1'!H725 = 'Point Intercept 2'!H725, 'Point Intercept 1'!H725, "ERROR")</f>
        <v>2</v>
      </c>
      <c r="J725" s="9">
        <f>if('Point Intercept 1'!J725 = 'Point Intercept 2'!J725, 'Point Intercept 1'!J725, "ERROR")</f>
        <v>1.5</v>
      </c>
      <c r="K725" s="9" t="str">
        <f>if('Point Intercept 1'!K725 = 'Point Intercept 2'!K725, 'Point Intercept 1'!K725, "ERROR")</f>
        <v>DEIFAS</v>
      </c>
      <c r="L725" s="9" t="str">
        <f>if('Point Intercept 1'!L725 = 'Point Intercept 2'!L725, 'Point Intercept 1'!L725, "ERROR")</f>
        <v>Deinandra fasciculata</v>
      </c>
    </row>
    <row r="726">
      <c r="A726" s="9">
        <f>if('Point Intercept 1'!A726 = 'Point Intercept 2'!A726, 'Point Intercept 1'!A726, "ERROR")</f>
        <v>8</v>
      </c>
      <c r="B726" s="9">
        <f>if('Point Intercept 1'!B726 = 'Point Intercept 2'!B726, 'Point Intercept 1'!B726, "ERROR")</f>
        <v>2025</v>
      </c>
      <c r="C726" s="14">
        <f>if('Point Intercept 1'!C726 = 'Point Intercept 2'!C726, 'Point Intercept 1'!C726, "ERROR")</f>
        <v>45764</v>
      </c>
      <c r="D726" s="9" t="str">
        <f>if('Point Intercept 1'!D726 = 'Point Intercept 2'!D726, 'Point Intercept 1'!D726, "ERROR")</f>
        <v>TL, BN, JR, AA</v>
      </c>
      <c r="E726" s="9" t="str">
        <f>if('Point Intercept 1'!E726 = 'Point Intercept 2'!E726, 'Point Intercept 1'!E726, "ERROR")</f>
        <v>VB</v>
      </c>
      <c r="F726" s="9">
        <f>if('Point Intercept 1'!F726 = 'Point Intercept 2'!F726, 'Point Intercept 1'!F726, "ERROR")</f>
        <v>1</v>
      </c>
      <c r="G726" s="9" t="str">
        <f>if('Point Intercept 1'!G726 = 'Point Intercept 2'!G726, 'Point Intercept 1'!G726, "ERROR")</f>
        <v>SS</v>
      </c>
      <c r="H726" s="9">
        <f>if('Point Intercept 1'!I726 = 'Point Intercept 2'!I726, 'Point Intercept 1'!I726, "ERROR")</f>
        <v>3</v>
      </c>
      <c r="I726" s="9">
        <f>if('Point Intercept 1'!H726 = 'Point Intercept 2'!H726, 'Point Intercept 1'!H726, "ERROR")</f>
        <v>2</v>
      </c>
      <c r="J726" s="9">
        <f>if('Point Intercept 1'!J726 = 'Point Intercept 2'!J726, 'Point Intercept 1'!J726, "ERROR")</f>
        <v>1.5</v>
      </c>
      <c r="K726" s="9" t="str">
        <f>if('Point Intercept 1'!K726 = 'Point Intercept 2'!K726, 'Point Intercept 1'!K726, "ERROR")</f>
        <v>EROMOS</v>
      </c>
      <c r="L726" s="9" t="str">
        <f>if('Point Intercept 1'!L726 = 'Point Intercept 2'!L726, 'Point Intercept 1'!L726, "ERROR")</f>
        <v>Erodium moschatum</v>
      </c>
    </row>
    <row r="727">
      <c r="A727" s="9">
        <f>if('Point Intercept 1'!A727 = 'Point Intercept 2'!A727, 'Point Intercept 1'!A727, "ERROR")</f>
        <v>8</v>
      </c>
      <c r="B727" s="9">
        <f>if('Point Intercept 1'!B727 = 'Point Intercept 2'!B727, 'Point Intercept 1'!B727, "ERROR")</f>
        <v>2025</v>
      </c>
      <c r="C727" s="14">
        <f>if('Point Intercept 1'!C727 = 'Point Intercept 2'!C727, 'Point Intercept 1'!C727, "ERROR")</f>
        <v>45764</v>
      </c>
      <c r="D727" s="9" t="str">
        <f>if('Point Intercept 1'!D727 = 'Point Intercept 2'!D727, 'Point Intercept 1'!D727, "ERROR")</f>
        <v>TL, BN, JR, AA</v>
      </c>
      <c r="E727" s="9" t="str">
        <f>if('Point Intercept 1'!E727 = 'Point Intercept 2'!E727, 'Point Intercept 1'!E727, "ERROR")</f>
        <v>VB</v>
      </c>
      <c r="F727" s="9">
        <f>if('Point Intercept 1'!F727 = 'Point Intercept 2'!F727, 'Point Intercept 1'!F727, "ERROR")</f>
        <v>1</v>
      </c>
      <c r="G727" s="9" t="str">
        <f>if('Point Intercept 1'!G727 = 'Point Intercept 2'!G727, 'Point Intercept 1'!G727, "ERROR")</f>
        <v>SS</v>
      </c>
      <c r="H727" s="9">
        <f>if('Point Intercept 1'!I727 = 'Point Intercept 2'!I727, 'Point Intercept 1'!I727, "ERROR")</f>
        <v>4</v>
      </c>
      <c r="I727" s="9">
        <f>if('Point Intercept 1'!H727 = 'Point Intercept 2'!H727, 'Point Intercept 1'!H727, "ERROR")</f>
        <v>2</v>
      </c>
      <c r="J727" s="9">
        <f>if('Point Intercept 1'!J727 = 'Point Intercept 2'!J727, 'Point Intercept 1'!J727, "ERROR")</f>
        <v>2</v>
      </c>
      <c r="K727" s="9" t="str">
        <f>if('Point Intercept 1'!K727 = 'Point Intercept 2'!K727, 'Point Intercept 1'!K727, "ERROR")</f>
        <v>L</v>
      </c>
      <c r="L727" s="9" t="str">
        <f>if('Point Intercept 1'!L727 = 'Point Intercept 2'!L727, 'Point Intercept 1'!L727, "ERROR")</f>
        <v>Litter</v>
      </c>
    </row>
    <row r="728">
      <c r="A728" s="9">
        <f>if('Point Intercept 1'!A728 = 'Point Intercept 2'!A728, 'Point Intercept 1'!A728, "ERROR")</f>
        <v>8</v>
      </c>
      <c r="B728" s="9">
        <f>if('Point Intercept 1'!B728 = 'Point Intercept 2'!B728, 'Point Intercept 1'!B728, "ERROR")</f>
        <v>2025</v>
      </c>
      <c r="C728" s="14">
        <f>if('Point Intercept 1'!C728 = 'Point Intercept 2'!C728, 'Point Intercept 1'!C728, "ERROR")</f>
        <v>45764</v>
      </c>
      <c r="D728" s="9" t="str">
        <f>if('Point Intercept 1'!D728 = 'Point Intercept 2'!D728, 'Point Intercept 1'!D728, "ERROR")</f>
        <v>TL, BN, JR, AA</v>
      </c>
      <c r="E728" s="9" t="str">
        <f>if('Point Intercept 1'!E728 = 'Point Intercept 2'!E728, 'Point Intercept 1'!E728, "ERROR")</f>
        <v>VB</v>
      </c>
      <c r="F728" s="9">
        <f>if('Point Intercept 1'!F728 = 'Point Intercept 2'!F728, 'Point Intercept 1'!F728, "ERROR")</f>
        <v>1</v>
      </c>
      <c r="G728" s="9" t="str">
        <f>if('Point Intercept 1'!G728 = 'Point Intercept 2'!G728, 'Point Intercept 1'!G728, "ERROR")</f>
        <v>SS</v>
      </c>
      <c r="H728" s="9">
        <f>if('Point Intercept 1'!I728 = 'Point Intercept 2'!I728, 'Point Intercept 1'!I728, "ERROR")</f>
        <v>4</v>
      </c>
      <c r="I728" s="9">
        <f>if('Point Intercept 1'!H728 = 'Point Intercept 2'!H728, 'Point Intercept 1'!H728, "ERROR")</f>
        <v>2</v>
      </c>
      <c r="J728" s="9">
        <f>if('Point Intercept 1'!J728 = 'Point Intercept 2'!J728, 'Point Intercept 1'!J728, "ERROR")</f>
        <v>2</v>
      </c>
      <c r="K728" s="9" t="str">
        <f>if('Point Intercept 1'!K728 = 'Point Intercept 2'!K728, 'Point Intercept 1'!K728, "ERROR")</f>
        <v>BROMAD</v>
      </c>
      <c r="L728" s="9" t="str">
        <f>if('Point Intercept 1'!L728 = 'Point Intercept 2'!L728, 'Point Intercept 1'!L728, "ERROR")</f>
        <v>Bromus madritensis</v>
      </c>
    </row>
    <row r="729">
      <c r="A729" s="9">
        <f>if('Point Intercept 1'!A729 = 'Point Intercept 2'!A729, 'Point Intercept 1'!A729, "ERROR")</f>
        <v>8</v>
      </c>
      <c r="B729" s="9">
        <f>if('Point Intercept 1'!B729 = 'Point Intercept 2'!B729, 'Point Intercept 1'!B729, "ERROR")</f>
        <v>2025</v>
      </c>
      <c r="C729" s="14">
        <f>if('Point Intercept 1'!C729 = 'Point Intercept 2'!C729, 'Point Intercept 1'!C729, "ERROR")</f>
        <v>45764</v>
      </c>
      <c r="D729" s="9" t="str">
        <f>if('Point Intercept 1'!D729 = 'Point Intercept 2'!D729, 'Point Intercept 1'!D729, "ERROR")</f>
        <v>TL, BN, JR, AA</v>
      </c>
      <c r="E729" s="9" t="str">
        <f>if('Point Intercept 1'!E729 = 'Point Intercept 2'!E729, 'Point Intercept 1'!E729, "ERROR")</f>
        <v>VB</v>
      </c>
      <c r="F729" s="9">
        <f>if('Point Intercept 1'!F729 = 'Point Intercept 2'!F729, 'Point Intercept 1'!F729, "ERROR")</f>
        <v>1</v>
      </c>
      <c r="G729" s="9" t="str">
        <f>if('Point Intercept 1'!G729 = 'Point Intercept 2'!G729, 'Point Intercept 1'!G729, "ERROR")</f>
        <v>SS</v>
      </c>
      <c r="H729" s="9">
        <f>if('Point Intercept 1'!I729 = 'Point Intercept 2'!I729, 'Point Intercept 1'!I729, "ERROR")</f>
        <v>5</v>
      </c>
      <c r="I729" s="9">
        <f>if('Point Intercept 1'!H729 = 'Point Intercept 2'!H729, 'Point Intercept 1'!H729, "ERROR")</f>
        <v>2</v>
      </c>
      <c r="J729" s="9">
        <f>if('Point Intercept 1'!J729 = 'Point Intercept 2'!J729, 'Point Intercept 1'!J729, "ERROR")</f>
        <v>3</v>
      </c>
      <c r="K729" s="9" t="str">
        <f>if('Point Intercept 1'!K729 = 'Point Intercept 2'!K729, 'Point Intercept 1'!K729, "ERROR")</f>
        <v>B</v>
      </c>
      <c r="L729" s="9" t="str">
        <f>if('Point Intercept 1'!L729 = 'Point Intercept 2'!L729, 'Point Intercept 1'!L729, "ERROR")</f>
        <v>Bareground</v>
      </c>
    </row>
    <row r="730">
      <c r="A730" s="9">
        <f>if('Point Intercept 1'!A730 = 'Point Intercept 2'!A730, 'Point Intercept 1'!A730, "ERROR")</f>
        <v>8</v>
      </c>
      <c r="B730" s="9">
        <f>if('Point Intercept 1'!B730 = 'Point Intercept 2'!B730, 'Point Intercept 1'!B730, "ERROR")</f>
        <v>2025</v>
      </c>
      <c r="C730" s="14">
        <f>if('Point Intercept 1'!C730 = 'Point Intercept 2'!C730, 'Point Intercept 1'!C730, "ERROR")</f>
        <v>45764</v>
      </c>
      <c r="D730" s="9" t="str">
        <f>if('Point Intercept 1'!D730 = 'Point Intercept 2'!D730, 'Point Intercept 1'!D730, "ERROR")</f>
        <v>TL, BN, JR, AA</v>
      </c>
      <c r="E730" s="9" t="str">
        <f>if('Point Intercept 1'!E730 = 'Point Intercept 2'!E730, 'Point Intercept 1'!E730, "ERROR")</f>
        <v>VB</v>
      </c>
      <c r="F730" s="9">
        <f>if('Point Intercept 1'!F730 = 'Point Intercept 2'!F730, 'Point Intercept 1'!F730, "ERROR")</f>
        <v>1</v>
      </c>
      <c r="G730" s="9" t="str">
        <f>if('Point Intercept 1'!G730 = 'Point Intercept 2'!G730, 'Point Intercept 1'!G730, "ERROR")</f>
        <v>SS</v>
      </c>
      <c r="H730" s="9">
        <f>if('Point Intercept 1'!I730 = 'Point Intercept 2'!I730, 'Point Intercept 1'!I730, "ERROR")</f>
        <v>5</v>
      </c>
      <c r="I730" s="9">
        <f>if('Point Intercept 1'!H730 = 'Point Intercept 2'!H730, 'Point Intercept 1'!H730, "ERROR")</f>
        <v>2</v>
      </c>
      <c r="J730" s="9">
        <f>if('Point Intercept 1'!J730 = 'Point Intercept 2'!J730, 'Point Intercept 1'!J730, "ERROR")</f>
        <v>3</v>
      </c>
      <c r="K730" s="9" t="str">
        <f>if('Point Intercept 1'!K730 = 'Point Intercept 2'!K730, 'Point Intercept 1'!K730, "ERROR")</f>
        <v>BROMAD</v>
      </c>
      <c r="L730" s="9" t="str">
        <f>if('Point Intercept 1'!L730 = 'Point Intercept 2'!L730, 'Point Intercept 1'!L730, "ERROR")</f>
        <v>Bromus madritensis</v>
      </c>
    </row>
    <row r="731">
      <c r="A731" s="9">
        <f>if('Point Intercept 1'!A731 = 'Point Intercept 2'!A731, 'Point Intercept 1'!A731, "ERROR")</f>
        <v>8</v>
      </c>
      <c r="B731" s="9">
        <f>if('Point Intercept 1'!B731 = 'Point Intercept 2'!B731, 'Point Intercept 1'!B731, "ERROR")</f>
        <v>2025</v>
      </c>
      <c r="C731" s="14">
        <f>if('Point Intercept 1'!C731 = 'Point Intercept 2'!C731, 'Point Intercept 1'!C731, "ERROR")</f>
        <v>45764</v>
      </c>
      <c r="D731" s="9" t="str">
        <f>if('Point Intercept 1'!D731 = 'Point Intercept 2'!D731, 'Point Intercept 1'!D731, "ERROR")</f>
        <v>TL, BN, JR, AA</v>
      </c>
      <c r="E731" s="9" t="str">
        <f>if('Point Intercept 1'!E731 = 'Point Intercept 2'!E731, 'Point Intercept 1'!E731, "ERROR")</f>
        <v>VB</v>
      </c>
      <c r="F731" s="9">
        <f>if('Point Intercept 1'!F731 = 'Point Intercept 2'!F731, 'Point Intercept 1'!F731, "ERROR")</f>
        <v>1</v>
      </c>
      <c r="G731" s="9" t="str">
        <f>if('Point Intercept 1'!G731 = 'Point Intercept 2'!G731, 'Point Intercept 1'!G731, "ERROR")</f>
        <v>SS</v>
      </c>
      <c r="H731" s="9">
        <f>if('Point Intercept 1'!I731 = 'Point Intercept 2'!I731, 'Point Intercept 1'!I731, "ERROR")</f>
        <v>6</v>
      </c>
      <c r="I731" s="9">
        <f>if('Point Intercept 1'!H731 = 'Point Intercept 2'!H731, 'Point Intercept 1'!H731, "ERROR")</f>
        <v>2</v>
      </c>
      <c r="J731" s="9">
        <f>if('Point Intercept 1'!J731 = 'Point Intercept 2'!J731, 'Point Intercept 1'!J731, "ERROR")</f>
        <v>3.5</v>
      </c>
      <c r="K731" s="9" t="str">
        <f>if('Point Intercept 1'!K731 = 'Point Intercept 2'!K731, 'Point Intercept 1'!K731, "ERROR")</f>
        <v>L</v>
      </c>
      <c r="L731" s="9" t="str">
        <f>if('Point Intercept 1'!L731 = 'Point Intercept 2'!L731, 'Point Intercept 1'!L731, "ERROR")</f>
        <v>Litter</v>
      </c>
    </row>
    <row r="732">
      <c r="A732" s="9">
        <f>if('Point Intercept 1'!A732 = 'Point Intercept 2'!A732, 'Point Intercept 1'!A732, "ERROR")</f>
        <v>8</v>
      </c>
      <c r="B732" s="9">
        <f>if('Point Intercept 1'!B732 = 'Point Intercept 2'!B732, 'Point Intercept 1'!B732, "ERROR")</f>
        <v>2025</v>
      </c>
      <c r="C732" s="14">
        <f>if('Point Intercept 1'!C732 = 'Point Intercept 2'!C732, 'Point Intercept 1'!C732, "ERROR")</f>
        <v>45764</v>
      </c>
      <c r="D732" s="9" t="str">
        <f>if('Point Intercept 1'!D732 = 'Point Intercept 2'!D732, 'Point Intercept 1'!D732, "ERROR")</f>
        <v>TL, BN, JR, AA</v>
      </c>
      <c r="E732" s="9" t="str">
        <f>if('Point Intercept 1'!E732 = 'Point Intercept 2'!E732, 'Point Intercept 1'!E732, "ERROR")</f>
        <v>VB</v>
      </c>
      <c r="F732" s="9">
        <f>if('Point Intercept 1'!F732 = 'Point Intercept 2'!F732, 'Point Intercept 1'!F732, "ERROR")</f>
        <v>1</v>
      </c>
      <c r="G732" s="9" t="str">
        <f>if('Point Intercept 1'!G732 = 'Point Intercept 2'!G732, 'Point Intercept 1'!G732, "ERROR")</f>
        <v>SS</v>
      </c>
      <c r="H732" s="9">
        <f>if('Point Intercept 1'!I732 = 'Point Intercept 2'!I732, 'Point Intercept 1'!I732, "ERROR")</f>
        <v>6</v>
      </c>
      <c r="I732" s="9">
        <f>if('Point Intercept 1'!H732 = 'Point Intercept 2'!H732, 'Point Intercept 1'!H732, "ERROR")</f>
        <v>2</v>
      </c>
      <c r="J732" s="9">
        <f>if('Point Intercept 1'!J732 = 'Point Intercept 2'!J732, 'Point Intercept 1'!J732, "ERROR")</f>
        <v>3.5</v>
      </c>
      <c r="K732" s="9" t="str">
        <f>if('Point Intercept 1'!K732 = 'Point Intercept 2'!K732, 'Point Intercept 1'!K732, "ERROR")</f>
        <v>BROMAD</v>
      </c>
      <c r="L732" s="9" t="str">
        <f>if('Point Intercept 1'!L732 = 'Point Intercept 2'!L732, 'Point Intercept 1'!L732, "ERROR")</f>
        <v>Bromus madritensis</v>
      </c>
    </row>
    <row r="733">
      <c r="A733" s="9">
        <f>if('Point Intercept 1'!A733 = 'Point Intercept 2'!A733, 'Point Intercept 1'!A733, "ERROR")</f>
        <v>8</v>
      </c>
      <c r="B733" s="9">
        <f>if('Point Intercept 1'!B733 = 'Point Intercept 2'!B733, 'Point Intercept 1'!B733, "ERROR")</f>
        <v>2025</v>
      </c>
      <c r="C733" s="14">
        <f>if('Point Intercept 1'!C733 = 'Point Intercept 2'!C733, 'Point Intercept 1'!C733, "ERROR")</f>
        <v>45764</v>
      </c>
      <c r="D733" s="9" t="str">
        <f>if('Point Intercept 1'!D733 = 'Point Intercept 2'!D733, 'Point Intercept 1'!D733, "ERROR")</f>
        <v>TL, BN, JR, AA</v>
      </c>
      <c r="E733" s="9" t="str">
        <f>if('Point Intercept 1'!E733 = 'Point Intercept 2'!E733, 'Point Intercept 1'!E733, "ERROR")</f>
        <v>VB</v>
      </c>
      <c r="F733" s="9">
        <f>if('Point Intercept 1'!F733 = 'Point Intercept 2'!F733, 'Point Intercept 1'!F733, "ERROR")</f>
        <v>1</v>
      </c>
      <c r="G733" s="9" t="str">
        <f>if('Point Intercept 1'!G733 = 'Point Intercept 2'!G733, 'Point Intercept 1'!G733, "ERROR")</f>
        <v>SS</v>
      </c>
      <c r="H733" s="9">
        <f>if('Point Intercept 1'!I733 = 'Point Intercept 2'!I733, 'Point Intercept 1'!I733, "ERROR")</f>
        <v>7</v>
      </c>
      <c r="I733" s="9">
        <f>if('Point Intercept 1'!H733 = 'Point Intercept 2'!H733, 'Point Intercept 1'!H733, "ERROR")</f>
        <v>2</v>
      </c>
      <c r="J733" s="9">
        <f>if('Point Intercept 1'!J733 = 'Point Intercept 2'!J733, 'Point Intercept 1'!J733, "ERROR")</f>
        <v>4</v>
      </c>
      <c r="K733" s="9" t="str">
        <f>if('Point Intercept 1'!K733 = 'Point Intercept 2'!K733, 'Point Intercept 1'!K733, "ERROR")</f>
        <v>L</v>
      </c>
      <c r="L733" s="9" t="str">
        <f>if('Point Intercept 1'!L733 = 'Point Intercept 2'!L733, 'Point Intercept 1'!L733, "ERROR")</f>
        <v>Litter</v>
      </c>
    </row>
    <row r="734">
      <c r="A734" s="9">
        <f>if('Point Intercept 1'!A734 = 'Point Intercept 2'!A734, 'Point Intercept 1'!A734, "ERROR")</f>
        <v>8</v>
      </c>
      <c r="B734" s="9">
        <f>if('Point Intercept 1'!B734 = 'Point Intercept 2'!B734, 'Point Intercept 1'!B734, "ERROR")</f>
        <v>2025</v>
      </c>
      <c r="C734" s="14">
        <f>if('Point Intercept 1'!C734 = 'Point Intercept 2'!C734, 'Point Intercept 1'!C734, "ERROR")</f>
        <v>45764</v>
      </c>
      <c r="D734" s="9" t="str">
        <f>if('Point Intercept 1'!D734 = 'Point Intercept 2'!D734, 'Point Intercept 1'!D734, "ERROR")</f>
        <v>TL, BN, JR, AA</v>
      </c>
      <c r="E734" s="9" t="str">
        <f>if('Point Intercept 1'!E734 = 'Point Intercept 2'!E734, 'Point Intercept 1'!E734, "ERROR")</f>
        <v>VB</v>
      </c>
      <c r="F734" s="9">
        <f>if('Point Intercept 1'!F734 = 'Point Intercept 2'!F734, 'Point Intercept 1'!F734, "ERROR")</f>
        <v>1</v>
      </c>
      <c r="G734" s="9" t="str">
        <f>if('Point Intercept 1'!G734 = 'Point Intercept 2'!G734, 'Point Intercept 1'!G734, "ERROR")</f>
        <v>SS</v>
      </c>
      <c r="H734" s="9">
        <f>if('Point Intercept 1'!I734 = 'Point Intercept 2'!I734, 'Point Intercept 1'!I734, "ERROR")</f>
        <v>7</v>
      </c>
      <c r="I734" s="9">
        <f>if('Point Intercept 1'!H734 = 'Point Intercept 2'!H734, 'Point Intercept 1'!H734, "ERROR")</f>
        <v>2</v>
      </c>
      <c r="J734" s="9">
        <f>if('Point Intercept 1'!J734 = 'Point Intercept 2'!J734, 'Point Intercept 1'!J734, "ERROR")</f>
        <v>4</v>
      </c>
      <c r="K734" s="9" t="str">
        <f>if('Point Intercept 1'!K734 = 'Point Intercept 2'!K734, 'Point Intercept 1'!K734, "ERROR")</f>
        <v>BROMAD</v>
      </c>
      <c r="L734" s="9" t="str">
        <f>if('Point Intercept 1'!L734 = 'Point Intercept 2'!L734, 'Point Intercept 1'!L734, "ERROR")</f>
        <v>Bromus madritensis</v>
      </c>
    </row>
    <row r="735">
      <c r="A735" s="9">
        <f>if('Point Intercept 1'!A735 = 'Point Intercept 2'!A735, 'Point Intercept 1'!A735, "ERROR")</f>
        <v>8</v>
      </c>
      <c r="B735" s="9">
        <f>if('Point Intercept 1'!B735 = 'Point Intercept 2'!B735, 'Point Intercept 1'!B735, "ERROR")</f>
        <v>2025</v>
      </c>
      <c r="C735" s="14">
        <f>if('Point Intercept 1'!C735 = 'Point Intercept 2'!C735, 'Point Intercept 1'!C735, "ERROR")</f>
        <v>45764</v>
      </c>
      <c r="D735" s="9" t="str">
        <f>if('Point Intercept 1'!D735 = 'Point Intercept 2'!D735, 'Point Intercept 1'!D735, "ERROR")</f>
        <v>TL, BN, JR, AA</v>
      </c>
      <c r="E735" s="9" t="str">
        <f>if('Point Intercept 1'!E735 = 'Point Intercept 2'!E735, 'Point Intercept 1'!E735, "ERROR")</f>
        <v>VB</v>
      </c>
      <c r="F735" s="9">
        <f>if('Point Intercept 1'!F735 = 'Point Intercept 2'!F735, 'Point Intercept 1'!F735, "ERROR")</f>
        <v>1</v>
      </c>
      <c r="G735" s="9" t="str">
        <f>if('Point Intercept 1'!G735 = 'Point Intercept 2'!G735, 'Point Intercept 1'!G735, "ERROR")</f>
        <v>SS</v>
      </c>
      <c r="H735" s="9">
        <f>if('Point Intercept 1'!I735 = 'Point Intercept 2'!I735, 'Point Intercept 1'!I735, "ERROR")</f>
        <v>8</v>
      </c>
      <c r="I735" s="9">
        <f>if('Point Intercept 1'!H735 = 'Point Intercept 2'!H735, 'Point Intercept 1'!H735, "ERROR")</f>
        <v>2</v>
      </c>
      <c r="J735" s="9">
        <f>if('Point Intercept 1'!J735 = 'Point Intercept 2'!J735, 'Point Intercept 1'!J735, "ERROR")</f>
        <v>5</v>
      </c>
      <c r="K735" s="9" t="str">
        <f>if('Point Intercept 1'!K735 = 'Point Intercept 2'!K735, 'Point Intercept 1'!K735, "ERROR")</f>
        <v>L</v>
      </c>
      <c r="L735" s="9" t="str">
        <f>if('Point Intercept 1'!L735 = 'Point Intercept 2'!L735, 'Point Intercept 1'!L735, "ERROR")</f>
        <v>Litter</v>
      </c>
    </row>
    <row r="736">
      <c r="A736" s="9">
        <f>if('Point Intercept 1'!A736 = 'Point Intercept 2'!A736, 'Point Intercept 1'!A736, "ERROR")</f>
        <v>8</v>
      </c>
      <c r="B736" s="9">
        <f>if('Point Intercept 1'!B736 = 'Point Intercept 2'!B736, 'Point Intercept 1'!B736, "ERROR")</f>
        <v>2025</v>
      </c>
      <c r="C736" s="14">
        <f>if('Point Intercept 1'!C736 = 'Point Intercept 2'!C736, 'Point Intercept 1'!C736, "ERROR")</f>
        <v>45764</v>
      </c>
      <c r="D736" s="9" t="str">
        <f>if('Point Intercept 1'!D736 = 'Point Intercept 2'!D736, 'Point Intercept 1'!D736, "ERROR")</f>
        <v>TL, BN, JR, AA</v>
      </c>
      <c r="E736" s="9" t="str">
        <f>if('Point Intercept 1'!E736 = 'Point Intercept 2'!E736, 'Point Intercept 1'!E736, "ERROR")</f>
        <v>VB</v>
      </c>
      <c r="F736" s="9">
        <f>if('Point Intercept 1'!F736 = 'Point Intercept 2'!F736, 'Point Intercept 1'!F736, "ERROR")</f>
        <v>1</v>
      </c>
      <c r="G736" s="9" t="str">
        <f>if('Point Intercept 1'!G736 = 'Point Intercept 2'!G736, 'Point Intercept 1'!G736, "ERROR")</f>
        <v>SS</v>
      </c>
      <c r="H736" s="9">
        <f>if('Point Intercept 1'!I736 = 'Point Intercept 2'!I736, 'Point Intercept 1'!I736, "ERROR")</f>
        <v>8</v>
      </c>
      <c r="I736" s="9">
        <f>if('Point Intercept 1'!H736 = 'Point Intercept 2'!H736, 'Point Intercept 1'!H736, "ERROR")</f>
        <v>2</v>
      </c>
      <c r="J736" s="9">
        <f>if('Point Intercept 1'!J736 = 'Point Intercept 2'!J736, 'Point Intercept 1'!J736, "ERROR")</f>
        <v>5</v>
      </c>
      <c r="K736" s="9" t="str">
        <f>if('Point Intercept 1'!K736 = 'Point Intercept 2'!K736, 'Point Intercept 1'!K736, "ERROR")</f>
        <v>DEIFAS</v>
      </c>
      <c r="L736" s="9" t="str">
        <f>if('Point Intercept 1'!L736 = 'Point Intercept 2'!L736, 'Point Intercept 1'!L736, "ERROR")</f>
        <v>Deinandra fasciculata</v>
      </c>
    </row>
    <row r="737">
      <c r="A737" s="9">
        <f>if('Point Intercept 1'!A737 = 'Point Intercept 2'!A737, 'Point Intercept 1'!A737, "ERROR")</f>
        <v>8</v>
      </c>
      <c r="B737" s="9">
        <f>if('Point Intercept 1'!B737 = 'Point Intercept 2'!B737, 'Point Intercept 1'!B737, "ERROR")</f>
        <v>2025</v>
      </c>
      <c r="C737" s="14">
        <f>if('Point Intercept 1'!C737 = 'Point Intercept 2'!C737, 'Point Intercept 1'!C737, "ERROR")</f>
        <v>45764</v>
      </c>
      <c r="D737" s="9" t="str">
        <f>if('Point Intercept 1'!D737 = 'Point Intercept 2'!D737, 'Point Intercept 1'!D737, "ERROR")</f>
        <v>TL, BN, JR, AA</v>
      </c>
      <c r="E737" s="9" t="str">
        <f>if('Point Intercept 1'!E737 = 'Point Intercept 2'!E737, 'Point Intercept 1'!E737, "ERROR")</f>
        <v>VB</v>
      </c>
      <c r="F737" s="9">
        <f>if('Point Intercept 1'!F737 = 'Point Intercept 2'!F737, 'Point Intercept 1'!F737, "ERROR")</f>
        <v>1</v>
      </c>
      <c r="G737" s="9" t="str">
        <f>if('Point Intercept 1'!G737 = 'Point Intercept 2'!G737, 'Point Intercept 1'!G737, "ERROR")</f>
        <v>SS</v>
      </c>
      <c r="H737" s="9">
        <f>if('Point Intercept 1'!I737 = 'Point Intercept 2'!I737, 'Point Intercept 1'!I737, "ERROR")</f>
        <v>8</v>
      </c>
      <c r="I737" s="9">
        <f>if('Point Intercept 1'!H737 = 'Point Intercept 2'!H737, 'Point Intercept 1'!H737, "ERROR")</f>
        <v>2</v>
      </c>
      <c r="J737" s="9">
        <f>if('Point Intercept 1'!J737 = 'Point Intercept 2'!J737, 'Point Intercept 1'!J737, "ERROR")</f>
        <v>5</v>
      </c>
      <c r="K737" s="9" t="str">
        <f>if('Point Intercept 1'!K737 = 'Point Intercept 2'!K737, 'Point Intercept 1'!K737, "ERROR")</f>
        <v>BROMAD</v>
      </c>
      <c r="L737" s="9" t="str">
        <f>if('Point Intercept 1'!L737 = 'Point Intercept 2'!L737, 'Point Intercept 1'!L737, "ERROR")</f>
        <v>Bromus madritensis</v>
      </c>
    </row>
    <row r="738">
      <c r="A738" s="9">
        <f>if('Point Intercept 1'!A738 = 'Point Intercept 2'!A738, 'Point Intercept 1'!A738, "ERROR")</f>
        <v>8</v>
      </c>
      <c r="B738" s="9">
        <f>if('Point Intercept 1'!B738 = 'Point Intercept 2'!B738, 'Point Intercept 1'!B738, "ERROR")</f>
        <v>2025</v>
      </c>
      <c r="C738" s="14">
        <f>if('Point Intercept 1'!C738 = 'Point Intercept 2'!C738, 'Point Intercept 1'!C738, "ERROR")</f>
        <v>45764</v>
      </c>
      <c r="D738" s="9" t="str">
        <f>if('Point Intercept 1'!D738 = 'Point Intercept 2'!D738, 'Point Intercept 1'!D738, "ERROR")</f>
        <v>TL, BN, JR, AA</v>
      </c>
      <c r="E738" s="9" t="str">
        <f>if('Point Intercept 1'!E738 = 'Point Intercept 2'!E738, 'Point Intercept 1'!E738, "ERROR")</f>
        <v>VB</v>
      </c>
      <c r="F738" s="9">
        <f>if('Point Intercept 1'!F738 = 'Point Intercept 2'!F738, 'Point Intercept 1'!F738, "ERROR")</f>
        <v>1</v>
      </c>
      <c r="G738" s="9" t="str">
        <f>if('Point Intercept 1'!G738 = 'Point Intercept 2'!G738, 'Point Intercept 1'!G738, "ERROR")</f>
        <v>SS</v>
      </c>
      <c r="H738" s="9">
        <f>if('Point Intercept 1'!I738 = 'Point Intercept 2'!I738, 'Point Intercept 1'!I738, "ERROR")</f>
        <v>9</v>
      </c>
      <c r="I738" s="9">
        <f>if('Point Intercept 1'!H738 = 'Point Intercept 2'!H738, 'Point Intercept 1'!H738, "ERROR")</f>
        <v>2</v>
      </c>
      <c r="J738" s="9">
        <f>if('Point Intercept 1'!J738 = 'Point Intercept 2'!J738, 'Point Intercept 1'!J738, "ERROR")</f>
        <v>7</v>
      </c>
      <c r="K738" s="9" t="str">
        <f>if('Point Intercept 1'!K738 = 'Point Intercept 2'!K738, 'Point Intercept 1'!K738, "ERROR")</f>
        <v>L</v>
      </c>
      <c r="L738" s="9" t="str">
        <f>if('Point Intercept 1'!L738 = 'Point Intercept 2'!L738, 'Point Intercept 1'!L738, "ERROR")</f>
        <v>Litter</v>
      </c>
    </row>
    <row r="739">
      <c r="A739" s="9">
        <f>if('Point Intercept 1'!A739 = 'Point Intercept 2'!A739, 'Point Intercept 1'!A739, "ERROR")</f>
        <v>8</v>
      </c>
      <c r="B739" s="9">
        <f>if('Point Intercept 1'!B739 = 'Point Intercept 2'!B739, 'Point Intercept 1'!B739, "ERROR")</f>
        <v>2025</v>
      </c>
      <c r="C739" s="14">
        <f>if('Point Intercept 1'!C739 = 'Point Intercept 2'!C739, 'Point Intercept 1'!C739, "ERROR")</f>
        <v>45764</v>
      </c>
      <c r="D739" s="9" t="str">
        <f>if('Point Intercept 1'!D739 = 'Point Intercept 2'!D739, 'Point Intercept 1'!D739, "ERROR")</f>
        <v>TL, BN, JR, AA</v>
      </c>
      <c r="E739" s="9" t="str">
        <f>if('Point Intercept 1'!E739 = 'Point Intercept 2'!E739, 'Point Intercept 1'!E739, "ERROR")</f>
        <v>VB</v>
      </c>
      <c r="F739" s="9">
        <f>if('Point Intercept 1'!F739 = 'Point Intercept 2'!F739, 'Point Intercept 1'!F739, "ERROR")</f>
        <v>1</v>
      </c>
      <c r="G739" s="9" t="str">
        <f>if('Point Intercept 1'!G739 = 'Point Intercept 2'!G739, 'Point Intercept 1'!G739, "ERROR")</f>
        <v>SS</v>
      </c>
      <c r="H739" s="9">
        <f>if('Point Intercept 1'!I739 = 'Point Intercept 2'!I739, 'Point Intercept 1'!I739, "ERROR")</f>
        <v>9</v>
      </c>
      <c r="I739" s="9">
        <f>if('Point Intercept 1'!H739 = 'Point Intercept 2'!H739, 'Point Intercept 1'!H739, "ERROR")</f>
        <v>2</v>
      </c>
      <c r="J739" s="9">
        <f>if('Point Intercept 1'!J739 = 'Point Intercept 2'!J739, 'Point Intercept 1'!J739, "ERROR")</f>
        <v>7</v>
      </c>
      <c r="K739" s="9" t="str">
        <f>if('Point Intercept 1'!K739 = 'Point Intercept 2'!K739, 'Point Intercept 1'!K739, "ERROR")</f>
        <v>DEIFAS</v>
      </c>
      <c r="L739" s="9" t="str">
        <f>if('Point Intercept 1'!L739 = 'Point Intercept 2'!L739, 'Point Intercept 1'!L739, "ERROR")</f>
        <v>Deinandra fasciculata</v>
      </c>
    </row>
    <row r="740">
      <c r="A740" s="9">
        <f>if('Point Intercept 1'!A740 = 'Point Intercept 2'!A740, 'Point Intercept 1'!A740, "ERROR")</f>
        <v>8</v>
      </c>
      <c r="B740" s="9">
        <f>if('Point Intercept 1'!B740 = 'Point Intercept 2'!B740, 'Point Intercept 1'!B740, "ERROR")</f>
        <v>2025</v>
      </c>
      <c r="C740" s="14">
        <f>if('Point Intercept 1'!C740 = 'Point Intercept 2'!C740, 'Point Intercept 1'!C740, "ERROR")</f>
        <v>45764</v>
      </c>
      <c r="D740" s="9" t="str">
        <f>if('Point Intercept 1'!D740 = 'Point Intercept 2'!D740, 'Point Intercept 1'!D740, "ERROR")</f>
        <v>TL, BN, JR, AA</v>
      </c>
      <c r="E740" s="9" t="str">
        <f>if('Point Intercept 1'!E740 = 'Point Intercept 2'!E740, 'Point Intercept 1'!E740, "ERROR")</f>
        <v>VB</v>
      </c>
      <c r="F740" s="9">
        <f>if('Point Intercept 1'!F740 = 'Point Intercept 2'!F740, 'Point Intercept 1'!F740, "ERROR")</f>
        <v>1</v>
      </c>
      <c r="G740" s="9" t="str">
        <f>if('Point Intercept 1'!G740 = 'Point Intercept 2'!G740, 'Point Intercept 1'!G740, "ERROR")</f>
        <v>SS</v>
      </c>
      <c r="H740" s="9">
        <f>if('Point Intercept 1'!I740 = 'Point Intercept 2'!I740, 'Point Intercept 1'!I740, "ERROR")</f>
        <v>9</v>
      </c>
      <c r="I740" s="9">
        <f>if('Point Intercept 1'!H740 = 'Point Intercept 2'!H740, 'Point Intercept 1'!H740, "ERROR")</f>
        <v>2</v>
      </c>
      <c r="J740" s="9">
        <f>if('Point Intercept 1'!J740 = 'Point Intercept 2'!J740, 'Point Intercept 1'!J740, "ERROR")</f>
        <v>7</v>
      </c>
      <c r="K740" s="9" t="str">
        <f>if('Point Intercept 1'!K740 = 'Point Intercept 2'!K740, 'Point Intercept 1'!K740, "ERROR")</f>
        <v>UROLIN</v>
      </c>
      <c r="L740" s="9" t="str">
        <f>if('Point Intercept 1'!L740 = 'Point Intercept 2'!L740, 'Point Intercept 1'!L740, "ERROR")</f>
        <v>Uropappus lindleyi</v>
      </c>
    </row>
    <row r="741">
      <c r="A741" s="9">
        <f>if('Point Intercept 1'!A741 = 'Point Intercept 2'!A741, 'Point Intercept 1'!A741, "ERROR")</f>
        <v>8</v>
      </c>
      <c r="B741" s="9">
        <f>if('Point Intercept 1'!B741 = 'Point Intercept 2'!B741, 'Point Intercept 1'!B741, "ERROR")</f>
        <v>2025</v>
      </c>
      <c r="C741" s="14">
        <f>if('Point Intercept 1'!C741 = 'Point Intercept 2'!C741, 'Point Intercept 1'!C741, "ERROR")</f>
        <v>45764</v>
      </c>
      <c r="D741" s="9" t="str">
        <f>if('Point Intercept 1'!D741 = 'Point Intercept 2'!D741, 'Point Intercept 1'!D741, "ERROR")</f>
        <v>TL, BN, JR, AA</v>
      </c>
      <c r="E741" s="9" t="str">
        <f>if('Point Intercept 1'!E741 = 'Point Intercept 2'!E741, 'Point Intercept 1'!E741, "ERROR")</f>
        <v>VB</v>
      </c>
      <c r="F741" s="9">
        <f>if('Point Intercept 1'!F741 = 'Point Intercept 2'!F741, 'Point Intercept 1'!F741, "ERROR")</f>
        <v>1</v>
      </c>
      <c r="G741" s="9" t="str">
        <f>if('Point Intercept 1'!G741 = 'Point Intercept 2'!G741, 'Point Intercept 1'!G741, "ERROR")</f>
        <v>SS</v>
      </c>
      <c r="H741" s="9">
        <f>if('Point Intercept 1'!I741 = 'Point Intercept 2'!I741, 'Point Intercept 1'!I741, "ERROR")</f>
        <v>9</v>
      </c>
      <c r="I741" s="9">
        <f>if('Point Intercept 1'!H741 = 'Point Intercept 2'!H741, 'Point Intercept 1'!H741, "ERROR")</f>
        <v>2</v>
      </c>
      <c r="J741" s="9">
        <f>if('Point Intercept 1'!J741 = 'Point Intercept 2'!J741, 'Point Intercept 1'!J741, "ERROR")</f>
        <v>7</v>
      </c>
      <c r="K741" s="9" t="str">
        <f>if('Point Intercept 1'!K741 = 'Point Intercept 2'!K741, 'Point Intercept 1'!K741, "ERROR")</f>
        <v>SONOLE</v>
      </c>
      <c r="L741" s="9" t="str">
        <f>if('Point Intercept 1'!L741 = 'Point Intercept 2'!L741, 'Point Intercept 1'!L741, "ERROR")</f>
        <v>Sonchus oleraceus</v>
      </c>
    </row>
    <row r="742">
      <c r="A742" s="9">
        <f>if('Point Intercept 1'!A742 = 'Point Intercept 2'!A742, 'Point Intercept 1'!A742, "ERROR")</f>
        <v>8</v>
      </c>
      <c r="B742" s="9">
        <f>if('Point Intercept 1'!B742 = 'Point Intercept 2'!B742, 'Point Intercept 1'!B742, "ERROR")</f>
        <v>2025</v>
      </c>
      <c r="C742" s="14">
        <f>if('Point Intercept 1'!C742 = 'Point Intercept 2'!C742, 'Point Intercept 1'!C742, "ERROR")</f>
        <v>45764</v>
      </c>
      <c r="D742" s="9" t="str">
        <f>if('Point Intercept 1'!D742 = 'Point Intercept 2'!D742, 'Point Intercept 1'!D742, "ERROR")</f>
        <v>TL, BN, JR, AA</v>
      </c>
      <c r="E742" s="9" t="str">
        <f>if('Point Intercept 1'!E742 = 'Point Intercept 2'!E742, 'Point Intercept 1'!E742, "ERROR")</f>
        <v>VB</v>
      </c>
      <c r="F742" s="9">
        <f>if('Point Intercept 1'!F742 = 'Point Intercept 2'!F742, 'Point Intercept 1'!F742, "ERROR")</f>
        <v>1</v>
      </c>
      <c r="G742" s="9" t="str">
        <f>if('Point Intercept 1'!G742 = 'Point Intercept 2'!G742, 'Point Intercept 1'!G742, "ERROR")</f>
        <v>SS</v>
      </c>
      <c r="H742" s="9">
        <f>if('Point Intercept 1'!I742 = 'Point Intercept 2'!I742, 'Point Intercept 1'!I742, "ERROR")</f>
        <v>10</v>
      </c>
      <c r="I742" s="9">
        <f>if('Point Intercept 1'!H742 = 'Point Intercept 2'!H742, 'Point Intercept 1'!H742, "ERROR")</f>
        <v>2</v>
      </c>
      <c r="J742" s="9">
        <f>if('Point Intercept 1'!J742 = 'Point Intercept 2'!J742, 'Point Intercept 1'!J742, "ERROR")</f>
        <v>8</v>
      </c>
      <c r="K742" s="9" t="str">
        <f>if('Point Intercept 1'!K742 = 'Point Intercept 2'!K742, 'Point Intercept 1'!K742, "ERROR")</f>
        <v>L</v>
      </c>
      <c r="L742" s="9" t="str">
        <f>if('Point Intercept 1'!L742 = 'Point Intercept 2'!L742, 'Point Intercept 1'!L742, "ERROR")</f>
        <v>Litter</v>
      </c>
    </row>
    <row r="743">
      <c r="A743" s="9">
        <f>if('Point Intercept 1'!A743 = 'Point Intercept 2'!A743, 'Point Intercept 1'!A743, "ERROR")</f>
        <v>8</v>
      </c>
      <c r="B743" s="9">
        <f>if('Point Intercept 1'!B743 = 'Point Intercept 2'!B743, 'Point Intercept 1'!B743, "ERROR")</f>
        <v>2025</v>
      </c>
      <c r="C743" s="14">
        <f>if('Point Intercept 1'!C743 = 'Point Intercept 2'!C743, 'Point Intercept 1'!C743, "ERROR")</f>
        <v>45764</v>
      </c>
      <c r="D743" s="9" t="str">
        <f>if('Point Intercept 1'!D743 = 'Point Intercept 2'!D743, 'Point Intercept 1'!D743, "ERROR")</f>
        <v>TL, BN, JR, AA</v>
      </c>
      <c r="E743" s="9" t="str">
        <f>if('Point Intercept 1'!E743 = 'Point Intercept 2'!E743, 'Point Intercept 1'!E743, "ERROR")</f>
        <v>VB</v>
      </c>
      <c r="F743" s="9">
        <f>if('Point Intercept 1'!F743 = 'Point Intercept 2'!F743, 'Point Intercept 1'!F743, "ERROR")</f>
        <v>1</v>
      </c>
      <c r="G743" s="9" t="str">
        <f>if('Point Intercept 1'!G743 = 'Point Intercept 2'!G743, 'Point Intercept 1'!G743, "ERROR")</f>
        <v>SS</v>
      </c>
      <c r="H743" s="9">
        <f>if('Point Intercept 1'!I743 = 'Point Intercept 2'!I743, 'Point Intercept 1'!I743, "ERROR")</f>
        <v>10</v>
      </c>
      <c r="I743" s="9">
        <f>if('Point Intercept 1'!H743 = 'Point Intercept 2'!H743, 'Point Intercept 1'!H743, "ERROR")</f>
        <v>2</v>
      </c>
      <c r="J743" s="9">
        <f>if('Point Intercept 1'!J743 = 'Point Intercept 2'!J743, 'Point Intercept 1'!J743, "ERROR")</f>
        <v>8</v>
      </c>
      <c r="K743" s="9" t="str">
        <f>if('Point Intercept 1'!K743 = 'Point Intercept 2'!K743, 'Point Intercept 1'!K743, "ERROR")</f>
        <v>DEIFAS</v>
      </c>
      <c r="L743" s="9" t="str">
        <f>if('Point Intercept 1'!L743 = 'Point Intercept 2'!L743, 'Point Intercept 1'!L743, "ERROR")</f>
        <v>Deinandra fasciculata</v>
      </c>
    </row>
    <row r="744">
      <c r="A744" s="9">
        <f>if('Point Intercept 1'!A744 = 'Point Intercept 2'!A744, 'Point Intercept 1'!A744, "ERROR")</f>
        <v>8</v>
      </c>
      <c r="B744" s="9">
        <f>if('Point Intercept 1'!B744 = 'Point Intercept 2'!B744, 'Point Intercept 1'!B744, "ERROR")</f>
        <v>2025</v>
      </c>
      <c r="C744" s="14">
        <f>if('Point Intercept 1'!C744 = 'Point Intercept 2'!C744, 'Point Intercept 1'!C744, "ERROR")</f>
        <v>45764</v>
      </c>
      <c r="D744" s="9" t="str">
        <f>if('Point Intercept 1'!D744 = 'Point Intercept 2'!D744, 'Point Intercept 1'!D744, "ERROR")</f>
        <v>TL, BN, JR, AA</v>
      </c>
      <c r="E744" s="9" t="str">
        <f>if('Point Intercept 1'!E744 = 'Point Intercept 2'!E744, 'Point Intercept 1'!E744, "ERROR")</f>
        <v>VB</v>
      </c>
      <c r="F744" s="9">
        <f>if('Point Intercept 1'!F744 = 'Point Intercept 2'!F744, 'Point Intercept 1'!F744, "ERROR")</f>
        <v>1</v>
      </c>
      <c r="G744" s="9" t="str">
        <f>if('Point Intercept 1'!G744 = 'Point Intercept 2'!G744, 'Point Intercept 1'!G744, "ERROR")</f>
        <v>SS</v>
      </c>
      <c r="H744" s="9">
        <f>if('Point Intercept 1'!I744 = 'Point Intercept 2'!I744, 'Point Intercept 1'!I744, "ERROR")</f>
        <v>10</v>
      </c>
      <c r="I744" s="9">
        <f>if('Point Intercept 1'!H744 = 'Point Intercept 2'!H744, 'Point Intercept 1'!H744, "ERROR")</f>
        <v>2</v>
      </c>
      <c r="J744" s="9">
        <f>if('Point Intercept 1'!J744 = 'Point Intercept 2'!J744, 'Point Intercept 1'!J744, "ERROR")</f>
        <v>8</v>
      </c>
      <c r="K744" s="9" t="str">
        <f>if('Point Intercept 1'!K744 = 'Point Intercept 2'!K744, 'Point Intercept 1'!K744, "ERROR")</f>
        <v>CRYINT</v>
      </c>
      <c r="L744" s="9" t="str">
        <f>if('Point Intercept 1'!L744 = 'Point Intercept 2'!L744, 'Point Intercept 1'!L744, "ERROR")</f>
        <v>Cryptantha intermedia</v>
      </c>
    </row>
    <row r="745">
      <c r="A745" s="9">
        <f>if('Point Intercept 1'!A745 = 'Point Intercept 2'!A745, 'Point Intercept 1'!A745, "ERROR")</f>
        <v>8</v>
      </c>
      <c r="B745" s="9">
        <f>if('Point Intercept 1'!B745 = 'Point Intercept 2'!B745, 'Point Intercept 1'!B745, "ERROR")</f>
        <v>2025</v>
      </c>
      <c r="C745" s="14">
        <f>if('Point Intercept 1'!C745 = 'Point Intercept 2'!C745, 'Point Intercept 1'!C745, "ERROR")</f>
        <v>45764</v>
      </c>
      <c r="D745" s="9" t="str">
        <f>if('Point Intercept 1'!D745 = 'Point Intercept 2'!D745, 'Point Intercept 1'!D745, "ERROR")</f>
        <v>TL, BN, JR, AA</v>
      </c>
      <c r="E745" s="9" t="str">
        <f>if('Point Intercept 1'!E745 = 'Point Intercept 2'!E745, 'Point Intercept 1'!E745, "ERROR")</f>
        <v>VB</v>
      </c>
      <c r="F745" s="9">
        <f>if('Point Intercept 1'!F745 = 'Point Intercept 2'!F745, 'Point Intercept 1'!F745, "ERROR")</f>
        <v>1</v>
      </c>
      <c r="G745" s="9" t="str">
        <f>if('Point Intercept 1'!G745 = 'Point Intercept 2'!G745, 'Point Intercept 1'!G745, "ERROR")</f>
        <v>SS</v>
      </c>
      <c r="H745" s="9">
        <f>if('Point Intercept 1'!I745 = 'Point Intercept 2'!I745, 'Point Intercept 1'!I745, "ERROR")</f>
        <v>11</v>
      </c>
      <c r="I745" s="9">
        <f>if('Point Intercept 1'!H745 = 'Point Intercept 2'!H745, 'Point Intercept 1'!H745, "ERROR")</f>
        <v>2</v>
      </c>
      <c r="J745" s="9">
        <f>if('Point Intercept 1'!J745 = 'Point Intercept 2'!J745, 'Point Intercept 1'!J745, "ERROR")</f>
        <v>8.5</v>
      </c>
      <c r="K745" s="9" t="str">
        <f>if('Point Intercept 1'!K745 = 'Point Intercept 2'!K745, 'Point Intercept 1'!K745, "ERROR")</f>
        <v>L</v>
      </c>
      <c r="L745" s="9" t="str">
        <f>if('Point Intercept 1'!L745 = 'Point Intercept 2'!L745, 'Point Intercept 1'!L745, "ERROR")</f>
        <v>Litter</v>
      </c>
    </row>
    <row r="746">
      <c r="A746" s="9">
        <f>if('Point Intercept 1'!A746 = 'Point Intercept 2'!A746, 'Point Intercept 1'!A746, "ERROR")</f>
        <v>8</v>
      </c>
      <c r="B746" s="9">
        <f>if('Point Intercept 1'!B746 = 'Point Intercept 2'!B746, 'Point Intercept 1'!B746, "ERROR")</f>
        <v>2025</v>
      </c>
      <c r="C746" s="14">
        <f>if('Point Intercept 1'!C746 = 'Point Intercept 2'!C746, 'Point Intercept 1'!C746, "ERROR")</f>
        <v>45764</v>
      </c>
      <c r="D746" s="9" t="str">
        <f>if('Point Intercept 1'!D746 = 'Point Intercept 2'!D746, 'Point Intercept 1'!D746, "ERROR")</f>
        <v>TL, BN, JR, AA</v>
      </c>
      <c r="E746" s="9" t="str">
        <f>if('Point Intercept 1'!E746 = 'Point Intercept 2'!E746, 'Point Intercept 1'!E746, "ERROR")</f>
        <v>VB</v>
      </c>
      <c r="F746" s="9">
        <f>if('Point Intercept 1'!F746 = 'Point Intercept 2'!F746, 'Point Intercept 1'!F746, "ERROR")</f>
        <v>1</v>
      </c>
      <c r="G746" s="9" t="str">
        <f>if('Point Intercept 1'!G746 = 'Point Intercept 2'!G746, 'Point Intercept 1'!G746, "ERROR")</f>
        <v>SS</v>
      </c>
      <c r="H746" s="9">
        <f>if('Point Intercept 1'!I746 = 'Point Intercept 2'!I746, 'Point Intercept 1'!I746, "ERROR")</f>
        <v>11</v>
      </c>
      <c r="I746" s="9">
        <f>if('Point Intercept 1'!H746 = 'Point Intercept 2'!H746, 'Point Intercept 1'!H746, "ERROR")</f>
        <v>2</v>
      </c>
      <c r="J746" s="9">
        <f>if('Point Intercept 1'!J746 = 'Point Intercept 2'!J746, 'Point Intercept 1'!J746, "ERROR")</f>
        <v>8.5</v>
      </c>
      <c r="K746" s="9" t="str">
        <f>if('Point Intercept 1'!K746 = 'Point Intercept 2'!K746, 'Point Intercept 1'!K746, "ERROR")</f>
        <v>DEIFAS</v>
      </c>
      <c r="L746" s="9" t="str">
        <f>if('Point Intercept 1'!L746 = 'Point Intercept 2'!L746, 'Point Intercept 1'!L746, "ERROR")</f>
        <v>Deinandra fasciculata</v>
      </c>
    </row>
    <row r="747">
      <c r="A747" s="9">
        <f>if('Point Intercept 1'!A747 = 'Point Intercept 2'!A747, 'Point Intercept 1'!A747, "ERROR")</f>
        <v>8</v>
      </c>
      <c r="B747" s="9">
        <f>if('Point Intercept 1'!B747 = 'Point Intercept 2'!B747, 'Point Intercept 1'!B747, "ERROR")</f>
        <v>2025</v>
      </c>
      <c r="C747" s="14">
        <f>if('Point Intercept 1'!C747 = 'Point Intercept 2'!C747, 'Point Intercept 1'!C747, "ERROR")</f>
        <v>45764</v>
      </c>
      <c r="D747" s="9" t="str">
        <f>if('Point Intercept 1'!D747 = 'Point Intercept 2'!D747, 'Point Intercept 1'!D747, "ERROR")</f>
        <v>TL, BN, JR, AA</v>
      </c>
      <c r="E747" s="9" t="str">
        <f>if('Point Intercept 1'!E747 = 'Point Intercept 2'!E747, 'Point Intercept 1'!E747, "ERROR")</f>
        <v>VB</v>
      </c>
      <c r="F747" s="9">
        <f>if('Point Intercept 1'!F747 = 'Point Intercept 2'!F747, 'Point Intercept 1'!F747, "ERROR")</f>
        <v>1</v>
      </c>
      <c r="G747" s="9" t="str">
        <f>if('Point Intercept 1'!G747 = 'Point Intercept 2'!G747, 'Point Intercept 1'!G747, "ERROR")</f>
        <v>SS</v>
      </c>
      <c r="H747" s="9">
        <f>if('Point Intercept 1'!I747 = 'Point Intercept 2'!I747, 'Point Intercept 1'!I747, "ERROR")</f>
        <v>12</v>
      </c>
      <c r="I747" s="9">
        <f>if('Point Intercept 1'!H747 = 'Point Intercept 2'!H747, 'Point Intercept 1'!H747, "ERROR")</f>
        <v>2</v>
      </c>
      <c r="J747" s="9">
        <f>if('Point Intercept 1'!J747 = 'Point Intercept 2'!J747, 'Point Intercept 1'!J747, "ERROR")</f>
        <v>9</v>
      </c>
      <c r="K747" s="9" t="str">
        <f>if('Point Intercept 1'!K747 = 'Point Intercept 2'!K747, 'Point Intercept 1'!K747, "ERROR")</f>
        <v>L</v>
      </c>
      <c r="L747" s="9" t="str">
        <f>if('Point Intercept 1'!L747 = 'Point Intercept 2'!L747, 'Point Intercept 1'!L747, "ERROR")</f>
        <v>Litter</v>
      </c>
    </row>
    <row r="748">
      <c r="A748" s="9">
        <f>if('Point Intercept 1'!A748 = 'Point Intercept 2'!A748, 'Point Intercept 1'!A748, "ERROR")</f>
        <v>8</v>
      </c>
      <c r="B748" s="9">
        <f>if('Point Intercept 1'!B748 = 'Point Intercept 2'!B748, 'Point Intercept 1'!B748, "ERROR")</f>
        <v>2025</v>
      </c>
      <c r="C748" s="14">
        <f>if('Point Intercept 1'!C748 = 'Point Intercept 2'!C748, 'Point Intercept 1'!C748, "ERROR")</f>
        <v>45764</v>
      </c>
      <c r="D748" s="9" t="str">
        <f>if('Point Intercept 1'!D748 = 'Point Intercept 2'!D748, 'Point Intercept 1'!D748, "ERROR")</f>
        <v>TL, BN, JR, AA</v>
      </c>
      <c r="E748" s="9" t="str">
        <f>if('Point Intercept 1'!E748 = 'Point Intercept 2'!E748, 'Point Intercept 1'!E748, "ERROR")</f>
        <v>VB</v>
      </c>
      <c r="F748" s="9">
        <f>if('Point Intercept 1'!F748 = 'Point Intercept 2'!F748, 'Point Intercept 1'!F748, "ERROR")</f>
        <v>1</v>
      </c>
      <c r="G748" s="9" t="str">
        <f>if('Point Intercept 1'!G748 = 'Point Intercept 2'!G748, 'Point Intercept 1'!G748, "ERROR")</f>
        <v>SS</v>
      </c>
      <c r="H748" s="9">
        <f>if('Point Intercept 1'!I748 = 'Point Intercept 2'!I748, 'Point Intercept 1'!I748, "ERROR")</f>
        <v>12</v>
      </c>
      <c r="I748" s="9">
        <f>if('Point Intercept 1'!H748 = 'Point Intercept 2'!H748, 'Point Intercept 1'!H748, "ERROR")</f>
        <v>2</v>
      </c>
      <c r="J748" s="9">
        <f>if('Point Intercept 1'!J748 = 'Point Intercept 2'!J748, 'Point Intercept 1'!J748, "ERROR")</f>
        <v>9</v>
      </c>
      <c r="K748" s="9" t="str">
        <f>if('Point Intercept 1'!K748 = 'Point Intercept 2'!K748, 'Point Intercept 1'!K748, "ERROR")</f>
        <v>SONASP</v>
      </c>
      <c r="L748" s="9" t="str">
        <f>if('Point Intercept 1'!L748 = 'Point Intercept 2'!L748, 'Point Intercept 1'!L748, "ERROR")</f>
        <v>Sonchus asper</v>
      </c>
    </row>
    <row r="749">
      <c r="A749" s="9">
        <f>if('Point Intercept 1'!A749 = 'Point Intercept 2'!A749, 'Point Intercept 1'!A749, "ERROR")</f>
        <v>8</v>
      </c>
      <c r="B749" s="9">
        <f>if('Point Intercept 1'!B749 = 'Point Intercept 2'!B749, 'Point Intercept 1'!B749, "ERROR")</f>
        <v>2025</v>
      </c>
      <c r="C749" s="14">
        <f>if('Point Intercept 1'!C749 = 'Point Intercept 2'!C749, 'Point Intercept 1'!C749, "ERROR")</f>
        <v>45764</v>
      </c>
      <c r="D749" s="9" t="str">
        <f>if('Point Intercept 1'!D749 = 'Point Intercept 2'!D749, 'Point Intercept 1'!D749, "ERROR")</f>
        <v>TL, BN, JR, AA</v>
      </c>
      <c r="E749" s="9" t="str">
        <f>if('Point Intercept 1'!E749 = 'Point Intercept 2'!E749, 'Point Intercept 1'!E749, "ERROR")</f>
        <v>VB</v>
      </c>
      <c r="F749" s="9">
        <f>if('Point Intercept 1'!F749 = 'Point Intercept 2'!F749, 'Point Intercept 1'!F749, "ERROR")</f>
        <v>1</v>
      </c>
      <c r="G749" s="9" t="str">
        <f>if('Point Intercept 1'!G749 = 'Point Intercept 2'!G749, 'Point Intercept 1'!G749, "ERROR")</f>
        <v>SS</v>
      </c>
      <c r="H749" s="9">
        <f>if('Point Intercept 1'!I749 = 'Point Intercept 2'!I749, 'Point Intercept 1'!I749, "ERROR")</f>
        <v>12</v>
      </c>
      <c r="I749" s="9">
        <f>if('Point Intercept 1'!H749 = 'Point Intercept 2'!H749, 'Point Intercept 1'!H749, "ERROR")</f>
        <v>2</v>
      </c>
      <c r="J749" s="9">
        <f>if('Point Intercept 1'!J749 = 'Point Intercept 2'!J749, 'Point Intercept 1'!J749, "ERROR")</f>
        <v>9</v>
      </c>
      <c r="K749" s="9" t="str">
        <f>if('Point Intercept 1'!K749 = 'Point Intercept 2'!K749, 'Point Intercept 1'!K749, "ERROR")</f>
        <v>DEIFAS</v>
      </c>
      <c r="L749" s="9" t="str">
        <f>if('Point Intercept 1'!L749 = 'Point Intercept 2'!L749, 'Point Intercept 1'!L749, "ERROR")</f>
        <v>Deinandra fasciculata</v>
      </c>
    </row>
    <row r="750">
      <c r="A750" s="9">
        <f>if('Point Intercept 1'!A750 = 'Point Intercept 2'!A750, 'Point Intercept 1'!A750, "ERROR")</f>
        <v>8</v>
      </c>
      <c r="B750" s="9">
        <f>if('Point Intercept 1'!B750 = 'Point Intercept 2'!B750, 'Point Intercept 1'!B750, "ERROR")</f>
        <v>2025</v>
      </c>
      <c r="C750" s="14">
        <f>if('Point Intercept 1'!C750 = 'Point Intercept 2'!C750, 'Point Intercept 1'!C750, "ERROR")</f>
        <v>45764</v>
      </c>
      <c r="D750" s="9" t="str">
        <f>if('Point Intercept 1'!D750 = 'Point Intercept 2'!D750, 'Point Intercept 1'!D750, "ERROR")</f>
        <v>TL, BN, JR, AA</v>
      </c>
      <c r="E750" s="9" t="str">
        <f>if('Point Intercept 1'!E750 = 'Point Intercept 2'!E750, 'Point Intercept 1'!E750, "ERROR")</f>
        <v>VB</v>
      </c>
      <c r="F750" s="9">
        <f>if('Point Intercept 1'!F750 = 'Point Intercept 2'!F750, 'Point Intercept 1'!F750, "ERROR")</f>
        <v>1</v>
      </c>
      <c r="G750" s="9" t="str">
        <f>if('Point Intercept 1'!G750 = 'Point Intercept 2'!G750, 'Point Intercept 1'!G750, "ERROR")</f>
        <v>SS</v>
      </c>
      <c r="H750" s="9">
        <f>if('Point Intercept 1'!I750 = 'Point Intercept 2'!I750, 'Point Intercept 1'!I750, "ERROR")</f>
        <v>12</v>
      </c>
      <c r="I750" s="9">
        <f>if('Point Intercept 1'!H750 = 'Point Intercept 2'!H750, 'Point Intercept 1'!H750, "ERROR")</f>
        <v>2</v>
      </c>
      <c r="J750" s="9">
        <f>if('Point Intercept 1'!J750 = 'Point Intercept 2'!J750, 'Point Intercept 1'!J750, "ERROR")</f>
        <v>9</v>
      </c>
      <c r="K750" s="9" t="str">
        <f>if('Point Intercept 1'!K750 = 'Point Intercept 2'!K750, 'Point Intercept 1'!K750, "ERROR")</f>
        <v>FESMYU</v>
      </c>
      <c r="L750" s="9" t="str">
        <f>if('Point Intercept 1'!L750 = 'Point Intercept 2'!L750, 'Point Intercept 1'!L750, "ERROR")</f>
        <v>Festuca myuros</v>
      </c>
    </row>
    <row r="751">
      <c r="A751" s="9">
        <f>if('Point Intercept 1'!A751 = 'Point Intercept 2'!A751, 'Point Intercept 1'!A751, "ERROR")</f>
        <v>8</v>
      </c>
      <c r="B751" s="9">
        <f>if('Point Intercept 1'!B751 = 'Point Intercept 2'!B751, 'Point Intercept 1'!B751, "ERROR")</f>
        <v>2025</v>
      </c>
      <c r="C751" s="14">
        <f>if('Point Intercept 1'!C751 = 'Point Intercept 2'!C751, 'Point Intercept 1'!C751, "ERROR")</f>
        <v>45764</v>
      </c>
      <c r="D751" s="9" t="str">
        <f>if('Point Intercept 1'!D751 = 'Point Intercept 2'!D751, 'Point Intercept 1'!D751, "ERROR")</f>
        <v>TL, BN, JR, AA</v>
      </c>
      <c r="E751" s="9" t="str">
        <f>if('Point Intercept 1'!E751 = 'Point Intercept 2'!E751, 'Point Intercept 1'!E751, "ERROR")</f>
        <v>VB</v>
      </c>
      <c r="F751" s="9">
        <f>if('Point Intercept 1'!F751 = 'Point Intercept 2'!F751, 'Point Intercept 1'!F751, "ERROR")</f>
        <v>1</v>
      </c>
      <c r="G751" s="9" t="str">
        <f>if('Point Intercept 1'!G751 = 'Point Intercept 2'!G751, 'Point Intercept 1'!G751, "ERROR")</f>
        <v>SS</v>
      </c>
      <c r="H751" s="9">
        <f>if('Point Intercept 1'!I751 = 'Point Intercept 2'!I751, 'Point Intercept 1'!I751, "ERROR")</f>
        <v>13</v>
      </c>
      <c r="I751" s="9">
        <f>if('Point Intercept 1'!H751 = 'Point Intercept 2'!H751, 'Point Intercept 1'!H751, "ERROR")</f>
        <v>2</v>
      </c>
      <c r="J751" s="9">
        <f>if('Point Intercept 1'!J751 = 'Point Intercept 2'!J751, 'Point Intercept 1'!J751, "ERROR")</f>
        <v>10</v>
      </c>
      <c r="K751" s="9" t="str">
        <f>if('Point Intercept 1'!K751 = 'Point Intercept 2'!K751, 'Point Intercept 1'!K751, "ERROR")</f>
        <v>L</v>
      </c>
      <c r="L751" s="9" t="str">
        <f>if('Point Intercept 1'!L751 = 'Point Intercept 2'!L751, 'Point Intercept 1'!L751, "ERROR")</f>
        <v>Litter</v>
      </c>
    </row>
    <row r="752">
      <c r="A752" s="9">
        <f>if('Point Intercept 1'!A752 = 'Point Intercept 2'!A752, 'Point Intercept 1'!A752, "ERROR")</f>
        <v>8</v>
      </c>
      <c r="B752" s="9">
        <f>if('Point Intercept 1'!B752 = 'Point Intercept 2'!B752, 'Point Intercept 1'!B752, "ERROR")</f>
        <v>2025</v>
      </c>
      <c r="C752" s="14">
        <f>if('Point Intercept 1'!C752 = 'Point Intercept 2'!C752, 'Point Intercept 1'!C752, "ERROR")</f>
        <v>45764</v>
      </c>
      <c r="D752" s="9" t="str">
        <f>if('Point Intercept 1'!D752 = 'Point Intercept 2'!D752, 'Point Intercept 1'!D752, "ERROR")</f>
        <v>TL, BN, JR, AA</v>
      </c>
      <c r="E752" s="9" t="str">
        <f>if('Point Intercept 1'!E752 = 'Point Intercept 2'!E752, 'Point Intercept 1'!E752, "ERROR")</f>
        <v>VB</v>
      </c>
      <c r="F752" s="9">
        <f>if('Point Intercept 1'!F752 = 'Point Intercept 2'!F752, 'Point Intercept 1'!F752, "ERROR")</f>
        <v>1</v>
      </c>
      <c r="G752" s="9" t="str">
        <f>if('Point Intercept 1'!G752 = 'Point Intercept 2'!G752, 'Point Intercept 1'!G752, "ERROR")</f>
        <v>SS</v>
      </c>
      <c r="H752" s="9">
        <f>if('Point Intercept 1'!I752 = 'Point Intercept 2'!I752, 'Point Intercept 1'!I752, "ERROR")</f>
        <v>13</v>
      </c>
      <c r="I752" s="9">
        <f>if('Point Intercept 1'!H752 = 'Point Intercept 2'!H752, 'Point Intercept 1'!H752, "ERROR")</f>
        <v>2</v>
      </c>
      <c r="J752" s="9">
        <f>if('Point Intercept 1'!J752 = 'Point Intercept 2'!J752, 'Point Intercept 1'!J752, "ERROR")</f>
        <v>10</v>
      </c>
      <c r="K752" s="9" t="str">
        <f>if('Point Intercept 1'!K752 = 'Point Intercept 2'!K752, 'Point Intercept 1'!K752, "ERROR")</f>
        <v>DEIFAS</v>
      </c>
      <c r="L752" s="9" t="str">
        <f>if('Point Intercept 1'!L752 = 'Point Intercept 2'!L752, 'Point Intercept 1'!L752, "ERROR")</f>
        <v>Deinandra fasciculata</v>
      </c>
    </row>
    <row r="753">
      <c r="A753" s="9">
        <f>if('Point Intercept 1'!A753 = 'Point Intercept 2'!A753, 'Point Intercept 1'!A753, "ERROR")</f>
        <v>8</v>
      </c>
      <c r="B753" s="9">
        <f>if('Point Intercept 1'!B753 = 'Point Intercept 2'!B753, 'Point Intercept 1'!B753, "ERROR")</f>
        <v>2025</v>
      </c>
      <c r="C753" s="14">
        <f>if('Point Intercept 1'!C753 = 'Point Intercept 2'!C753, 'Point Intercept 1'!C753, "ERROR")</f>
        <v>45764</v>
      </c>
      <c r="D753" s="9" t="str">
        <f>if('Point Intercept 1'!D753 = 'Point Intercept 2'!D753, 'Point Intercept 1'!D753, "ERROR")</f>
        <v>TL, BN, JR, AA</v>
      </c>
      <c r="E753" s="9" t="str">
        <f>if('Point Intercept 1'!E753 = 'Point Intercept 2'!E753, 'Point Intercept 1'!E753, "ERROR")</f>
        <v>VB</v>
      </c>
      <c r="F753" s="9">
        <f>if('Point Intercept 1'!F753 = 'Point Intercept 2'!F753, 'Point Intercept 1'!F753, "ERROR")</f>
        <v>1</v>
      </c>
      <c r="G753" s="9" t="str">
        <f>if('Point Intercept 1'!G753 = 'Point Intercept 2'!G753, 'Point Intercept 1'!G753, "ERROR")</f>
        <v>SS</v>
      </c>
      <c r="H753" s="9">
        <f>if('Point Intercept 1'!I753 = 'Point Intercept 2'!I753, 'Point Intercept 1'!I753, "ERROR")</f>
        <v>13</v>
      </c>
      <c r="I753" s="9">
        <f>if('Point Intercept 1'!H753 = 'Point Intercept 2'!H753, 'Point Intercept 1'!H753, "ERROR")</f>
        <v>2</v>
      </c>
      <c r="J753" s="9">
        <f>if('Point Intercept 1'!J753 = 'Point Intercept 2'!J753, 'Point Intercept 1'!J753, "ERROR")</f>
        <v>10</v>
      </c>
      <c r="K753" s="9" t="str">
        <f>if('Point Intercept 1'!K753 = 'Point Intercept 2'!K753, 'Point Intercept 1'!K753, "ERROR")</f>
        <v>FESMYU</v>
      </c>
      <c r="L753" s="9" t="str">
        <f>if('Point Intercept 1'!L753 = 'Point Intercept 2'!L753, 'Point Intercept 1'!L753, "ERROR")</f>
        <v>Festuca myuros</v>
      </c>
    </row>
    <row r="754">
      <c r="A754" s="9">
        <f>if('Point Intercept 1'!A754 = 'Point Intercept 2'!A754, 'Point Intercept 1'!A754, "ERROR")</f>
        <v>8</v>
      </c>
      <c r="B754" s="9">
        <f>if('Point Intercept 1'!B754 = 'Point Intercept 2'!B754, 'Point Intercept 1'!B754, "ERROR")</f>
        <v>2025</v>
      </c>
      <c r="C754" s="14">
        <f>if('Point Intercept 1'!C754 = 'Point Intercept 2'!C754, 'Point Intercept 1'!C754, "ERROR")</f>
        <v>45764</v>
      </c>
      <c r="D754" s="9" t="str">
        <f>if('Point Intercept 1'!D754 = 'Point Intercept 2'!D754, 'Point Intercept 1'!D754, "ERROR")</f>
        <v>TL, BN, JR, AA</v>
      </c>
      <c r="E754" s="9" t="str">
        <f>if('Point Intercept 1'!E754 = 'Point Intercept 2'!E754, 'Point Intercept 1'!E754, "ERROR")</f>
        <v>VB</v>
      </c>
      <c r="F754" s="9">
        <f>if('Point Intercept 1'!F754 = 'Point Intercept 2'!F754, 'Point Intercept 1'!F754, "ERROR")</f>
        <v>1</v>
      </c>
      <c r="G754" s="9" t="str">
        <f>if('Point Intercept 1'!G754 = 'Point Intercept 2'!G754, 'Point Intercept 1'!G754, "ERROR")</f>
        <v>SS</v>
      </c>
      <c r="H754" s="9">
        <f>if('Point Intercept 1'!I754 = 'Point Intercept 2'!I754, 'Point Intercept 1'!I754, "ERROR")</f>
        <v>14</v>
      </c>
      <c r="I754" s="9">
        <f>if('Point Intercept 1'!H754 = 'Point Intercept 2'!H754, 'Point Intercept 1'!H754, "ERROR")</f>
        <v>2</v>
      </c>
      <c r="J754" s="9">
        <f>if('Point Intercept 1'!J754 = 'Point Intercept 2'!J754, 'Point Intercept 1'!J754, "ERROR")</f>
        <v>11</v>
      </c>
      <c r="K754" s="9" t="str">
        <f>if('Point Intercept 1'!K754 = 'Point Intercept 2'!K754, 'Point Intercept 1'!K754, "ERROR")</f>
        <v>B</v>
      </c>
      <c r="L754" s="9" t="str">
        <f>if('Point Intercept 1'!L754 = 'Point Intercept 2'!L754, 'Point Intercept 1'!L754, "ERROR")</f>
        <v>Bareground</v>
      </c>
    </row>
    <row r="755">
      <c r="A755" s="9">
        <f>if('Point Intercept 1'!A755 = 'Point Intercept 2'!A755, 'Point Intercept 1'!A755, "ERROR")</f>
        <v>8</v>
      </c>
      <c r="B755" s="9">
        <f>if('Point Intercept 1'!B755 = 'Point Intercept 2'!B755, 'Point Intercept 1'!B755, "ERROR")</f>
        <v>2025</v>
      </c>
      <c r="C755" s="14">
        <f>if('Point Intercept 1'!C755 = 'Point Intercept 2'!C755, 'Point Intercept 1'!C755, "ERROR")</f>
        <v>45764</v>
      </c>
      <c r="D755" s="9" t="str">
        <f>if('Point Intercept 1'!D755 = 'Point Intercept 2'!D755, 'Point Intercept 1'!D755, "ERROR")</f>
        <v>TL, BN, JR, AA</v>
      </c>
      <c r="E755" s="9" t="str">
        <f>if('Point Intercept 1'!E755 = 'Point Intercept 2'!E755, 'Point Intercept 1'!E755, "ERROR")</f>
        <v>VB</v>
      </c>
      <c r="F755" s="9">
        <f>if('Point Intercept 1'!F755 = 'Point Intercept 2'!F755, 'Point Intercept 1'!F755, "ERROR")</f>
        <v>1</v>
      </c>
      <c r="G755" s="9" t="str">
        <f>if('Point Intercept 1'!G755 = 'Point Intercept 2'!G755, 'Point Intercept 1'!G755, "ERROR")</f>
        <v>SS</v>
      </c>
      <c r="H755" s="9">
        <f>if('Point Intercept 1'!I755 = 'Point Intercept 2'!I755, 'Point Intercept 1'!I755, "ERROR")</f>
        <v>14</v>
      </c>
      <c r="I755" s="9">
        <f>if('Point Intercept 1'!H755 = 'Point Intercept 2'!H755, 'Point Intercept 1'!H755, "ERROR")</f>
        <v>2</v>
      </c>
      <c r="J755" s="9">
        <f>if('Point Intercept 1'!J755 = 'Point Intercept 2'!J755, 'Point Intercept 1'!J755, "ERROR")</f>
        <v>11</v>
      </c>
      <c r="K755" s="9" t="str">
        <f>if('Point Intercept 1'!K755 = 'Point Intercept 2'!K755, 'Point Intercept 1'!K755, "ERROR")</f>
        <v>DEIFAS</v>
      </c>
      <c r="L755" s="9" t="str">
        <f>if('Point Intercept 1'!L755 = 'Point Intercept 2'!L755, 'Point Intercept 1'!L755, "ERROR")</f>
        <v>Deinandra fasciculata</v>
      </c>
    </row>
    <row r="756">
      <c r="A756" s="9">
        <f>if('Point Intercept 1'!A756 = 'Point Intercept 2'!A756, 'Point Intercept 1'!A756, "ERROR")</f>
        <v>8</v>
      </c>
      <c r="B756" s="9">
        <f>if('Point Intercept 1'!B756 = 'Point Intercept 2'!B756, 'Point Intercept 1'!B756, "ERROR")</f>
        <v>2025</v>
      </c>
      <c r="C756" s="14">
        <f>if('Point Intercept 1'!C756 = 'Point Intercept 2'!C756, 'Point Intercept 1'!C756, "ERROR")</f>
        <v>45764</v>
      </c>
      <c r="D756" s="9" t="str">
        <f>if('Point Intercept 1'!D756 = 'Point Intercept 2'!D756, 'Point Intercept 1'!D756, "ERROR")</f>
        <v>TL, BN, JR, AA</v>
      </c>
      <c r="E756" s="9" t="str">
        <f>if('Point Intercept 1'!E756 = 'Point Intercept 2'!E756, 'Point Intercept 1'!E756, "ERROR")</f>
        <v>VB</v>
      </c>
      <c r="F756" s="9">
        <f>if('Point Intercept 1'!F756 = 'Point Intercept 2'!F756, 'Point Intercept 1'!F756, "ERROR")</f>
        <v>1</v>
      </c>
      <c r="G756" s="9" t="str">
        <f>if('Point Intercept 1'!G756 = 'Point Intercept 2'!G756, 'Point Intercept 1'!G756, "ERROR")</f>
        <v>SS</v>
      </c>
      <c r="H756" s="9">
        <f>if('Point Intercept 1'!I756 = 'Point Intercept 2'!I756, 'Point Intercept 1'!I756, "ERROR")</f>
        <v>14</v>
      </c>
      <c r="I756" s="9">
        <f>if('Point Intercept 1'!H756 = 'Point Intercept 2'!H756, 'Point Intercept 1'!H756, "ERROR")</f>
        <v>2</v>
      </c>
      <c r="J756" s="9">
        <f>if('Point Intercept 1'!J756 = 'Point Intercept 2'!J756, 'Point Intercept 1'!J756, "ERROR")</f>
        <v>11</v>
      </c>
      <c r="K756" s="9" t="str">
        <f>if('Point Intercept 1'!K756 = 'Point Intercept 2'!K756, 'Point Intercept 1'!K756, "ERROR")</f>
        <v>FESMYU</v>
      </c>
      <c r="L756" s="9" t="str">
        <f>if('Point Intercept 1'!L756 = 'Point Intercept 2'!L756, 'Point Intercept 1'!L756, "ERROR")</f>
        <v>Festuca myuros</v>
      </c>
    </row>
    <row r="757">
      <c r="A757" s="9">
        <f>if('Point Intercept 1'!A757 = 'Point Intercept 2'!A757, 'Point Intercept 1'!A757, "ERROR")</f>
        <v>8</v>
      </c>
      <c r="B757" s="9">
        <f>if('Point Intercept 1'!B757 = 'Point Intercept 2'!B757, 'Point Intercept 1'!B757, "ERROR")</f>
        <v>2025</v>
      </c>
      <c r="C757" s="14">
        <f>if('Point Intercept 1'!C757 = 'Point Intercept 2'!C757, 'Point Intercept 1'!C757, "ERROR")</f>
        <v>45764</v>
      </c>
      <c r="D757" s="9" t="str">
        <f>if('Point Intercept 1'!D757 = 'Point Intercept 2'!D757, 'Point Intercept 1'!D757, "ERROR")</f>
        <v>TL, BN, JR, AA</v>
      </c>
      <c r="E757" s="9" t="str">
        <f>if('Point Intercept 1'!E757 = 'Point Intercept 2'!E757, 'Point Intercept 1'!E757, "ERROR")</f>
        <v>VB</v>
      </c>
      <c r="F757" s="9">
        <f>if('Point Intercept 1'!F757 = 'Point Intercept 2'!F757, 'Point Intercept 1'!F757, "ERROR")</f>
        <v>1</v>
      </c>
      <c r="G757" s="9" t="str">
        <f>if('Point Intercept 1'!G757 = 'Point Intercept 2'!G757, 'Point Intercept 1'!G757, "ERROR")</f>
        <v>SS</v>
      </c>
      <c r="H757" s="9">
        <f>if('Point Intercept 1'!I757 = 'Point Intercept 2'!I757, 'Point Intercept 1'!I757, "ERROR")</f>
        <v>15</v>
      </c>
      <c r="I757" s="9">
        <f>if('Point Intercept 1'!H757 = 'Point Intercept 2'!H757, 'Point Intercept 1'!H757, "ERROR")</f>
        <v>2</v>
      </c>
      <c r="J757" s="9">
        <f>if('Point Intercept 1'!J757 = 'Point Intercept 2'!J757, 'Point Intercept 1'!J757, "ERROR")</f>
        <v>12</v>
      </c>
      <c r="K757" s="9" t="str">
        <f>if('Point Intercept 1'!K757 = 'Point Intercept 2'!K757, 'Point Intercept 1'!K757, "ERROR")</f>
        <v>L</v>
      </c>
      <c r="L757" s="9" t="str">
        <f>if('Point Intercept 1'!L757 = 'Point Intercept 2'!L757, 'Point Intercept 1'!L757, "ERROR")</f>
        <v>Litter</v>
      </c>
    </row>
    <row r="758">
      <c r="A758" s="9">
        <f>if('Point Intercept 1'!A758 = 'Point Intercept 2'!A758, 'Point Intercept 1'!A758, "ERROR")</f>
        <v>8</v>
      </c>
      <c r="B758" s="9">
        <f>if('Point Intercept 1'!B758 = 'Point Intercept 2'!B758, 'Point Intercept 1'!B758, "ERROR")</f>
        <v>2025</v>
      </c>
      <c r="C758" s="14">
        <f>if('Point Intercept 1'!C758 = 'Point Intercept 2'!C758, 'Point Intercept 1'!C758, "ERROR")</f>
        <v>45764</v>
      </c>
      <c r="D758" s="9" t="str">
        <f>if('Point Intercept 1'!D758 = 'Point Intercept 2'!D758, 'Point Intercept 1'!D758, "ERROR")</f>
        <v>TL, BN, JR, AA</v>
      </c>
      <c r="E758" s="9" t="str">
        <f>if('Point Intercept 1'!E758 = 'Point Intercept 2'!E758, 'Point Intercept 1'!E758, "ERROR")</f>
        <v>VB</v>
      </c>
      <c r="F758" s="9">
        <f>if('Point Intercept 1'!F758 = 'Point Intercept 2'!F758, 'Point Intercept 1'!F758, "ERROR")</f>
        <v>1</v>
      </c>
      <c r="G758" s="9" t="str">
        <f>if('Point Intercept 1'!G758 = 'Point Intercept 2'!G758, 'Point Intercept 1'!G758, "ERROR")</f>
        <v>SS</v>
      </c>
      <c r="H758" s="9">
        <f>if('Point Intercept 1'!I758 = 'Point Intercept 2'!I758, 'Point Intercept 1'!I758, "ERROR")</f>
        <v>15</v>
      </c>
      <c r="I758" s="9">
        <f>if('Point Intercept 1'!H758 = 'Point Intercept 2'!H758, 'Point Intercept 1'!H758, "ERROR")</f>
        <v>2</v>
      </c>
      <c r="J758" s="9">
        <f>if('Point Intercept 1'!J758 = 'Point Intercept 2'!J758, 'Point Intercept 1'!J758, "ERROR")</f>
        <v>12</v>
      </c>
      <c r="K758" s="9" t="str">
        <f>if('Point Intercept 1'!K758 = 'Point Intercept 2'!K758, 'Point Intercept 1'!K758, "ERROR")</f>
        <v>FESMYU</v>
      </c>
      <c r="L758" s="9" t="str">
        <f>if('Point Intercept 1'!L758 = 'Point Intercept 2'!L758, 'Point Intercept 1'!L758, "ERROR")</f>
        <v>Festuca myuros</v>
      </c>
    </row>
    <row r="759">
      <c r="A759" s="9">
        <f>if('Point Intercept 1'!A759 = 'Point Intercept 2'!A759, 'Point Intercept 1'!A759, "ERROR")</f>
        <v>8</v>
      </c>
      <c r="B759" s="9">
        <f>if('Point Intercept 1'!B759 = 'Point Intercept 2'!B759, 'Point Intercept 1'!B759, "ERROR")</f>
        <v>2025</v>
      </c>
      <c r="C759" s="14">
        <f>if('Point Intercept 1'!C759 = 'Point Intercept 2'!C759, 'Point Intercept 1'!C759, "ERROR")</f>
        <v>45764</v>
      </c>
      <c r="D759" s="9" t="str">
        <f>if('Point Intercept 1'!D759 = 'Point Intercept 2'!D759, 'Point Intercept 1'!D759, "ERROR")</f>
        <v>TL, BN, JR, AA</v>
      </c>
      <c r="E759" s="9" t="str">
        <f>if('Point Intercept 1'!E759 = 'Point Intercept 2'!E759, 'Point Intercept 1'!E759, "ERROR")</f>
        <v>VB</v>
      </c>
      <c r="F759" s="9">
        <f>if('Point Intercept 1'!F759 = 'Point Intercept 2'!F759, 'Point Intercept 1'!F759, "ERROR")</f>
        <v>1</v>
      </c>
      <c r="G759" s="9" t="str">
        <f>if('Point Intercept 1'!G759 = 'Point Intercept 2'!G759, 'Point Intercept 1'!G759, "ERROR")</f>
        <v>SS</v>
      </c>
      <c r="H759" s="9">
        <f>if('Point Intercept 1'!I759 = 'Point Intercept 2'!I759, 'Point Intercept 1'!I759, "ERROR")</f>
        <v>15</v>
      </c>
      <c r="I759" s="9">
        <f>if('Point Intercept 1'!H759 = 'Point Intercept 2'!H759, 'Point Intercept 1'!H759, "ERROR")</f>
        <v>2</v>
      </c>
      <c r="J759" s="9">
        <f>if('Point Intercept 1'!J759 = 'Point Intercept 2'!J759, 'Point Intercept 1'!J759, "ERROR")</f>
        <v>12</v>
      </c>
      <c r="K759" s="9" t="str">
        <f>if('Point Intercept 1'!K759 = 'Point Intercept 2'!K759, 'Point Intercept 1'!K759, "ERROR")</f>
        <v>UROLIN</v>
      </c>
      <c r="L759" s="9" t="str">
        <f>if('Point Intercept 1'!L759 = 'Point Intercept 2'!L759, 'Point Intercept 1'!L759, "ERROR")</f>
        <v>Uropappus lindleyi</v>
      </c>
    </row>
    <row r="760">
      <c r="A760" s="9">
        <f>if('Point Intercept 1'!A760 = 'Point Intercept 2'!A760, 'Point Intercept 1'!A760, "ERROR")</f>
        <v>9</v>
      </c>
      <c r="B760" s="9">
        <f>if('Point Intercept 1'!B760 = 'Point Intercept 2'!B760, 'Point Intercept 1'!B760, "ERROR")</f>
        <v>2025</v>
      </c>
      <c r="C760" s="14">
        <f>if('Point Intercept 1'!C760 = 'Point Intercept 2'!C760, 'Point Intercept 1'!C760, "ERROR")</f>
        <v>45764</v>
      </c>
      <c r="D760" s="9" t="str">
        <f>if('Point Intercept 1'!D760 = 'Point Intercept 2'!D760, 'Point Intercept 1'!D760, "ERROR")</f>
        <v>TL, JR, AA</v>
      </c>
      <c r="E760" s="9" t="str">
        <f>if('Point Intercept 1'!E760 = 'Point Intercept 2'!E760, 'Point Intercept 1'!E760, "ERROR")</f>
        <v>CU</v>
      </c>
      <c r="F760" s="9">
        <f>if('Point Intercept 1'!F760 = 'Point Intercept 2'!F760, 'Point Intercept 1'!F760, "ERROR")</f>
        <v>1</v>
      </c>
      <c r="G760" s="9" t="str">
        <f>if('Point Intercept 1'!G760 = 'Point Intercept 2'!G760, 'Point Intercept 1'!G760, "ERROR")</f>
        <v>LS</v>
      </c>
      <c r="H760" s="9">
        <f>if('Point Intercept 1'!I760 = 'Point Intercept 2'!I760, 'Point Intercept 1'!I760, "ERROR")</f>
        <v>1</v>
      </c>
      <c r="I760" s="9">
        <f>if('Point Intercept 1'!H760 = 'Point Intercept 2'!H760, 'Point Intercept 1'!H760, "ERROR")</f>
        <v>1</v>
      </c>
      <c r="J760" s="9">
        <f>if('Point Intercept 1'!J760 = 'Point Intercept 2'!J760, 'Point Intercept 1'!J760, "ERROR")</f>
        <v>0</v>
      </c>
      <c r="K760" s="9" t="str">
        <f>if('Point Intercept 1'!K760 = 'Point Intercept 2'!K760, 'Point Intercept 1'!K760, "ERROR")</f>
        <v>M</v>
      </c>
      <c r="L760" s="9" t="str">
        <f>if('Point Intercept 1'!L760 = 'Point Intercept 2'!L760, 'Point Intercept 1'!L760, "ERROR")</f>
        <v>Moss</v>
      </c>
    </row>
    <row r="761">
      <c r="A761" s="9">
        <f>if('Point Intercept 1'!A761 = 'Point Intercept 2'!A761, 'Point Intercept 1'!A761, "ERROR")</f>
        <v>9</v>
      </c>
      <c r="B761" s="9">
        <f>if('Point Intercept 1'!B761 = 'Point Intercept 2'!B761, 'Point Intercept 1'!B761, "ERROR")</f>
        <v>2025</v>
      </c>
      <c r="C761" s="14">
        <f>if('Point Intercept 1'!C761 = 'Point Intercept 2'!C761, 'Point Intercept 1'!C761, "ERROR")</f>
        <v>45764</v>
      </c>
      <c r="D761" s="9" t="str">
        <f>if('Point Intercept 1'!D761 = 'Point Intercept 2'!D761, 'Point Intercept 1'!D761, "ERROR")</f>
        <v>TL, JR, AA</v>
      </c>
      <c r="E761" s="9" t="str">
        <f>if('Point Intercept 1'!E761 = 'Point Intercept 2'!E761, 'Point Intercept 1'!E761, "ERROR")</f>
        <v>CU</v>
      </c>
      <c r="F761" s="9">
        <f>if('Point Intercept 1'!F761 = 'Point Intercept 2'!F761, 'Point Intercept 1'!F761, "ERROR")</f>
        <v>1</v>
      </c>
      <c r="G761" s="9" t="str">
        <f>if('Point Intercept 1'!G761 = 'Point Intercept 2'!G761, 'Point Intercept 1'!G761, "ERROR")</f>
        <v>LS</v>
      </c>
      <c r="H761" s="9">
        <f>if('Point Intercept 1'!I761 = 'Point Intercept 2'!I761, 'Point Intercept 1'!I761, "ERROR")</f>
        <v>1</v>
      </c>
      <c r="I761" s="9">
        <f>if('Point Intercept 1'!H761 = 'Point Intercept 2'!H761, 'Point Intercept 1'!H761, "ERROR")</f>
        <v>1</v>
      </c>
      <c r="J761" s="9">
        <f>if('Point Intercept 1'!J761 = 'Point Intercept 2'!J761, 'Point Intercept 1'!J761, "ERROR")</f>
        <v>0</v>
      </c>
      <c r="K761" s="9" t="str">
        <f>if('Point Intercept 1'!K761 = 'Point Intercept 2'!K761, 'Point Intercept 1'!K761, "ERROR")</f>
        <v>OPULIT</v>
      </c>
      <c r="L761" s="9" t="str">
        <f>if('Point Intercept 1'!L761 = 'Point Intercept 2'!L761, 'Point Intercept 1'!L761, "ERROR")</f>
        <v>Opuntia littoralis</v>
      </c>
    </row>
    <row r="762">
      <c r="A762" s="9">
        <f>if('Point Intercept 1'!A762 = 'Point Intercept 2'!A762, 'Point Intercept 1'!A762, "ERROR")</f>
        <v>9</v>
      </c>
      <c r="B762" s="9">
        <f>if('Point Intercept 1'!B762 = 'Point Intercept 2'!B762, 'Point Intercept 1'!B762, "ERROR")</f>
        <v>2025</v>
      </c>
      <c r="C762" s="14">
        <f>if('Point Intercept 1'!C762 = 'Point Intercept 2'!C762, 'Point Intercept 1'!C762, "ERROR")</f>
        <v>45764</v>
      </c>
      <c r="D762" s="9" t="str">
        <f>if('Point Intercept 1'!D762 = 'Point Intercept 2'!D762, 'Point Intercept 1'!D762, "ERROR")</f>
        <v>TL, JR, AA</v>
      </c>
      <c r="E762" s="9" t="str">
        <f>if('Point Intercept 1'!E762 = 'Point Intercept 2'!E762, 'Point Intercept 1'!E762, "ERROR")</f>
        <v>CU</v>
      </c>
      <c r="F762" s="9">
        <f>if('Point Intercept 1'!F762 = 'Point Intercept 2'!F762, 'Point Intercept 1'!F762, "ERROR")</f>
        <v>1</v>
      </c>
      <c r="G762" s="9" t="str">
        <f>if('Point Intercept 1'!G762 = 'Point Intercept 2'!G762, 'Point Intercept 1'!G762, "ERROR")</f>
        <v>LS</v>
      </c>
      <c r="H762" s="9">
        <f>if('Point Intercept 1'!I762 = 'Point Intercept 2'!I762, 'Point Intercept 1'!I762, "ERROR")</f>
        <v>2</v>
      </c>
      <c r="I762" s="9">
        <f>if('Point Intercept 1'!H762 = 'Point Intercept 2'!H762, 'Point Intercept 1'!H762, "ERROR")</f>
        <v>1</v>
      </c>
      <c r="J762" s="9">
        <f>if('Point Intercept 1'!J762 = 'Point Intercept 2'!J762, 'Point Intercept 1'!J762, "ERROR")</f>
        <v>0.5</v>
      </c>
      <c r="K762" s="9" t="str">
        <f>if('Point Intercept 1'!K762 = 'Point Intercept 2'!K762, 'Point Intercept 1'!K762, "ERROR")</f>
        <v>S</v>
      </c>
      <c r="L762" s="9" t="str">
        <f>if('Point Intercept 1'!L762 = 'Point Intercept 2'!L762, 'Point Intercept 1'!L762, "ERROR")</f>
        <v>Stem</v>
      </c>
    </row>
    <row r="763">
      <c r="A763" s="9">
        <f>if('Point Intercept 1'!A763 = 'Point Intercept 2'!A763, 'Point Intercept 1'!A763, "ERROR")</f>
        <v>9</v>
      </c>
      <c r="B763" s="9">
        <f>if('Point Intercept 1'!B763 = 'Point Intercept 2'!B763, 'Point Intercept 1'!B763, "ERROR")</f>
        <v>2025</v>
      </c>
      <c r="C763" s="14">
        <f>if('Point Intercept 1'!C763 = 'Point Intercept 2'!C763, 'Point Intercept 1'!C763, "ERROR")</f>
        <v>45764</v>
      </c>
      <c r="D763" s="9" t="str">
        <f>if('Point Intercept 1'!D763 = 'Point Intercept 2'!D763, 'Point Intercept 1'!D763, "ERROR")</f>
        <v>TL, JR, AA</v>
      </c>
      <c r="E763" s="9" t="str">
        <f>if('Point Intercept 1'!E763 = 'Point Intercept 2'!E763, 'Point Intercept 1'!E763, "ERROR")</f>
        <v>CU</v>
      </c>
      <c r="F763" s="9">
        <f>if('Point Intercept 1'!F763 = 'Point Intercept 2'!F763, 'Point Intercept 1'!F763, "ERROR")</f>
        <v>1</v>
      </c>
      <c r="G763" s="9" t="str">
        <f>if('Point Intercept 1'!G763 = 'Point Intercept 2'!G763, 'Point Intercept 1'!G763, "ERROR")</f>
        <v>LS</v>
      </c>
      <c r="H763" s="9">
        <f>if('Point Intercept 1'!I763 = 'Point Intercept 2'!I763, 'Point Intercept 1'!I763, "ERROR")</f>
        <v>2</v>
      </c>
      <c r="I763" s="9">
        <f>if('Point Intercept 1'!H763 = 'Point Intercept 2'!H763, 'Point Intercept 1'!H763, "ERROR")</f>
        <v>1</v>
      </c>
      <c r="J763" s="9">
        <f>if('Point Intercept 1'!J763 = 'Point Intercept 2'!J763, 'Point Intercept 1'!J763, "ERROR")</f>
        <v>0.5</v>
      </c>
      <c r="K763" s="9" t="str">
        <f>if('Point Intercept 1'!K763 = 'Point Intercept 2'!K763, 'Point Intercept 1'!K763, "ERROR")</f>
        <v>OPULIT</v>
      </c>
      <c r="L763" s="9" t="str">
        <f>if('Point Intercept 1'!L763 = 'Point Intercept 2'!L763, 'Point Intercept 1'!L763, "ERROR")</f>
        <v>Opuntia littoralis</v>
      </c>
    </row>
    <row r="764">
      <c r="A764" s="9">
        <f>if('Point Intercept 1'!A764 = 'Point Intercept 2'!A764, 'Point Intercept 1'!A764, "ERROR")</f>
        <v>9</v>
      </c>
      <c r="B764" s="9">
        <f>if('Point Intercept 1'!B764 = 'Point Intercept 2'!B764, 'Point Intercept 1'!B764, "ERROR")</f>
        <v>2025</v>
      </c>
      <c r="C764" s="14">
        <f>if('Point Intercept 1'!C764 = 'Point Intercept 2'!C764, 'Point Intercept 1'!C764, "ERROR")</f>
        <v>45764</v>
      </c>
      <c r="D764" s="9" t="str">
        <f>if('Point Intercept 1'!D764 = 'Point Intercept 2'!D764, 'Point Intercept 1'!D764, "ERROR")</f>
        <v>TL, JR, AA</v>
      </c>
      <c r="E764" s="9" t="str">
        <f>if('Point Intercept 1'!E764 = 'Point Intercept 2'!E764, 'Point Intercept 1'!E764, "ERROR")</f>
        <v>CU</v>
      </c>
      <c r="F764" s="9">
        <f>if('Point Intercept 1'!F764 = 'Point Intercept 2'!F764, 'Point Intercept 1'!F764, "ERROR")</f>
        <v>1</v>
      </c>
      <c r="G764" s="9" t="str">
        <f>if('Point Intercept 1'!G764 = 'Point Intercept 2'!G764, 'Point Intercept 1'!G764, "ERROR")</f>
        <v>LS</v>
      </c>
      <c r="H764" s="9">
        <f>if('Point Intercept 1'!I764 = 'Point Intercept 2'!I764, 'Point Intercept 1'!I764, "ERROR")</f>
        <v>3</v>
      </c>
      <c r="I764" s="9">
        <f>if('Point Intercept 1'!H764 = 'Point Intercept 2'!H764, 'Point Intercept 1'!H764, "ERROR")</f>
        <v>1</v>
      </c>
      <c r="J764" s="9">
        <f>if('Point Intercept 1'!J764 = 'Point Intercept 2'!J764, 'Point Intercept 1'!J764, "ERROR")</f>
        <v>1</v>
      </c>
      <c r="K764" s="9" t="str">
        <f>if('Point Intercept 1'!K764 = 'Point Intercept 2'!K764, 'Point Intercept 1'!K764, "ERROR")</f>
        <v>L</v>
      </c>
      <c r="L764" s="9" t="str">
        <f>if('Point Intercept 1'!L764 = 'Point Intercept 2'!L764, 'Point Intercept 1'!L764, "ERROR")</f>
        <v>Litter</v>
      </c>
    </row>
    <row r="765">
      <c r="A765" s="9">
        <f>if('Point Intercept 1'!A765 = 'Point Intercept 2'!A765, 'Point Intercept 1'!A765, "ERROR")</f>
        <v>9</v>
      </c>
      <c r="B765" s="9">
        <f>if('Point Intercept 1'!B765 = 'Point Intercept 2'!B765, 'Point Intercept 1'!B765, "ERROR")</f>
        <v>2025</v>
      </c>
      <c r="C765" s="14">
        <f>if('Point Intercept 1'!C765 = 'Point Intercept 2'!C765, 'Point Intercept 1'!C765, "ERROR")</f>
        <v>45764</v>
      </c>
      <c r="D765" s="9" t="str">
        <f>if('Point Intercept 1'!D765 = 'Point Intercept 2'!D765, 'Point Intercept 1'!D765, "ERROR")</f>
        <v>TL, JR, AA</v>
      </c>
      <c r="E765" s="9" t="str">
        <f>if('Point Intercept 1'!E765 = 'Point Intercept 2'!E765, 'Point Intercept 1'!E765, "ERROR")</f>
        <v>CU</v>
      </c>
      <c r="F765" s="9">
        <f>if('Point Intercept 1'!F765 = 'Point Intercept 2'!F765, 'Point Intercept 1'!F765, "ERROR")</f>
        <v>1</v>
      </c>
      <c r="G765" s="9" t="str">
        <f>if('Point Intercept 1'!G765 = 'Point Intercept 2'!G765, 'Point Intercept 1'!G765, "ERROR")</f>
        <v>LS</v>
      </c>
      <c r="H765" s="9">
        <f>if('Point Intercept 1'!I765 = 'Point Intercept 2'!I765, 'Point Intercept 1'!I765, "ERROR")</f>
        <v>3</v>
      </c>
      <c r="I765" s="9">
        <f>if('Point Intercept 1'!H765 = 'Point Intercept 2'!H765, 'Point Intercept 1'!H765, "ERROR")</f>
        <v>1</v>
      </c>
      <c r="J765" s="9">
        <f>if('Point Intercept 1'!J765 = 'Point Intercept 2'!J765, 'Point Intercept 1'!J765, "ERROR")</f>
        <v>1</v>
      </c>
      <c r="K765" s="9" t="str">
        <f>if('Point Intercept 1'!K765 = 'Point Intercept 2'!K765, 'Point Intercept 1'!K765, "ERROR")</f>
        <v>OPULIT</v>
      </c>
      <c r="L765" s="9" t="str">
        <f>if('Point Intercept 1'!L765 = 'Point Intercept 2'!L765, 'Point Intercept 1'!L765, "ERROR")</f>
        <v>Opuntia littoralis</v>
      </c>
    </row>
    <row r="766">
      <c r="A766" s="9">
        <f>if('Point Intercept 1'!A766 = 'Point Intercept 2'!A766, 'Point Intercept 1'!A766, "ERROR")</f>
        <v>9</v>
      </c>
      <c r="B766" s="9">
        <f>if('Point Intercept 1'!B766 = 'Point Intercept 2'!B766, 'Point Intercept 1'!B766, "ERROR")</f>
        <v>2025</v>
      </c>
      <c r="C766" s="14">
        <f>if('Point Intercept 1'!C766 = 'Point Intercept 2'!C766, 'Point Intercept 1'!C766, "ERROR")</f>
        <v>45764</v>
      </c>
      <c r="D766" s="9" t="str">
        <f>if('Point Intercept 1'!D766 = 'Point Intercept 2'!D766, 'Point Intercept 1'!D766, "ERROR")</f>
        <v>TL, JR, AA</v>
      </c>
      <c r="E766" s="9" t="str">
        <f>if('Point Intercept 1'!E766 = 'Point Intercept 2'!E766, 'Point Intercept 1'!E766, "ERROR")</f>
        <v>CU</v>
      </c>
      <c r="F766" s="9">
        <f>if('Point Intercept 1'!F766 = 'Point Intercept 2'!F766, 'Point Intercept 1'!F766, "ERROR")</f>
        <v>1</v>
      </c>
      <c r="G766" s="9" t="str">
        <f>if('Point Intercept 1'!G766 = 'Point Intercept 2'!G766, 'Point Intercept 1'!G766, "ERROR")</f>
        <v>LS</v>
      </c>
      <c r="H766" s="9">
        <f>if('Point Intercept 1'!I766 = 'Point Intercept 2'!I766, 'Point Intercept 1'!I766, "ERROR")</f>
        <v>3</v>
      </c>
      <c r="I766" s="9">
        <f>if('Point Intercept 1'!H766 = 'Point Intercept 2'!H766, 'Point Intercept 1'!H766, "ERROR")</f>
        <v>1</v>
      </c>
      <c r="J766" s="9">
        <f>if('Point Intercept 1'!J766 = 'Point Intercept 2'!J766, 'Point Intercept 1'!J766, "ERROR")</f>
        <v>1</v>
      </c>
      <c r="K766" s="9" t="str">
        <f>if('Point Intercept 1'!K766 = 'Point Intercept 2'!K766, 'Point Intercept 1'!K766, "ERROR")</f>
        <v>UNKNNGRASS</v>
      </c>
      <c r="L766" s="9" t="str">
        <f>if('Point Intercept 1'!L766 = 'Point Intercept 2'!L766, 'Point Intercept 1'!L766, "ERROR")</f>
        <v>Unknown non-native grass</v>
      </c>
    </row>
    <row r="767">
      <c r="A767" s="9">
        <f>if('Point Intercept 1'!A767 = 'Point Intercept 2'!A767, 'Point Intercept 1'!A767, "ERROR")</f>
        <v>9</v>
      </c>
      <c r="B767" s="9">
        <f>if('Point Intercept 1'!B767 = 'Point Intercept 2'!B767, 'Point Intercept 1'!B767, "ERROR")</f>
        <v>2025</v>
      </c>
      <c r="C767" s="14">
        <f>if('Point Intercept 1'!C767 = 'Point Intercept 2'!C767, 'Point Intercept 1'!C767, "ERROR")</f>
        <v>45764</v>
      </c>
      <c r="D767" s="9" t="str">
        <f>if('Point Intercept 1'!D767 = 'Point Intercept 2'!D767, 'Point Intercept 1'!D767, "ERROR")</f>
        <v>TL, JR, AA</v>
      </c>
      <c r="E767" s="9" t="str">
        <f>if('Point Intercept 1'!E767 = 'Point Intercept 2'!E767, 'Point Intercept 1'!E767, "ERROR")</f>
        <v>CU</v>
      </c>
      <c r="F767" s="9">
        <f>if('Point Intercept 1'!F767 = 'Point Intercept 2'!F767, 'Point Intercept 1'!F767, "ERROR")</f>
        <v>1</v>
      </c>
      <c r="G767" s="9" t="str">
        <f>if('Point Intercept 1'!G767 = 'Point Intercept 2'!G767, 'Point Intercept 1'!G767, "ERROR")</f>
        <v>LS</v>
      </c>
      <c r="H767" s="9">
        <f>if('Point Intercept 1'!I767 = 'Point Intercept 2'!I767, 'Point Intercept 1'!I767, "ERROR")</f>
        <v>4</v>
      </c>
      <c r="I767" s="9">
        <f>if('Point Intercept 1'!H767 = 'Point Intercept 2'!H767, 'Point Intercept 1'!H767, "ERROR")</f>
        <v>1</v>
      </c>
      <c r="J767" s="9">
        <f>if('Point Intercept 1'!J767 = 'Point Intercept 2'!J767, 'Point Intercept 1'!J767, "ERROR")</f>
        <v>1.5</v>
      </c>
      <c r="K767" s="9" t="str">
        <f>if('Point Intercept 1'!K767 = 'Point Intercept 2'!K767, 'Point Intercept 1'!K767, "ERROR")</f>
        <v>S</v>
      </c>
      <c r="L767" s="9" t="str">
        <f>if('Point Intercept 1'!L767 = 'Point Intercept 2'!L767, 'Point Intercept 1'!L767, "ERROR")</f>
        <v>Stem</v>
      </c>
    </row>
    <row r="768">
      <c r="A768" s="9">
        <f>if('Point Intercept 1'!A768 = 'Point Intercept 2'!A768, 'Point Intercept 1'!A768, "ERROR")</f>
        <v>9</v>
      </c>
      <c r="B768" s="9">
        <f>if('Point Intercept 1'!B768 = 'Point Intercept 2'!B768, 'Point Intercept 1'!B768, "ERROR")</f>
        <v>2025</v>
      </c>
      <c r="C768" s="14">
        <f>if('Point Intercept 1'!C768 = 'Point Intercept 2'!C768, 'Point Intercept 1'!C768, "ERROR")</f>
        <v>45764</v>
      </c>
      <c r="D768" s="9" t="str">
        <f>if('Point Intercept 1'!D768 = 'Point Intercept 2'!D768, 'Point Intercept 1'!D768, "ERROR")</f>
        <v>TL, JR, AA</v>
      </c>
      <c r="E768" s="9" t="str">
        <f>if('Point Intercept 1'!E768 = 'Point Intercept 2'!E768, 'Point Intercept 1'!E768, "ERROR")</f>
        <v>CU</v>
      </c>
      <c r="F768" s="9">
        <f>if('Point Intercept 1'!F768 = 'Point Intercept 2'!F768, 'Point Intercept 1'!F768, "ERROR")</f>
        <v>1</v>
      </c>
      <c r="G768" s="9" t="str">
        <f>if('Point Intercept 1'!G768 = 'Point Intercept 2'!G768, 'Point Intercept 1'!G768, "ERROR")</f>
        <v>LS</v>
      </c>
      <c r="H768" s="9">
        <f>if('Point Intercept 1'!I768 = 'Point Intercept 2'!I768, 'Point Intercept 1'!I768, "ERROR")</f>
        <v>4</v>
      </c>
      <c r="I768" s="9">
        <f>if('Point Intercept 1'!H768 = 'Point Intercept 2'!H768, 'Point Intercept 1'!H768, "ERROR")</f>
        <v>1</v>
      </c>
      <c r="J768" s="9">
        <f>if('Point Intercept 1'!J768 = 'Point Intercept 2'!J768, 'Point Intercept 1'!J768, "ERROR")</f>
        <v>1.5</v>
      </c>
      <c r="K768" s="9" t="str">
        <f>if('Point Intercept 1'!K768 = 'Point Intercept 2'!K768, 'Point Intercept 1'!K768, "ERROR")</f>
        <v>OPULIT</v>
      </c>
      <c r="L768" s="9" t="str">
        <f>if('Point Intercept 1'!L768 = 'Point Intercept 2'!L768, 'Point Intercept 1'!L768, "ERROR")</f>
        <v>Opuntia littoralis</v>
      </c>
    </row>
    <row r="769">
      <c r="A769" s="9">
        <f>if('Point Intercept 1'!A769 = 'Point Intercept 2'!A769, 'Point Intercept 1'!A769, "ERROR")</f>
        <v>9</v>
      </c>
      <c r="B769" s="9">
        <f>if('Point Intercept 1'!B769 = 'Point Intercept 2'!B769, 'Point Intercept 1'!B769, "ERROR")</f>
        <v>2025</v>
      </c>
      <c r="C769" s="14">
        <f>if('Point Intercept 1'!C769 = 'Point Intercept 2'!C769, 'Point Intercept 1'!C769, "ERROR")</f>
        <v>45764</v>
      </c>
      <c r="D769" s="9" t="str">
        <f>if('Point Intercept 1'!D769 = 'Point Intercept 2'!D769, 'Point Intercept 1'!D769, "ERROR")</f>
        <v>TL, JR, AA</v>
      </c>
      <c r="E769" s="9" t="str">
        <f>if('Point Intercept 1'!E769 = 'Point Intercept 2'!E769, 'Point Intercept 1'!E769, "ERROR")</f>
        <v>CU</v>
      </c>
      <c r="F769" s="9">
        <f>if('Point Intercept 1'!F769 = 'Point Intercept 2'!F769, 'Point Intercept 1'!F769, "ERROR")</f>
        <v>1</v>
      </c>
      <c r="G769" s="9" t="str">
        <f>if('Point Intercept 1'!G769 = 'Point Intercept 2'!G769, 'Point Intercept 1'!G769, "ERROR")</f>
        <v>LS</v>
      </c>
      <c r="H769" s="9">
        <f>if('Point Intercept 1'!I769 = 'Point Intercept 2'!I769, 'Point Intercept 1'!I769, "ERROR")</f>
        <v>4</v>
      </c>
      <c r="I769" s="9">
        <f>if('Point Intercept 1'!H769 = 'Point Intercept 2'!H769, 'Point Intercept 1'!H769, "ERROR")</f>
        <v>1</v>
      </c>
      <c r="J769" s="9">
        <f>if('Point Intercept 1'!J769 = 'Point Intercept 2'!J769, 'Point Intercept 1'!J769, "ERROR")</f>
        <v>1.5</v>
      </c>
      <c r="K769" s="9" t="str">
        <f>if('Point Intercept 1'!K769 = 'Point Intercept 2'!K769, 'Point Intercept 1'!K769, "ERROR")</f>
        <v>DEIFAS</v>
      </c>
      <c r="L769" s="9" t="str">
        <f>if('Point Intercept 1'!L769 = 'Point Intercept 2'!L769, 'Point Intercept 1'!L769, "ERROR")</f>
        <v>Deinandra fasciculata</v>
      </c>
    </row>
    <row r="770">
      <c r="A770" s="9">
        <f>if('Point Intercept 1'!A770 = 'Point Intercept 2'!A770, 'Point Intercept 1'!A770, "ERROR")</f>
        <v>9</v>
      </c>
      <c r="B770" s="9">
        <f>if('Point Intercept 1'!B770 = 'Point Intercept 2'!B770, 'Point Intercept 1'!B770, "ERROR")</f>
        <v>2025</v>
      </c>
      <c r="C770" s="14">
        <f>if('Point Intercept 1'!C770 = 'Point Intercept 2'!C770, 'Point Intercept 1'!C770, "ERROR")</f>
        <v>45764</v>
      </c>
      <c r="D770" s="9" t="str">
        <f>if('Point Intercept 1'!D770 = 'Point Intercept 2'!D770, 'Point Intercept 1'!D770, "ERROR")</f>
        <v>TL, JR, AA</v>
      </c>
      <c r="E770" s="9" t="str">
        <f>if('Point Intercept 1'!E770 = 'Point Intercept 2'!E770, 'Point Intercept 1'!E770, "ERROR")</f>
        <v>CU</v>
      </c>
      <c r="F770" s="9">
        <f>if('Point Intercept 1'!F770 = 'Point Intercept 2'!F770, 'Point Intercept 1'!F770, "ERROR")</f>
        <v>1</v>
      </c>
      <c r="G770" s="9" t="str">
        <f>if('Point Intercept 1'!G770 = 'Point Intercept 2'!G770, 'Point Intercept 1'!G770, "ERROR")</f>
        <v>LS</v>
      </c>
      <c r="H770" s="9">
        <f>if('Point Intercept 1'!I770 = 'Point Intercept 2'!I770, 'Point Intercept 1'!I770, "ERROR")</f>
        <v>5</v>
      </c>
      <c r="I770" s="9">
        <f>if('Point Intercept 1'!H770 = 'Point Intercept 2'!H770, 'Point Intercept 1'!H770, "ERROR")</f>
        <v>1</v>
      </c>
      <c r="J770" s="9">
        <f>if('Point Intercept 1'!J770 = 'Point Intercept 2'!J770, 'Point Intercept 1'!J770, "ERROR")</f>
        <v>2</v>
      </c>
      <c r="K770" s="9" t="str">
        <f>if('Point Intercept 1'!K770 = 'Point Intercept 2'!K770, 'Point Intercept 1'!K770, "ERROR")</f>
        <v>L</v>
      </c>
      <c r="L770" s="9" t="str">
        <f>if('Point Intercept 1'!L770 = 'Point Intercept 2'!L770, 'Point Intercept 1'!L770, "ERROR")</f>
        <v>Litter</v>
      </c>
    </row>
    <row r="771">
      <c r="A771" s="9">
        <f>if('Point Intercept 1'!A771 = 'Point Intercept 2'!A771, 'Point Intercept 1'!A771, "ERROR")</f>
        <v>9</v>
      </c>
      <c r="B771" s="9">
        <f>if('Point Intercept 1'!B771 = 'Point Intercept 2'!B771, 'Point Intercept 1'!B771, "ERROR")</f>
        <v>2025</v>
      </c>
      <c r="C771" s="14">
        <f>if('Point Intercept 1'!C771 = 'Point Intercept 2'!C771, 'Point Intercept 1'!C771, "ERROR")</f>
        <v>45764</v>
      </c>
      <c r="D771" s="9" t="str">
        <f>if('Point Intercept 1'!D771 = 'Point Intercept 2'!D771, 'Point Intercept 1'!D771, "ERROR")</f>
        <v>TL, JR, AA</v>
      </c>
      <c r="E771" s="9" t="str">
        <f>if('Point Intercept 1'!E771 = 'Point Intercept 2'!E771, 'Point Intercept 1'!E771, "ERROR")</f>
        <v>CU</v>
      </c>
      <c r="F771" s="9">
        <f>if('Point Intercept 1'!F771 = 'Point Intercept 2'!F771, 'Point Intercept 1'!F771, "ERROR")</f>
        <v>1</v>
      </c>
      <c r="G771" s="9" t="str">
        <f>if('Point Intercept 1'!G771 = 'Point Intercept 2'!G771, 'Point Intercept 1'!G771, "ERROR")</f>
        <v>LS</v>
      </c>
      <c r="H771" s="9">
        <f>if('Point Intercept 1'!I771 = 'Point Intercept 2'!I771, 'Point Intercept 1'!I771, "ERROR")</f>
        <v>5</v>
      </c>
      <c r="I771" s="9">
        <f>if('Point Intercept 1'!H771 = 'Point Intercept 2'!H771, 'Point Intercept 1'!H771, "ERROR")</f>
        <v>1</v>
      </c>
      <c r="J771" s="9">
        <f>if('Point Intercept 1'!J771 = 'Point Intercept 2'!J771, 'Point Intercept 1'!J771, "ERROR")</f>
        <v>2</v>
      </c>
      <c r="K771" s="9" t="str">
        <f>if('Point Intercept 1'!K771 = 'Point Intercept 2'!K771, 'Point Intercept 1'!K771, "ERROR")</f>
        <v>SONASP</v>
      </c>
      <c r="L771" s="9" t="str">
        <f>if('Point Intercept 1'!L771 = 'Point Intercept 2'!L771, 'Point Intercept 1'!L771, "ERROR")</f>
        <v>Sonchus asper</v>
      </c>
    </row>
    <row r="772">
      <c r="A772" s="9">
        <f>if('Point Intercept 1'!A772 = 'Point Intercept 2'!A772, 'Point Intercept 1'!A772, "ERROR")</f>
        <v>9</v>
      </c>
      <c r="B772" s="9">
        <f>if('Point Intercept 1'!B772 = 'Point Intercept 2'!B772, 'Point Intercept 1'!B772, "ERROR")</f>
        <v>2025</v>
      </c>
      <c r="C772" s="14">
        <f>if('Point Intercept 1'!C772 = 'Point Intercept 2'!C772, 'Point Intercept 1'!C772, "ERROR")</f>
        <v>45764</v>
      </c>
      <c r="D772" s="9" t="str">
        <f>if('Point Intercept 1'!D772 = 'Point Intercept 2'!D772, 'Point Intercept 1'!D772, "ERROR")</f>
        <v>TL, JR, AA</v>
      </c>
      <c r="E772" s="9" t="str">
        <f>if('Point Intercept 1'!E772 = 'Point Intercept 2'!E772, 'Point Intercept 1'!E772, "ERROR")</f>
        <v>CU</v>
      </c>
      <c r="F772" s="9">
        <f>if('Point Intercept 1'!F772 = 'Point Intercept 2'!F772, 'Point Intercept 1'!F772, "ERROR")</f>
        <v>1</v>
      </c>
      <c r="G772" s="9" t="str">
        <f>if('Point Intercept 1'!G772 = 'Point Intercept 2'!G772, 'Point Intercept 1'!G772, "ERROR")</f>
        <v>LS</v>
      </c>
      <c r="H772" s="9">
        <f>if('Point Intercept 1'!I772 = 'Point Intercept 2'!I772, 'Point Intercept 1'!I772, "ERROR")</f>
        <v>5</v>
      </c>
      <c r="I772" s="9">
        <f>if('Point Intercept 1'!H772 = 'Point Intercept 2'!H772, 'Point Intercept 1'!H772, "ERROR")</f>
        <v>1</v>
      </c>
      <c r="J772" s="9">
        <f>if('Point Intercept 1'!J772 = 'Point Intercept 2'!J772, 'Point Intercept 1'!J772, "ERROR")</f>
        <v>2</v>
      </c>
      <c r="K772" s="9" t="str">
        <f>if('Point Intercept 1'!K772 = 'Point Intercept 2'!K772, 'Point Intercept 1'!K772, "ERROR")</f>
        <v>CENMEL</v>
      </c>
      <c r="L772" s="9" t="str">
        <f>if('Point Intercept 1'!L772 = 'Point Intercept 2'!L772, 'Point Intercept 1'!L772, "ERROR")</f>
        <v>Centaurea melitensis</v>
      </c>
    </row>
    <row r="773">
      <c r="A773" s="9">
        <f>if('Point Intercept 1'!A773 = 'Point Intercept 2'!A773, 'Point Intercept 1'!A773, "ERROR")</f>
        <v>9</v>
      </c>
      <c r="B773" s="9">
        <f>if('Point Intercept 1'!B773 = 'Point Intercept 2'!B773, 'Point Intercept 1'!B773, "ERROR")</f>
        <v>2025</v>
      </c>
      <c r="C773" s="14">
        <f>if('Point Intercept 1'!C773 = 'Point Intercept 2'!C773, 'Point Intercept 1'!C773, "ERROR")</f>
        <v>45764</v>
      </c>
      <c r="D773" s="9" t="str">
        <f>if('Point Intercept 1'!D773 = 'Point Intercept 2'!D773, 'Point Intercept 1'!D773, "ERROR")</f>
        <v>TL, JR, AA</v>
      </c>
      <c r="E773" s="9" t="str">
        <f>if('Point Intercept 1'!E773 = 'Point Intercept 2'!E773, 'Point Intercept 1'!E773, "ERROR")</f>
        <v>CU</v>
      </c>
      <c r="F773" s="9">
        <f>if('Point Intercept 1'!F773 = 'Point Intercept 2'!F773, 'Point Intercept 1'!F773, "ERROR")</f>
        <v>1</v>
      </c>
      <c r="G773" s="9" t="str">
        <f>if('Point Intercept 1'!G773 = 'Point Intercept 2'!G773, 'Point Intercept 1'!G773, "ERROR")</f>
        <v>LS</v>
      </c>
      <c r="H773" s="9">
        <f>if('Point Intercept 1'!I773 = 'Point Intercept 2'!I773, 'Point Intercept 1'!I773, "ERROR")</f>
        <v>6</v>
      </c>
      <c r="I773" s="9">
        <f>if('Point Intercept 1'!H773 = 'Point Intercept 2'!H773, 'Point Intercept 1'!H773, "ERROR")</f>
        <v>1</v>
      </c>
      <c r="J773" s="9">
        <f>if('Point Intercept 1'!J773 = 'Point Intercept 2'!J773, 'Point Intercept 1'!J773, "ERROR")</f>
        <v>2.5</v>
      </c>
      <c r="K773" s="9" t="str">
        <f>if('Point Intercept 1'!K773 = 'Point Intercept 2'!K773, 'Point Intercept 1'!K773, "ERROR")</f>
        <v>L</v>
      </c>
      <c r="L773" s="9" t="str">
        <f>if('Point Intercept 1'!L773 = 'Point Intercept 2'!L773, 'Point Intercept 1'!L773, "ERROR")</f>
        <v>Litter</v>
      </c>
    </row>
    <row r="774">
      <c r="A774" s="9">
        <f>if('Point Intercept 1'!A774 = 'Point Intercept 2'!A774, 'Point Intercept 1'!A774, "ERROR")</f>
        <v>9</v>
      </c>
      <c r="B774" s="9">
        <f>if('Point Intercept 1'!B774 = 'Point Intercept 2'!B774, 'Point Intercept 1'!B774, "ERROR")</f>
        <v>2025</v>
      </c>
      <c r="C774" s="14">
        <f>if('Point Intercept 1'!C774 = 'Point Intercept 2'!C774, 'Point Intercept 1'!C774, "ERROR")</f>
        <v>45764</v>
      </c>
      <c r="D774" s="9" t="str">
        <f>if('Point Intercept 1'!D774 = 'Point Intercept 2'!D774, 'Point Intercept 1'!D774, "ERROR")</f>
        <v>TL, JR, AA</v>
      </c>
      <c r="E774" s="9" t="str">
        <f>if('Point Intercept 1'!E774 = 'Point Intercept 2'!E774, 'Point Intercept 1'!E774, "ERROR")</f>
        <v>CU</v>
      </c>
      <c r="F774" s="9">
        <f>if('Point Intercept 1'!F774 = 'Point Intercept 2'!F774, 'Point Intercept 1'!F774, "ERROR")</f>
        <v>1</v>
      </c>
      <c r="G774" s="9" t="str">
        <f>if('Point Intercept 1'!G774 = 'Point Intercept 2'!G774, 'Point Intercept 1'!G774, "ERROR")</f>
        <v>LS</v>
      </c>
      <c r="H774" s="9">
        <f>if('Point Intercept 1'!I774 = 'Point Intercept 2'!I774, 'Point Intercept 1'!I774, "ERROR")</f>
        <v>6</v>
      </c>
      <c r="I774" s="9">
        <f>if('Point Intercept 1'!H774 = 'Point Intercept 2'!H774, 'Point Intercept 1'!H774, "ERROR")</f>
        <v>1</v>
      </c>
      <c r="J774" s="9">
        <f>if('Point Intercept 1'!J774 = 'Point Intercept 2'!J774, 'Point Intercept 1'!J774, "ERROR")</f>
        <v>2.5</v>
      </c>
      <c r="K774" s="9" t="str">
        <f>if('Point Intercept 1'!K774 = 'Point Intercept 2'!K774, 'Point Intercept 1'!K774, "ERROR")</f>
        <v>AVEFAT</v>
      </c>
      <c r="L774" s="9" t="str">
        <f>if('Point Intercept 1'!L774 = 'Point Intercept 2'!L774, 'Point Intercept 1'!L774, "ERROR")</f>
        <v>Avena fatua</v>
      </c>
    </row>
    <row r="775">
      <c r="A775" s="9">
        <f>if('Point Intercept 1'!A775 = 'Point Intercept 2'!A775, 'Point Intercept 1'!A775, "ERROR")</f>
        <v>9</v>
      </c>
      <c r="B775" s="9">
        <f>if('Point Intercept 1'!B775 = 'Point Intercept 2'!B775, 'Point Intercept 1'!B775, "ERROR")</f>
        <v>2025</v>
      </c>
      <c r="C775" s="14">
        <f>if('Point Intercept 1'!C775 = 'Point Intercept 2'!C775, 'Point Intercept 1'!C775, "ERROR")</f>
        <v>45764</v>
      </c>
      <c r="D775" s="9" t="str">
        <f>if('Point Intercept 1'!D775 = 'Point Intercept 2'!D775, 'Point Intercept 1'!D775, "ERROR")</f>
        <v>TL, JR, AA</v>
      </c>
      <c r="E775" s="9" t="str">
        <f>if('Point Intercept 1'!E775 = 'Point Intercept 2'!E775, 'Point Intercept 1'!E775, "ERROR")</f>
        <v>CU</v>
      </c>
      <c r="F775" s="9">
        <f>if('Point Intercept 1'!F775 = 'Point Intercept 2'!F775, 'Point Intercept 1'!F775, "ERROR")</f>
        <v>1</v>
      </c>
      <c r="G775" s="9" t="str">
        <f>if('Point Intercept 1'!G775 = 'Point Intercept 2'!G775, 'Point Intercept 1'!G775, "ERROR")</f>
        <v>LS</v>
      </c>
      <c r="H775" s="9">
        <f>if('Point Intercept 1'!I775 = 'Point Intercept 2'!I775, 'Point Intercept 1'!I775, "ERROR")</f>
        <v>6</v>
      </c>
      <c r="I775" s="9">
        <f>if('Point Intercept 1'!H775 = 'Point Intercept 2'!H775, 'Point Intercept 1'!H775, "ERROR")</f>
        <v>1</v>
      </c>
      <c r="J775" s="9">
        <f>if('Point Intercept 1'!J775 = 'Point Intercept 2'!J775, 'Point Intercept 1'!J775, "ERROR")</f>
        <v>2.5</v>
      </c>
      <c r="K775" s="9" t="str">
        <f>if('Point Intercept 1'!K775 = 'Point Intercept 2'!K775, 'Point Intercept 1'!K775, "ERROR")</f>
        <v>BROMAD</v>
      </c>
      <c r="L775" s="9" t="str">
        <f>if('Point Intercept 1'!L775 = 'Point Intercept 2'!L775, 'Point Intercept 1'!L775, "ERROR")</f>
        <v>Bromus madritensis</v>
      </c>
    </row>
    <row r="776">
      <c r="A776" s="9">
        <f>if('Point Intercept 1'!A776 = 'Point Intercept 2'!A776, 'Point Intercept 1'!A776, "ERROR")</f>
        <v>9</v>
      </c>
      <c r="B776" s="9">
        <f>if('Point Intercept 1'!B776 = 'Point Intercept 2'!B776, 'Point Intercept 1'!B776, "ERROR")</f>
        <v>2025</v>
      </c>
      <c r="C776" s="14">
        <f>if('Point Intercept 1'!C776 = 'Point Intercept 2'!C776, 'Point Intercept 1'!C776, "ERROR")</f>
        <v>45764</v>
      </c>
      <c r="D776" s="9" t="str">
        <f>if('Point Intercept 1'!D776 = 'Point Intercept 2'!D776, 'Point Intercept 1'!D776, "ERROR")</f>
        <v>TL, JR, AA</v>
      </c>
      <c r="E776" s="9" t="str">
        <f>if('Point Intercept 1'!E776 = 'Point Intercept 2'!E776, 'Point Intercept 1'!E776, "ERROR")</f>
        <v>CU</v>
      </c>
      <c r="F776" s="9">
        <f>if('Point Intercept 1'!F776 = 'Point Intercept 2'!F776, 'Point Intercept 1'!F776, "ERROR")</f>
        <v>1</v>
      </c>
      <c r="G776" s="9" t="str">
        <f>if('Point Intercept 1'!G776 = 'Point Intercept 2'!G776, 'Point Intercept 1'!G776, "ERROR")</f>
        <v>LS</v>
      </c>
      <c r="H776" s="9">
        <f>if('Point Intercept 1'!I776 = 'Point Intercept 2'!I776, 'Point Intercept 1'!I776, "ERROR")</f>
        <v>6</v>
      </c>
      <c r="I776" s="9">
        <f>if('Point Intercept 1'!H776 = 'Point Intercept 2'!H776, 'Point Intercept 1'!H776, "ERROR")</f>
        <v>1</v>
      </c>
      <c r="J776" s="9">
        <f>if('Point Intercept 1'!J776 = 'Point Intercept 2'!J776, 'Point Intercept 1'!J776, "ERROR")</f>
        <v>2.5</v>
      </c>
      <c r="K776" s="9" t="str">
        <f>if('Point Intercept 1'!K776 = 'Point Intercept 2'!K776, 'Point Intercept 1'!K776, "ERROR")</f>
        <v>OPULIT</v>
      </c>
      <c r="L776" s="9" t="str">
        <f>if('Point Intercept 1'!L776 = 'Point Intercept 2'!L776, 'Point Intercept 1'!L776, "ERROR")</f>
        <v>Opuntia littoralis</v>
      </c>
    </row>
    <row r="777">
      <c r="A777" s="9">
        <f>if('Point Intercept 1'!A777 = 'Point Intercept 2'!A777, 'Point Intercept 1'!A777, "ERROR")</f>
        <v>9</v>
      </c>
      <c r="B777" s="9">
        <f>if('Point Intercept 1'!B777 = 'Point Intercept 2'!B777, 'Point Intercept 1'!B777, "ERROR")</f>
        <v>2025</v>
      </c>
      <c r="C777" s="14">
        <f>if('Point Intercept 1'!C777 = 'Point Intercept 2'!C777, 'Point Intercept 1'!C777, "ERROR")</f>
        <v>45764</v>
      </c>
      <c r="D777" s="9" t="str">
        <f>if('Point Intercept 1'!D777 = 'Point Intercept 2'!D777, 'Point Intercept 1'!D777, "ERROR")</f>
        <v>TL, JR, AA</v>
      </c>
      <c r="E777" s="9" t="str">
        <f>if('Point Intercept 1'!E777 = 'Point Intercept 2'!E777, 'Point Intercept 1'!E777, "ERROR")</f>
        <v>CU</v>
      </c>
      <c r="F777" s="9">
        <f>if('Point Intercept 1'!F777 = 'Point Intercept 2'!F777, 'Point Intercept 1'!F777, "ERROR")</f>
        <v>1</v>
      </c>
      <c r="G777" s="9" t="str">
        <f>if('Point Intercept 1'!G777 = 'Point Intercept 2'!G777, 'Point Intercept 1'!G777, "ERROR")</f>
        <v>LS</v>
      </c>
      <c r="H777" s="9">
        <f>if('Point Intercept 1'!I777 = 'Point Intercept 2'!I777, 'Point Intercept 1'!I777, "ERROR")</f>
        <v>7</v>
      </c>
      <c r="I777" s="9">
        <f>if('Point Intercept 1'!H777 = 'Point Intercept 2'!H777, 'Point Intercept 1'!H777, "ERROR")</f>
        <v>1</v>
      </c>
      <c r="J777" s="9">
        <f>if('Point Intercept 1'!J777 = 'Point Intercept 2'!J777, 'Point Intercept 1'!J777, "ERROR")</f>
        <v>3</v>
      </c>
      <c r="K777" s="9" t="str">
        <f>if('Point Intercept 1'!K777 = 'Point Intercept 2'!K777, 'Point Intercept 1'!K777, "ERROR")</f>
        <v>L</v>
      </c>
      <c r="L777" s="9" t="str">
        <f>if('Point Intercept 1'!L777 = 'Point Intercept 2'!L777, 'Point Intercept 1'!L777, "ERROR")</f>
        <v>Litter</v>
      </c>
    </row>
    <row r="778">
      <c r="A778" s="9">
        <f>if('Point Intercept 1'!A778 = 'Point Intercept 2'!A778, 'Point Intercept 1'!A778, "ERROR")</f>
        <v>9</v>
      </c>
      <c r="B778" s="9">
        <f>if('Point Intercept 1'!B778 = 'Point Intercept 2'!B778, 'Point Intercept 1'!B778, "ERROR")</f>
        <v>2025</v>
      </c>
      <c r="C778" s="14">
        <f>if('Point Intercept 1'!C778 = 'Point Intercept 2'!C778, 'Point Intercept 1'!C778, "ERROR")</f>
        <v>45764</v>
      </c>
      <c r="D778" s="9" t="str">
        <f>if('Point Intercept 1'!D778 = 'Point Intercept 2'!D778, 'Point Intercept 1'!D778, "ERROR")</f>
        <v>TL, JR, AA</v>
      </c>
      <c r="E778" s="9" t="str">
        <f>if('Point Intercept 1'!E778 = 'Point Intercept 2'!E778, 'Point Intercept 1'!E778, "ERROR")</f>
        <v>CU</v>
      </c>
      <c r="F778" s="9">
        <f>if('Point Intercept 1'!F778 = 'Point Intercept 2'!F778, 'Point Intercept 1'!F778, "ERROR")</f>
        <v>1</v>
      </c>
      <c r="G778" s="9" t="str">
        <f>if('Point Intercept 1'!G778 = 'Point Intercept 2'!G778, 'Point Intercept 1'!G778, "ERROR")</f>
        <v>LS</v>
      </c>
      <c r="H778" s="9">
        <f>if('Point Intercept 1'!I778 = 'Point Intercept 2'!I778, 'Point Intercept 1'!I778, "ERROR")</f>
        <v>7</v>
      </c>
      <c r="I778" s="9">
        <f>if('Point Intercept 1'!H778 = 'Point Intercept 2'!H778, 'Point Intercept 1'!H778, "ERROR")</f>
        <v>1</v>
      </c>
      <c r="J778" s="9">
        <f>if('Point Intercept 1'!J778 = 'Point Intercept 2'!J778, 'Point Intercept 1'!J778, "ERROR")</f>
        <v>3</v>
      </c>
      <c r="K778" s="9" t="str">
        <f>if('Point Intercept 1'!K778 = 'Point Intercept 2'!K778, 'Point Intercept 1'!K778, "ERROR")</f>
        <v>DEIFAS</v>
      </c>
      <c r="L778" s="9" t="str">
        <f>if('Point Intercept 1'!L778 = 'Point Intercept 2'!L778, 'Point Intercept 1'!L778, "ERROR")</f>
        <v>Deinandra fasciculata</v>
      </c>
    </row>
    <row r="779">
      <c r="A779" s="9">
        <f>if('Point Intercept 1'!A779 = 'Point Intercept 2'!A779, 'Point Intercept 1'!A779, "ERROR")</f>
        <v>9</v>
      </c>
      <c r="B779" s="9">
        <f>if('Point Intercept 1'!B779 = 'Point Intercept 2'!B779, 'Point Intercept 1'!B779, "ERROR")</f>
        <v>2025</v>
      </c>
      <c r="C779" s="14">
        <f>if('Point Intercept 1'!C779 = 'Point Intercept 2'!C779, 'Point Intercept 1'!C779, "ERROR")</f>
        <v>45764</v>
      </c>
      <c r="D779" s="9" t="str">
        <f>if('Point Intercept 1'!D779 = 'Point Intercept 2'!D779, 'Point Intercept 1'!D779, "ERROR")</f>
        <v>TL, JR, AA</v>
      </c>
      <c r="E779" s="9" t="str">
        <f>if('Point Intercept 1'!E779 = 'Point Intercept 2'!E779, 'Point Intercept 1'!E779, "ERROR")</f>
        <v>CU</v>
      </c>
      <c r="F779" s="9">
        <f>if('Point Intercept 1'!F779 = 'Point Intercept 2'!F779, 'Point Intercept 1'!F779, "ERROR")</f>
        <v>1</v>
      </c>
      <c r="G779" s="9" t="str">
        <f>if('Point Intercept 1'!G779 = 'Point Intercept 2'!G779, 'Point Intercept 1'!G779, "ERROR")</f>
        <v>LS</v>
      </c>
      <c r="H779" s="9">
        <f>if('Point Intercept 1'!I779 = 'Point Intercept 2'!I779, 'Point Intercept 1'!I779, "ERROR")</f>
        <v>7</v>
      </c>
      <c r="I779" s="9">
        <f>if('Point Intercept 1'!H779 = 'Point Intercept 2'!H779, 'Point Intercept 1'!H779, "ERROR")</f>
        <v>1</v>
      </c>
      <c r="J779" s="9">
        <f>if('Point Intercept 1'!J779 = 'Point Intercept 2'!J779, 'Point Intercept 1'!J779, "ERROR")</f>
        <v>3</v>
      </c>
      <c r="K779" s="9" t="str">
        <f>if('Point Intercept 1'!K779 = 'Point Intercept 2'!K779, 'Point Intercept 1'!K779, "ERROR")</f>
        <v>FESMYU</v>
      </c>
      <c r="L779" s="9" t="str">
        <f>if('Point Intercept 1'!L779 = 'Point Intercept 2'!L779, 'Point Intercept 1'!L779, "ERROR")</f>
        <v>Festuca myuros</v>
      </c>
    </row>
    <row r="780">
      <c r="A780" s="9">
        <f>if('Point Intercept 1'!A780 = 'Point Intercept 2'!A780, 'Point Intercept 1'!A780, "ERROR")</f>
        <v>9</v>
      </c>
      <c r="B780" s="9">
        <f>if('Point Intercept 1'!B780 = 'Point Intercept 2'!B780, 'Point Intercept 1'!B780, "ERROR")</f>
        <v>2025</v>
      </c>
      <c r="C780" s="14">
        <f>if('Point Intercept 1'!C780 = 'Point Intercept 2'!C780, 'Point Intercept 1'!C780, "ERROR")</f>
        <v>45764</v>
      </c>
      <c r="D780" s="9" t="str">
        <f>if('Point Intercept 1'!D780 = 'Point Intercept 2'!D780, 'Point Intercept 1'!D780, "ERROR")</f>
        <v>TL, JR, AA</v>
      </c>
      <c r="E780" s="9" t="str">
        <f>if('Point Intercept 1'!E780 = 'Point Intercept 2'!E780, 'Point Intercept 1'!E780, "ERROR")</f>
        <v>CU</v>
      </c>
      <c r="F780" s="9">
        <f>if('Point Intercept 1'!F780 = 'Point Intercept 2'!F780, 'Point Intercept 1'!F780, "ERROR")</f>
        <v>1</v>
      </c>
      <c r="G780" s="9" t="str">
        <f>if('Point Intercept 1'!G780 = 'Point Intercept 2'!G780, 'Point Intercept 1'!G780, "ERROR")</f>
        <v>LS</v>
      </c>
      <c r="H780" s="9">
        <f>if('Point Intercept 1'!I780 = 'Point Intercept 2'!I780, 'Point Intercept 1'!I780, "ERROR")</f>
        <v>8</v>
      </c>
      <c r="I780" s="9">
        <f>if('Point Intercept 1'!H780 = 'Point Intercept 2'!H780, 'Point Intercept 1'!H780, "ERROR")</f>
        <v>1</v>
      </c>
      <c r="J780" s="9">
        <f>if('Point Intercept 1'!J780 = 'Point Intercept 2'!J780, 'Point Intercept 1'!J780, "ERROR")</f>
        <v>3.5</v>
      </c>
      <c r="K780" s="9" t="str">
        <f>if('Point Intercept 1'!K780 = 'Point Intercept 2'!K780, 'Point Intercept 1'!K780, "ERROR")</f>
        <v>L</v>
      </c>
      <c r="L780" s="9" t="str">
        <f>if('Point Intercept 1'!L780 = 'Point Intercept 2'!L780, 'Point Intercept 1'!L780, "ERROR")</f>
        <v>Litter</v>
      </c>
    </row>
    <row r="781">
      <c r="A781" s="9">
        <f>if('Point Intercept 1'!A781 = 'Point Intercept 2'!A781, 'Point Intercept 1'!A781, "ERROR")</f>
        <v>9</v>
      </c>
      <c r="B781" s="9">
        <f>if('Point Intercept 1'!B781 = 'Point Intercept 2'!B781, 'Point Intercept 1'!B781, "ERROR")</f>
        <v>2025</v>
      </c>
      <c r="C781" s="14">
        <f>if('Point Intercept 1'!C781 = 'Point Intercept 2'!C781, 'Point Intercept 1'!C781, "ERROR")</f>
        <v>45764</v>
      </c>
      <c r="D781" s="9" t="str">
        <f>if('Point Intercept 1'!D781 = 'Point Intercept 2'!D781, 'Point Intercept 1'!D781, "ERROR")</f>
        <v>TL, JR, AA</v>
      </c>
      <c r="E781" s="9" t="str">
        <f>if('Point Intercept 1'!E781 = 'Point Intercept 2'!E781, 'Point Intercept 1'!E781, "ERROR")</f>
        <v>CU</v>
      </c>
      <c r="F781" s="9">
        <f>if('Point Intercept 1'!F781 = 'Point Intercept 2'!F781, 'Point Intercept 1'!F781, "ERROR")</f>
        <v>1</v>
      </c>
      <c r="G781" s="9" t="str">
        <f>if('Point Intercept 1'!G781 = 'Point Intercept 2'!G781, 'Point Intercept 1'!G781, "ERROR")</f>
        <v>LS</v>
      </c>
      <c r="H781" s="9">
        <f>if('Point Intercept 1'!I781 = 'Point Intercept 2'!I781, 'Point Intercept 1'!I781, "ERROR")</f>
        <v>8</v>
      </c>
      <c r="I781" s="9">
        <f>if('Point Intercept 1'!H781 = 'Point Intercept 2'!H781, 'Point Intercept 1'!H781, "ERROR")</f>
        <v>1</v>
      </c>
      <c r="J781" s="9">
        <f>if('Point Intercept 1'!J781 = 'Point Intercept 2'!J781, 'Point Intercept 1'!J781, "ERROR")</f>
        <v>3.5</v>
      </c>
      <c r="K781" s="9" t="str">
        <f>if('Point Intercept 1'!K781 = 'Point Intercept 2'!K781, 'Point Intercept 1'!K781, "ERROR")</f>
        <v>DEIFAS</v>
      </c>
      <c r="L781" s="9" t="str">
        <f>if('Point Intercept 1'!L781 = 'Point Intercept 2'!L781, 'Point Intercept 1'!L781, "ERROR")</f>
        <v>Deinandra fasciculata</v>
      </c>
    </row>
    <row r="782">
      <c r="A782" s="9">
        <f>if('Point Intercept 1'!A782 = 'Point Intercept 2'!A782, 'Point Intercept 1'!A782, "ERROR")</f>
        <v>9</v>
      </c>
      <c r="B782" s="9">
        <f>if('Point Intercept 1'!B782 = 'Point Intercept 2'!B782, 'Point Intercept 1'!B782, "ERROR")</f>
        <v>2025</v>
      </c>
      <c r="C782" s="14">
        <f>if('Point Intercept 1'!C782 = 'Point Intercept 2'!C782, 'Point Intercept 1'!C782, "ERROR")</f>
        <v>45764</v>
      </c>
      <c r="D782" s="9" t="str">
        <f>if('Point Intercept 1'!D782 = 'Point Intercept 2'!D782, 'Point Intercept 1'!D782, "ERROR")</f>
        <v>TL, JR, AA</v>
      </c>
      <c r="E782" s="9" t="str">
        <f>if('Point Intercept 1'!E782 = 'Point Intercept 2'!E782, 'Point Intercept 1'!E782, "ERROR")</f>
        <v>CU</v>
      </c>
      <c r="F782" s="9">
        <f>if('Point Intercept 1'!F782 = 'Point Intercept 2'!F782, 'Point Intercept 1'!F782, "ERROR")</f>
        <v>1</v>
      </c>
      <c r="G782" s="9" t="str">
        <f>if('Point Intercept 1'!G782 = 'Point Intercept 2'!G782, 'Point Intercept 1'!G782, "ERROR")</f>
        <v>LS</v>
      </c>
      <c r="H782" s="9">
        <f>if('Point Intercept 1'!I782 = 'Point Intercept 2'!I782, 'Point Intercept 1'!I782, "ERROR")</f>
        <v>8</v>
      </c>
      <c r="I782" s="9">
        <f>if('Point Intercept 1'!H782 = 'Point Intercept 2'!H782, 'Point Intercept 1'!H782, "ERROR")</f>
        <v>1</v>
      </c>
      <c r="J782" s="9">
        <f>if('Point Intercept 1'!J782 = 'Point Intercept 2'!J782, 'Point Intercept 1'!J782, "ERROR")</f>
        <v>3.5</v>
      </c>
      <c r="K782" s="9" t="str">
        <f>if('Point Intercept 1'!K782 = 'Point Intercept 2'!K782, 'Point Intercept 1'!K782, "ERROR")</f>
        <v>SONOLE</v>
      </c>
      <c r="L782" s="9" t="str">
        <f>if('Point Intercept 1'!L782 = 'Point Intercept 2'!L782, 'Point Intercept 1'!L782, "ERROR")</f>
        <v>Sonchus oleraceus</v>
      </c>
    </row>
    <row r="783">
      <c r="A783" s="9">
        <f>if('Point Intercept 1'!A783 = 'Point Intercept 2'!A783, 'Point Intercept 1'!A783, "ERROR")</f>
        <v>9</v>
      </c>
      <c r="B783" s="9">
        <f>if('Point Intercept 1'!B783 = 'Point Intercept 2'!B783, 'Point Intercept 1'!B783, "ERROR")</f>
        <v>2025</v>
      </c>
      <c r="C783" s="14">
        <f>if('Point Intercept 1'!C783 = 'Point Intercept 2'!C783, 'Point Intercept 1'!C783, "ERROR")</f>
        <v>45764</v>
      </c>
      <c r="D783" s="9" t="str">
        <f>if('Point Intercept 1'!D783 = 'Point Intercept 2'!D783, 'Point Intercept 1'!D783, "ERROR")</f>
        <v>TL, JR, AA</v>
      </c>
      <c r="E783" s="9" t="str">
        <f>if('Point Intercept 1'!E783 = 'Point Intercept 2'!E783, 'Point Intercept 1'!E783, "ERROR")</f>
        <v>CU</v>
      </c>
      <c r="F783" s="9">
        <f>if('Point Intercept 1'!F783 = 'Point Intercept 2'!F783, 'Point Intercept 1'!F783, "ERROR")</f>
        <v>1</v>
      </c>
      <c r="G783" s="9" t="str">
        <f>if('Point Intercept 1'!G783 = 'Point Intercept 2'!G783, 'Point Intercept 1'!G783, "ERROR")</f>
        <v>LS</v>
      </c>
      <c r="H783" s="9">
        <f>if('Point Intercept 1'!I783 = 'Point Intercept 2'!I783, 'Point Intercept 1'!I783, "ERROR")</f>
        <v>9</v>
      </c>
      <c r="I783" s="9">
        <f>if('Point Intercept 1'!H783 = 'Point Intercept 2'!H783, 'Point Intercept 1'!H783, "ERROR")</f>
        <v>1</v>
      </c>
      <c r="J783" s="9">
        <f>if('Point Intercept 1'!J783 = 'Point Intercept 2'!J783, 'Point Intercept 1'!J783, "ERROR")</f>
        <v>4</v>
      </c>
      <c r="K783" s="9" t="str">
        <f>if('Point Intercept 1'!K783 = 'Point Intercept 2'!K783, 'Point Intercept 1'!K783, "ERROR")</f>
        <v>L</v>
      </c>
      <c r="L783" s="9" t="str">
        <f>if('Point Intercept 1'!L783 = 'Point Intercept 2'!L783, 'Point Intercept 1'!L783, "ERROR")</f>
        <v>Litter</v>
      </c>
    </row>
    <row r="784">
      <c r="A784" s="9">
        <f>if('Point Intercept 1'!A784 = 'Point Intercept 2'!A784, 'Point Intercept 1'!A784, "ERROR")</f>
        <v>9</v>
      </c>
      <c r="B784" s="9">
        <f>if('Point Intercept 1'!B784 = 'Point Intercept 2'!B784, 'Point Intercept 1'!B784, "ERROR")</f>
        <v>2025</v>
      </c>
      <c r="C784" s="14">
        <f>if('Point Intercept 1'!C784 = 'Point Intercept 2'!C784, 'Point Intercept 1'!C784, "ERROR")</f>
        <v>45764</v>
      </c>
      <c r="D784" s="9" t="str">
        <f>if('Point Intercept 1'!D784 = 'Point Intercept 2'!D784, 'Point Intercept 1'!D784, "ERROR")</f>
        <v>TL, JR, AA</v>
      </c>
      <c r="E784" s="9" t="str">
        <f>if('Point Intercept 1'!E784 = 'Point Intercept 2'!E784, 'Point Intercept 1'!E784, "ERROR")</f>
        <v>CU</v>
      </c>
      <c r="F784" s="9">
        <f>if('Point Intercept 1'!F784 = 'Point Intercept 2'!F784, 'Point Intercept 1'!F784, "ERROR")</f>
        <v>1</v>
      </c>
      <c r="G784" s="9" t="str">
        <f>if('Point Intercept 1'!G784 = 'Point Intercept 2'!G784, 'Point Intercept 1'!G784, "ERROR")</f>
        <v>LS</v>
      </c>
      <c r="H784" s="9">
        <f>if('Point Intercept 1'!I784 = 'Point Intercept 2'!I784, 'Point Intercept 1'!I784, "ERROR")</f>
        <v>9</v>
      </c>
      <c r="I784" s="9">
        <f>if('Point Intercept 1'!H784 = 'Point Intercept 2'!H784, 'Point Intercept 1'!H784, "ERROR")</f>
        <v>1</v>
      </c>
      <c r="J784" s="9">
        <f>if('Point Intercept 1'!J784 = 'Point Intercept 2'!J784, 'Point Intercept 1'!J784, "ERROR")</f>
        <v>4</v>
      </c>
      <c r="K784" s="9" t="str">
        <f>if('Point Intercept 1'!K784 = 'Point Intercept 2'!K784, 'Point Intercept 1'!K784, "ERROR")</f>
        <v>BROMAD</v>
      </c>
      <c r="L784" s="9" t="str">
        <f>if('Point Intercept 1'!L784 = 'Point Intercept 2'!L784, 'Point Intercept 1'!L784, "ERROR")</f>
        <v>Bromus madritensis</v>
      </c>
    </row>
    <row r="785">
      <c r="A785" s="9">
        <f>if('Point Intercept 1'!A785 = 'Point Intercept 2'!A785, 'Point Intercept 1'!A785, "ERROR")</f>
        <v>9</v>
      </c>
      <c r="B785" s="9">
        <f>if('Point Intercept 1'!B785 = 'Point Intercept 2'!B785, 'Point Intercept 1'!B785, "ERROR")</f>
        <v>2025</v>
      </c>
      <c r="C785" s="14">
        <f>if('Point Intercept 1'!C785 = 'Point Intercept 2'!C785, 'Point Intercept 1'!C785, "ERROR")</f>
        <v>45764</v>
      </c>
      <c r="D785" s="9" t="str">
        <f>if('Point Intercept 1'!D785 = 'Point Intercept 2'!D785, 'Point Intercept 1'!D785, "ERROR")</f>
        <v>TL, JR, AA</v>
      </c>
      <c r="E785" s="9" t="str">
        <f>if('Point Intercept 1'!E785 = 'Point Intercept 2'!E785, 'Point Intercept 1'!E785, "ERROR")</f>
        <v>CU</v>
      </c>
      <c r="F785" s="9">
        <f>if('Point Intercept 1'!F785 = 'Point Intercept 2'!F785, 'Point Intercept 1'!F785, "ERROR")</f>
        <v>1</v>
      </c>
      <c r="G785" s="9" t="str">
        <f>if('Point Intercept 1'!G785 = 'Point Intercept 2'!G785, 'Point Intercept 1'!G785, "ERROR")</f>
        <v>LS</v>
      </c>
      <c r="H785" s="9">
        <f>if('Point Intercept 1'!I785 = 'Point Intercept 2'!I785, 'Point Intercept 1'!I785, "ERROR")</f>
        <v>9</v>
      </c>
      <c r="I785" s="9">
        <f>if('Point Intercept 1'!H785 = 'Point Intercept 2'!H785, 'Point Intercept 1'!H785, "ERROR")</f>
        <v>1</v>
      </c>
      <c r="J785" s="9">
        <f>if('Point Intercept 1'!J785 = 'Point Intercept 2'!J785, 'Point Intercept 1'!J785, "ERROR")</f>
        <v>4</v>
      </c>
      <c r="K785" s="9" t="str">
        <f>if('Point Intercept 1'!K785 = 'Point Intercept 2'!K785, 'Point Intercept 1'!K785, "ERROR")</f>
        <v>DEIFAS</v>
      </c>
      <c r="L785" s="9" t="str">
        <f>if('Point Intercept 1'!L785 = 'Point Intercept 2'!L785, 'Point Intercept 1'!L785, "ERROR")</f>
        <v>Deinandra fasciculata</v>
      </c>
    </row>
    <row r="786">
      <c r="A786" s="9">
        <f>if('Point Intercept 1'!A786 = 'Point Intercept 2'!A786, 'Point Intercept 1'!A786, "ERROR")</f>
        <v>9</v>
      </c>
      <c r="B786" s="9">
        <f>if('Point Intercept 1'!B786 = 'Point Intercept 2'!B786, 'Point Intercept 1'!B786, "ERROR")</f>
        <v>2025</v>
      </c>
      <c r="C786" s="14">
        <f>if('Point Intercept 1'!C786 = 'Point Intercept 2'!C786, 'Point Intercept 1'!C786, "ERROR")</f>
        <v>45764</v>
      </c>
      <c r="D786" s="9" t="str">
        <f>if('Point Intercept 1'!D786 = 'Point Intercept 2'!D786, 'Point Intercept 1'!D786, "ERROR")</f>
        <v>TL, JR, AA</v>
      </c>
      <c r="E786" s="9" t="str">
        <f>if('Point Intercept 1'!E786 = 'Point Intercept 2'!E786, 'Point Intercept 1'!E786, "ERROR")</f>
        <v>CU</v>
      </c>
      <c r="F786" s="9">
        <f>if('Point Intercept 1'!F786 = 'Point Intercept 2'!F786, 'Point Intercept 1'!F786, "ERROR")</f>
        <v>1</v>
      </c>
      <c r="G786" s="9" t="str">
        <f>if('Point Intercept 1'!G786 = 'Point Intercept 2'!G786, 'Point Intercept 1'!G786, "ERROR")</f>
        <v>LS</v>
      </c>
      <c r="H786" s="9">
        <f>if('Point Intercept 1'!I786 = 'Point Intercept 2'!I786, 'Point Intercept 1'!I786, "ERROR")</f>
        <v>9</v>
      </c>
      <c r="I786" s="9">
        <f>if('Point Intercept 1'!H786 = 'Point Intercept 2'!H786, 'Point Intercept 1'!H786, "ERROR")</f>
        <v>1</v>
      </c>
      <c r="J786" s="9">
        <f>if('Point Intercept 1'!J786 = 'Point Intercept 2'!J786, 'Point Intercept 1'!J786, "ERROR")</f>
        <v>4</v>
      </c>
      <c r="K786" s="9" t="str">
        <f>if('Point Intercept 1'!K786 = 'Point Intercept 2'!K786, 'Point Intercept 1'!K786, "ERROR")</f>
        <v>UROLIN</v>
      </c>
      <c r="L786" s="9" t="str">
        <f>if('Point Intercept 1'!L786 = 'Point Intercept 2'!L786, 'Point Intercept 1'!L786, "ERROR")</f>
        <v>Uropappus lindleyi</v>
      </c>
    </row>
    <row r="787">
      <c r="A787" s="9">
        <f>if('Point Intercept 1'!A787 = 'Point Intercept 2'!A787, 'Point Intercept 1'!A787, "ERROR")</f>
        <v>9</v>
      </c>
      <c r="B787" s="9">
        <f>if('Point Intercept 1'!B787 = 'Point Intercept 2'!B787, 'Point Intercept 1'!B787, "ERROR")</f>
        <v>2025</v>
      </c>
      <c r="C787" s="14">
        <f>if('Point Intercept 1'!C787 = 'Point Intercept 2'!C787, 'Point Intercept 1'!C787, "ERROR")</f>
        <v>45764</v>
      </c>
      <c r="D787" s="9" t="str">
        <f>if('Point Intercept 1'!D787 = 'Point Intercept 2'!D787, 'Point Intercept 1'!D787, "ERROR")</f>
        <v>TL, JR, AA</v>
      </c>
      <c r="E787" s="9" t="str">
        <f>if('Point Intercept 1'!E787 = 'Point Intercept 2'!E787, 'Point Intercept 1'!E787, "ERROR")</f>
        <v>CU</v>
      </c>
      <c r="F787" s="9">
        <f>if('Point Intercept 1'!F787 = 'Point Intercept 2'!F787, 'Point Intercept 1'!F787, "ERROR")</f>
        <v>1</v>
      </c>
      <c r="G787" s="9" t="str">
        <f>if('Point Intercept 1'!G787 = 'Point Intercept 2'!G787, 'Point Intercept 1'!G787, "ERROR")</f>
        <v>LS</v>
      </c>
      <c r="H787" s="9">
        <f>if('Point Intercept 1'!I787 = 'Point Intercept 2'!I787, 'Point Intercept 1'!I787, "ERROR")</f>
        <v>10</v>
      </c>
      <c r="I787" s="9">
        <f>if('Point Intercept 1'!H787 = 'Point Intercept 2'!H787, 'Point Intercept 1'!H787, "ERROR")</f>
        <v>1</v>
      </c>
      <c r="J787" s="9">
        <f>if('Point Intercept 1'!J787 = 'Point Intercept 2'!J787, 'Point Intercept 1'!J787, "ERROR")</f>
        <v>4.5</v>
      </c>
      <c r="K787" s="9" t="str">
        <f>if('Point Intercept 1'!K787 = 'Point Intercept 2'!K787, 'Point Intercept 1'!K787, "ERROR")</f>
        <v>L</v>
      </c>
      <c r="L787" s="9" t="str">
        <f>if('Point Intercept 1'!L787 = 'Point Intercept 2'!L787, 'Point Intercept 1'!L787, "ERROR")</f>
        <v>Litter</v>
      </c>
    </row>
    <row r="788">
      <c r="A788" s="9">
        <f>if('Point Intercept 1'!A788 = 'Point Intercept 2'!A788, 'Point Intercept 1'!A788, "ERROR")</f>
        <v>9</v>
      </c>
      <c r="B788" s="9">
        <f>if('Point Intercept 1'!B788 = 'Point Intercept 2'!B788, 'Point Intercept 1'!B788, "ERROR")</f>
        <v>2025</v>
      </c>
      <c r="C788" s="14">
        <f>if('Point Intercept 1'!C788 = 'Point Intercept 2'!C788, 'Point Intercept 1'!C788, "ERROR")</f>
        <v>45764</v>
      </c>
      <c r="D788" s="9" t="str">
        <f>if('Point Intercept 1'!D788 = 'Point Intercept 2'!D788, 'Point Intercept 1'!D788, "ERROR")</f>
        <v>TL, JR, AA</v>
      </c>
      <c r="E788" s="9" t="str">
        <f>if('Point Intercept 1'!E788 = 'Point Intercept 2'!E788, 'Point Intercept 1'!E788, "ERROR")</f>
        <v>CU</v>
      </c>
      <c r="F788" s="9">
        <f>if('Point Intercept 1'!F788 = 'Point Intercept 2'!F788, 'Point Intercept 1'!F788, "ERROR")</f>
        <v>1</v>
      </c>
      <c r="G788" s="9" t="str">
        <f>if('Point Intercept 1'!G788 = 'Point Intercept 2'!G788, 'Point Intercept 1'!G788, "ERROR")</f>
        <v>LS</v>
      </c>
      <c r="H788" s="9">
        <f>if('Point Intercept 1'!I788 = 'Point Intercept 2'!I788, 'Point Intercept 1'!I788, "ERROR")</f>
        <v>10</v>
      </c>
      <c r="I788" s="9">
        <f>if('Point Intercept 1'!H788 = 'Point Intercept 2'!H788, 'Point Intercept 1'!H788, "ERROR")</f>
        <v>1</v>
      </c>
      <c r="J788" s="9">
        <f>if('Point Intercept 1'!J788 = 'Point Intercept 2'!J788, 'Point Intercept 1'!J788, "ERROR")</f>
        <v>4.5</v>
      </c>
      <c r="K788" s="9" t="str">
        <f>if('Point Intercept 1'!K788 = 'Point Intercept 2'!K788, 'Point Intercept 1'!K788, "ERROR")</f>
        <v>SONASP</v>
      </c>
      <c r="L788" s="9" t="str">
        <f>if('Point Intercept 1'!L788 = 'Point Intercept 2'!L788, 'Point Intercept 1'!L788, "ERROR")</f>
        <v>Sonchus asper</v>
      </c>
    </row>
    <row r="789">
      <c r="A789" s="9">
        <f>if('Point Intercept 1'!A789 = 'Point Intercept 2'!A789, 'Point Intercept 1'!A789, "ERROR")</f>
        <v>9</v>
      </c>
      <c r="B789" s="9">
        <f>if('Point Intercept 1'!B789 = 'Point Intercept 2'!B789, 'Point Intercept 1'!B789, "ERROR")</f>
        <v>2025</v>
      </c>
      <c r="C789" s="14">
        <f>if('Point Intercept 1'!C789 = 'Point Intercept 2'!C789, 'Point Intercept 1'!C789, "ERROR")</f>
        <v>45764</v>
      </c>
      <c r="D789" s="9" t="str">
        <f>if('Point Intercept 1'!D789 = 'Point Intercept 2'!D789, 'Point Intercept 1'!D789, "ERROR")</f>
        <v>TL, JR, AA</v>
      </c>
      <c r="E789" s="9" t="str">
        <f>if('Point Intercept 1'!E789 = 'Point Intercept 2'!E789, 'Point Intercept 1'!E789, "ERROR")</f>
        <v>CU</v>
      </c>
      <c r="F789" s="9">
        <f>if('Point Intercept 1'!F789 = 'Point Intercept 2'!F789, 'Point Intercept 1'!F789, "ERROR")</f>
        <v>1</v>
      </c>
      <c r="G789" s="9" t="str">
        <f>if('Point Intercept 1'!G789 = 'Point Intercept 2'!G789, 'Point Intercept 1'!G789, "ERROR")</f>
        <v>LS</v>
      </c>
      <c r="H789" s="9">
        <f>if('Point Intercept 1'!I789 = 'Point Intercept 2'!I789, 'Point Intercept 1'!I789, "ERROR")</f>
        <v>10</v>
      </c>
      <c r="I789" s="9">
        <f>if('Point Intercept 1'!H789 = 'Point Intercept 2'!H789, 'Point Intercept 1'!H789, "ERROR")</f>
        <v>1</v>
      </c>
      <c r="J789" s="9">
        <f>if('Point Intercept 1'!J789 = 'Point Intercept 2'!J789, 'Point Intercept 1'!J789, "ERROR")</f>
        <v>4.5</v>
      </c>
      <c r="K789" s="9" t="str">
        <f>if('Point Intercept 1'!K789 = 'Point Intercept 2'!K789, 'Point Intercept 1'!K789, "ERROR")</f>
        <v>SONOLE</v>
      </c>
      <c r="L789" s="9" t="str">
        <f>if('Point Intercept 1'!L789 = 'Point Intercept 2'!L789, 'Point Intercept 1'!L789, "ERROR")</f>
        <v>Sonchus oleraceus</v>
      </c>
    </row>
    <row r="790">
      <c r="A790" s="9">
        <f>if('Point Intercept 1'!A790 = 'Point Intercept 2'!A790, 'Point Intercept 1'!A790, "ERROR")</f>
        <v>9</v>
      </c>
      <c r="B790" s="9">
        <f>if('Point Intercept 1'!B790 = 'Point Intercept 2'!B790, 'Point Intercept 1'!B790, "ERROR")</f>
        <v>2025</v>
      </c>
      <c r="C790" s="14">
        <f>if('Point Intercept 1'!C790 = 'Point Intercept 2'!C790, 'Point Intercept 1'!C790, "ERROR")</f>
        <v>45764</v>
      </c>
      <c r="D790" s="9" t="str">
        <f>if('Point Intercept 1'!D790 = 'Point Intercept 2'!D790, 'Point Intercept 1'!D790, "ERROR")</f>
        <v>TL, JR, AA</v>
      </c>
      <c r="E790" s="9" t="str">
        <f>if('Point Intercept 1'!E790 = 'Point Intercept 2'!E790, 'Point Intercept 1'!E790, "ERROR")</f>
        <v>CU</v>
      </c>
      <c r="F790" s="9">
        <f>if('Point Intercept 1'!F790 = 'Point Intercept 2'!F790, 'Point Intercept 1'!F790, "ERROR")</f>
        <v>1</v>
      </c>
      <c r="G790" s="9" t="str">
        <f>if('Point Intercept 1'!G790 = 'Point Intercept 2'!G790, 'Point Intercept 1'!G790, "ERROR")</f>
        <v>LS</v>
      </c>
      <c r="H790" s="9">
        <f>if('Point Intercept 1'!I790 = 'Point Intercept 2'!I790, 'Point Intercept 1'!I790, "ERROR")</f>
        <v>10</v>
      </c>
      <c r="I790" s="9">
        <f>if('Point Intercept 1'!H790 = 'Point Intercept 2'!H790, 'Point Intercept 1'!H790, "ERROR")</f>
        <v>1</v>
      </c>
      <c r="J790" s="9">
        <f>if('Point Intercept 1'!J790 = 'Point Intercept 2'!J790, 'Point Intercept 1'!J790, "ERROR")</f>
        <v>4.5</v>
      </c>
      <c r="K790" s="9" t="str">
        <f>if('Point Intercept 1'!K790 = 'Point Intercept 2'!K790, 'Point Intercept 1'!K790, "ERROR")</f>
        <v>BROMAD</v>
      </c>
      <c r="L790" s="9" t="str">
        <f>if('Point Intercept 1'!L790 = 'Point Intercept 2'!L790, 'Point Intercept 1'!L790, "ERROR")</f>
        <v>Bromus madritensis</v>
      </c>
    </row>
    <row r="791">
      <c r="A791" s="9">
        <f>if('Point Intercept 1'!A791 = 'Point Intercept 2'!A791, 'Point Intercept 1'!A791, "ERROR")</f>
        <v>9</v>
      </c>
      <c r="B791" s="9">
        <f>if('Point Intercept 1'!B791 = 'Point Intercept 2'!B791, 'Point Intercept 1'!B791, "ERROR")</f>
        <v>2025</v>
      </c>
      <c r="C791" s="14">
        <f>if('Point Intercept 1'!C791 = 'Point Intercept 2'!C791, 'Point Intercept 1'!C791, "ERROR")</f>
        <v>45764</v>
      </c>
      <c r="D791" s="9" t="str">
        <f>if('Point Intercept 1'!D791 = 'Point Intercept 2'!D791, 'Point Intercept 1'!D791, "ERROR")</f>
        <v>TL, JR, AA</v>
      </c>
      <c r="E791" s="9" t="str">
        <f>if('Point Intercept 1'!E791 = 'Point Intercept 2'!E791, 'Point Intercept 1'!E791, "ERROR")</f>
        <v>CU</v>
      </c>
      <c r="F791" s="9">
        <f>if('Point Intercept 1'!F791 = 'Point Intercept 2'!F791, 'Point Intercept 1'!F791, "ERROR")</f>
        <v>1</v>
      </c>
      <c r="G791" s="9" t="str">
        <f>if('Point Intercept 1'!G791 = 'Point Intercept 2'!G791, 'Point Intercept 1'!G791, "ERROR")</f>
        <v>LS</v>
      </c>
      <c r="H791" s="9">
        <f>if('Point Intercept 1'!I791 = 'Point Intercept 2'!I791, 'Point Intercept 1'!I791, "ERROR")</f>
        <v>10</v>
      </c>
      <c r="I791" s="9">
        <f>if('Point Intercept 1'!H791 = 'Point Intercept 2'!H791, 'Point Intercept 1'!H791, "ERROR")</f>
        <v>1</v>
      </c>
      <c r="J791" s="9">
        <f>if('Point Intercept 1'!J791 = 'Point Intercept 2'!J791, 'Point Intercept 1'!J791, "ERROR")</f>
        <v>4.5</v>
      </c>
      <c r="K791" s="9" t="str">
        <f>if('Point Intercept 1'!K791 = 'Point Intercept 2'!K791, 'Point Intercept 1'!K791, "ERROR")</f>
        <v>FESMYU</v>
      </c>
      <c r="L791" s="9" t="str">
        <f>if('Point Intercept 1'!L791 = 'Point Intercept 2'!L791, 'Point Intercept 1'!L791, "ERROR")</f>
        <v>Festuca myuros</v>
      </c>
    </row>
    <row r="792">
      <c r="A792" s="9">
        <f>if('Point Intercept 1'!A792 = 'Point Intercept 2'!A792, 'Point Intercept 1'!A792, "ERROR")</f>
        <v>9</v>
      </c>
      <c r="B792" s="9">
        <f>if('Point Intercept 1'!B792 = 'Point Intercept 2'!B792, 'Point Intercept 1'!B792, "ERROR")</f>
        <v>2025</v>
      </c>
      <c r="C792" s="14">
        <f>if('Point Intercept 1'!C792 = 'Point Intercept 2'!C792, 'Point Intercept 1'!C792, "ERROR")</f>
        <v>45764</v>
      </c>
      <c r="D792" s="9" t="str">
        <f>if('Point Intercept 1'!D792 = 'Point Intercept 2'!D792, 'Point Intercept 1'!D792, "ERROR")</f>
        <v>TL, JR, AA</v>
      </c>
      <c r="E792" s="9" t="str">
        <f>if('Point Intercept 1'!E792 = 'Point Intercept 2'!E792, 'Point Intercept 1'!E792, "ERROR")</f>
        <v>CU</v>
      </c>
      <c r="F792" s="9">
        <f>if('Point Intercept 1'!F792 = 'Point Intercept 2'!F792, 'Point Intercept 1'!F792, "ERROR")</f>
        <v>1</v>
      </c>
      <c r="G792" s="9" t="str">
        <f>if('Point Intercept 1'!G792 = 'Point Intercept 2'!G792, 'Point Intercept 1'!G792, "ERROR")</f>
        <v>LS</v>
      </c>
      <c r="H792" s="9">
        <f>if('Point Intercept 1'!I792 = 'Point Intercept 2'!I792, 'Point Intercept 1'!I792, "ERROR")</f>
        <v>11</v>
      </c>
      <c r="I792" s="9">
        <f>if('Point Intercept 1'!H792 = 'Point Intercept 2'!H792, 'Point Intercept 1'!H792, "ERROR")</f>
        <v>1</v>
      </c>
      <c r="J792" s="9">
        <f>if('Point Intercept 1'!J792 = 'Point Intercept 2'!J792, 'Point Intercept 1'!J792, "ERROR")</f>
        <v>5</v>
      </c>
      <c r="K792" s="9" t="str">
        <f>if('Point Intercept 1'!K792 = 'Point Intercept 2'!K792, 'Point Intercept 1'!K792, "ERROR")</f>
        <v>L</v>
      </c>
      <c r="L792" s="9" t="str">
        <f>if('Point Intercept 1'!L792 = 'Point Intercept 2'!L792, 'Point Intercept 1'!L792, "ERROR")</f>
        <v>Litter</v>
      </c>
    </row>
    <row r="793">
      <c r="A793" s="9">
        <f>if('Point Intercept 1'!A793 = 'Point Intercept 2'!A793, 'Point Intercept 1'!A793, "ERROR")</f>
        <v>9</v>
      </c>
      <c r="B793" s="9">
        <f>if('Point Intercept 1'!B793 = 'Point Intercept 2'!B793, 'Point Intercept 1'!B793, "ERROR")</f>
        <v>2025</v>
      </c>
      <c r="C793" s="14">
        <f>if('Point Intercept 1'!C793 = 'Point Intercept 2'!C793, 'Point Intercept 1'!C793, "ERROR")</f>
        <v>45764</v>
      </c>
      <c r="D793" s="9" t="str">
        <f>if('Point Intercept 1'!D793 = 'Point Intercept 2'!D793, 'Point Intercept 1'!D793, "ERROR")</f>
        <v>TL, JR, AA</v>
      </c>
      <c r="E793" s="9" t="str">
        <f>if('Point Intercept 1'!E793 = 'Point Intercept 2'!E793, 'Point Intercept 1'!E793, "ERROR")</f>
        <v>CU</v>
      </c>
      <c r="F793" s="9">
        <f>if('Point Intercept 1'!F793 = 'Point Intercept 2'!F793, 'Point Intercept 1'!F793, "ERROR")</f>
        <v>1</v>
      </c>
      <c r="G793" s="9" t="str">
        <f>if('Point Intercept 1'!G793 = 'Point Intercept 2'!G793, 'Point Intercept 1'!G793, "ERROR")</f>
        <v>LS</v>
      </c>
      <c r="H793" s="9">
        <f>if('Point Intercept 1'!I793 = 'Point Intercept 2'!I793, 'Point Intercept 1'!I793, "ERROR")</f>
        <v>11</v>
      </c>
      <c r="I793" s="9">
        <f>if('Point Intercept 1'!H793 = 'Point Intercept 2'!H793, 'Point Intercept 1'!H793, "ERROR")</f>
        <v>1</v>
      </c>
      <c r="J793" s="9">
        <f>if('Point Intercept 1'!J793 = 'Point Intercept 2'!J793, 'Point Intercept 1'!J793, "ERROR")</f>
        <v>5</v>
      </c>
      <c r="K793" s="9" t="str">
        <f>if('Point Intercept 1'!K793 = 'Point Intercept 2'!K793, 'Point Intercept 1'!K793, "ERROR")</f>
        <v>BROMAD</v>
      </c>
      <c r="L793" s="9" t="str">
        <f>if('Point Intercept 1'!L793 = 'Point Intercept 2'!L793, 'Point Intercept 1'!L793, "ERROR")</f>
        <v>Bromus madritensis</v>
      </c>
    </row>
    <row r="794">
      <c r="A794" s="9">
        <f>if('Point Intercept 1'!A794 = 'Point Intercept 2'!A794, 'Point Intercept 1'!A794, "ERROR")</f>
        <v>9</v>
      </c>
      <c r="B794" s="9">
        <f>if('Point Intercept 1'!B794 = 'Point Intercept 2'!B794, 'Point Intercept 1'!B794, "ERROR")</f>
        <v>2025</v>
      </c>
      <c r="C794" s="14">
        <f>if('Point Intercept 1'!C794 = 'Point Intercept 2'!C794, 'Point Intercept 1'!C794, "ERROR")</f>
        <v>45764</v>
      </c>
      <c r="D794" s="9" t="str">
        <f>if('Point Intercept 1'!D794 = 'Point Intercept 2'!D794, 'Point Intercept 1'!D794, "ERROR")</f>
        <v>TL, JR, AA</v>
      </c>
      <c r="E794" s="9" t="str">
        <f>if('Point Intercept 1'!E794 = 'Point Intercept 2'!E794, 'Point Intercept 1'!E794, "ERROR")</f>
        <v>CU</v>
      </c>
      <c r="F794" s="9">
        <f>if('Point Intercept 1'!F794 = 'Point Intercept 2'!F794, 'Point Intercept 1'!F794, "ERROR")</f>
        <v>1</v>
      </c>
      <c r="G794" s="9" t="str">
        <f>if('Point Intercept 1'!G794 = 'Point Intercept 2'!G794, 'Point Intercept 1'!G794, "ERROR")</f>
        <v>LS</v>
      </c>
      <c r="H794" s="9">
        <f>if('Point Intercept 1'!I794 = 'Point Intercept 2'!I794, 'Point Intercept 1'!I794, "ERROR")</f>
        <v>11</v>
      </c>
      <c r="I794" s="9">
        <f>if('Point Intercept 1'!H794 = 'Point Intercept 2'!H794, 'Point Intercept 1'!H794, "ERROR")</f>
        <v>1</v>
      </c>
      <c r="J794" s="9">
        <f>if('Point Intercept 1'!J794 = 'Point Intercept 2'!J794, 'Point Intercept 1'!J794, "ERROR")</f>
        <v>5</v>
      </c>
      <c r="K794" s="9" t="str">
        <f>if('Point Intercept 1'!K794 = 'Point Intercept 2'!K794, 'Point Intercept 1'!K794, "ERROR")</f>
        <v>SONASP</v>
      </c>
      <c r="L794" s="9" t="str">
        <f>if('Point Intercept 1'!L794 = 'Point Intercept 2'!L794, 'Point Intercept 1'!L794, "ERROR")</f>
        <v>Sonchus asper</v>
      </c>
    </row>
    <row r="795">
      <c r="A795" s="9">
        <f>if('Point Intercept 1'!A795 = 'Point Intercept 2'!A795, 'Point Intercept 1'!A795, "ERROR")</f>
        <v>9</v>
      </c>
      <c r="B795" s="9">
        <f>if('Point Intercept 1'!B795 = 'Point Intercept 2'!B795, 'Point Intercept 1'!B795, "ERROR")</f>
        <v>2025</v>
      </c>
      <c r="C795" s="14">
        <f>if('Point Intercept 1'!C795 = 'Point Intercept 2'!C795, 'Point Intercept 1'!C795, "ERROR")</f>
        <v>45764</v>
      </c>
      <c r="D795" s="9" t="str">
        <f>if('Point Intercept 1'!D795 = 'Point Intercept 2'!D795, 'Point Intercept 1'!D795, "ERROR")</f>
        <v>TL, JR, AA</v>
      </c>
      <c r="E795" s="9" t="str">
        <f>if('Point Intercept 1'!E795 = 'Point Intercept 2'!E795, 'Point Intercept 1'!E795, "ERROR")</f>
        <v>CU</v>
      </c>
      <c r="F795" s="9">
        <f>if('Point Intercept 1'!F795 = 'Point Intercept 2'!F795, 'Point Intercept 1'!F795, "ERROR")</f>
        <v>1</v>
      </c>
      <c r="G795" s="9" t="str">
        <f>if('Point Intercept 1'!G795 = 'Point Intercept 2'!G795, 'Point Intercept 1'!G795, "ERROR")</f>
        <v>LS</v>
      </c>
      <c r="H795" s="9">
        <f>if('Point Intercept 1'!I795 = 'Point Intercept 2'!I795, 'Point Intercept 1'!I795, "ERROR")</f>
        <v>12</v>
      </c>
      <c r="I795" s="9">
        <f>if('Point Intercept 1'!H795 = 'Point Intercept 2'!H795, 'Point Intercept 1'!H795, "ERROR")</f>
        <v>1</v>
      </c>
      <c r="J795" s="9">
        <f>if('Point Intercept 1'!J795 = 'Point Intercept 2'!J795, 'Point Intercept 1'!J795, "ERROR")</f>
        <v>5.5</v>
      </c>
      <c r="K795" s="9" t="str">
        <f>if('Point Intercept 1'!K795 = 'Point Intercept 2'!K795, 'Point Intercept 1'!K795, "ERROR")</f>
        <v>L</v>
      </c>
      <c r="L795" s="9" t="str">
        <f>if('Point Intercept 1'!L795 = 'Point Intercept 2'!L795, 'Point Intercept 1'!L795, "ERROR")</f>
        <v>Litter</v>
      </c>
    </row>
    <row r="796">
      <c r="A796" s="9">
        <f>if('Point Intercept 1'!A796 = 'Point Intercept 2'!A796, 'Point Intercept 1'!A796, "ERROR")</f>
        <v>9</v>
      </c>
      <c r="B796" s="9">
        <f>if('Point Intercept 1'!B796 = 'Point Intercept 2'!B796, 'Point Intercept 1'!B796, "ERROR")</f>
        <v>2025</v>
      </c>
      <c r="C796" s="14">
        <f>if('Point Intercept 1'!C796 = 'Point Intercept 2'!C796, 'Point Intercept 1'!C796, "ERROR")</f>
        <v>45764</v>
      </c>
      <c r="D796" s="9" t="str">
        <f>if('Point Intercept 1'!D796 = 'Point Intercept 2'!D796, 'Point Intercept 1'!D796, "ERROR")</f>
        <v>TL, JR, AA</v>
      </c>
      <c r="E796" s="9" t="str">
        <f>if('Point Intercept 1'!E796 = 'Point Intercept 2'!E796, 'Point Intercept 1'!E796, "ERROR")</f>
        <v>CU</v>
      </c>
      <c r="F796" s="9">
        <f>if('Point Intercept 1'!F796 = 'Point Intercept 2'!F796, 'Point Intercept 1'!F796, "ERROR")</f>
        <v>1</v>
      </c>
      <c r="G796" s="9" t="str">
        <f>if('Point Intercept 1'!G796 = 'Point Intercept 2'!G796, 'Point Intercept 1'!G796, "ERROR")</f>
        <v>LS</v>
      </c>
      <c r="H796" s="9">
        <f>if('Point Intercept 1'!I796 = 'Point Intercept 2'!I796, 'Point Intercept 1'!I796, "ERROR")</f>
        <v>12</v>
      </c>
      <c r="I796" s="9">
        <f>if('Point Intercept 1'!H796 = 'Point Intercept 2'!H796, 'Point Intercept 1'!H796, "ERROR")</f>
        <v>1</v>
      </c>
      <c r="J796" s="9">
        <f>if('Point Intercept 1'!J796 = 'Point Intercept 2'!J796, 'Point Intercept 1'!J796, "ERROR")</f>
        <v>5.5</v>
      </c>
      <c r="K796" s="9" t="str">
        <f>if('Point Intercept 1'!K796 = 'Point Intercept 2'!K796, 'Point Intercept 1'!K796, "ERROR")</f>
        <v>ANAARV</v>
      </c>
      <c r="L796" s="9" t="str">
        <f>if('Point Intercept 1'!L796 = 'Point Intercept 2'!L796, 'Point Intercept 1'!L796, "ERROR")</f>
        <v>Anagallis arvensis</v>
      </c>
    </row>
    <row r="797">
      <c r="A797" s="9">
        <f>if('Point Intercept 1'!A797 = 'Point Intercept 2'!A797, 'Point Intercept 1'!A797, "ERROR")</f>
        <v>9</v>
      </c>
      <c r="B797" s="9">
        <f>if('Point Intercept 1'!B797 = 'Point Intercept 2'!B797, 'Point Intercept 1'!B797, "ERROR")</f>
        <v>2025</v>
      </c>
      <c r="C797" s="14">
        <f>if('Point Intercept 1'!C797 = 'Point Intercept 2'!C797, 'Point Intercept 1'!C797, "ERROR")</f>
        <v>45764</v>
      </c>
      <c r="D797" s="9" t="str">
        <f>if('Point Intercept 1'!D797 = 'Point Intercept 2'!D797, 'Point Intercept 1'!D797, "ERROR")</f>
        <v>TL, JR, AA</v>
      </c>
      <c r="E797" s="9" t="str">
        <f>if('Point Intercept 1'!E797 = 'Point Intercept 2'!E797, 'Point Intercept 1'!E797, "ERROR")</f>
        <v>CU</v>
      </c>
      <c r="F797" s="9">
        <f>if('Point Intercept 1'!F797 = 'Point Intercept 2'!F797, 'Point Intercept 1'!F797, "ERROR")</f>
        <v>1</v>
      </c>
      <c r="G797" s="9" t="str">
        <f>if('Point Intercept 1'!G797 = 'Point Intercept 2'!G797, 'Point Intercept 1'!G797, "ERROR")</f>
        <v>LS</v>
      </c>
      <c r="H797" s="9">
        <f>if('Point Intercept 1'!I797 = 'Point Intercept 2'!I797, 'Point Intercept 1'!I797, "ERROR")</f>
        <v>13</v>
      </c>
      <c r="I797" s="9">
        <f>if('Point Intercept 1'!H797 = 'Point Intercept 2'!H797, 'Point Intercept 1'!H797, "ERROR")</f>
        <v>1</v>
      </c>
      <c r="J797" s="9">
        <f>if('Point Intercept 1'!J797 = 'Point Intercept 2'!J797, 'Point Intercept 1'!J797, "ERROR")</f>
        <v>6.5</v>
      </c>
      <c r="K797" s="9" t="str">
        <f>if('Point Intercept 1'!K797 = 'Point Intercept 2'!K797, 'Point Intercept 1'!K797, "ERROR")</f>
        <v>L</v>
      </c>
      <c r="L797" s="9" t="str">
        <f>if('Point Intercept 1'!L797 = 'Point Intercept 2'!L797, 'Point Intercept 1'!L797, "ERROR")</f>
        <v>Litter</v>
      </c>
    </row>
    <row r="798">
      <c r="A798" s="9">
        <f>if('Point Intercept 1'!A798 = 'Point Intercept 2'!A798, 'Point Intercept 1'!A798, "ERROR")</f>
        <v>9</v>
      </c>
      <c r="B798" s="9">
        <f>if('Point Intercept 1'!B798 = 'Point Intercept 2'!B798, 'Point Intercept 1'!B798, "ERROR")</f>
        <v>2025</v>
      </c>
      <c r="C798" s="14">
        <f>if('Point Intercept 1'!C798 = 'Point Intercept 2'!C798, 'Point Intercept 1'!C798, "ERROR")</f>
        <v>45764</v>
      </c>
      <c r="D798" s="9" t="str">
        <f>if('Point Intercept 1'!D798 = 'Point Intercept 2'!D798, 'Point Intercept 1'!D798, "ERROR")</f>
        <v>TL, JR, AA</v>
      </c>
      <c r="E798" s="9" t="str">
        <f>if('Point Intercept 1'!E798 = 'Point Intercept 2'!E798, 'Point Intercept 1'!E798, "ERROR")</f>
        <v>CU</v>
      </c>
      <c r="F798" s="9">
        <f>if('Point Intercept 1'!F798 = 'Point Intercept 2'!F798, 'Point Intercept 1'!F798, "ERROR")</f>
        <v>1</v>
      </c>
      <c r="G798" s="9" t="str">
        <f>if('Point Intercept 1'!G798 = 'Point Intercept 2'!G798, 'Point Intercept 1'!G798, "ERROR")</f>
        <v>LS</v>
      </c>
      <c r="H798" s="9">
        <f>if('Point Intercept 1'!I798 = 'Point Intercept 2'!I798, 'Point Intercept 1'!I798, "ERROR")</f>
        <v>13</v>
      </c>
      <c r="I798" s="9">
        <f>if('Point Intercept 1'!H798 = 'Point Intercept 2'!H798, 'Point Intercept 1'!H798, "ERROR")</f>
        <v>1</v>
      </c>
      <c r="J798" s="9">
        <f>if('Point Intercept 1'!J798 = 'Point Intercept 2'!J798, 'Point Intercept 1'!J798, "ERROR")</f>
        <v>6.5</v>
      </c>
      <c r="K798" s="9" t="str">
        <f>if('Point Intercept 1'!K798 = 'Point Intercept 2'!K798, 'Point Intercept 1'!K798, "ERROR")</f>
        <v>ANAARV</v>
      </c>
      <c r="L798" s="9" t="str">
        <f>if('Point Intercept 1'!L798 = 'Point Intercept 2'!L798, 'Point Intercept 1'!L798, "ERROR")</f>
        <v>Anagallis arvensis</v>
      </c>
    </row>
    <row r="799">
      <c r="A799" s="9">
        <f>if('Point Intercept 1'!A799 = 'Point Intercept 2'!A799, 'Point Intercept 1'!A799, "ERROR")</f>
        <v>9</v>
      </c>
      <c r="B799" s="9">
        <f>if('Point Intercept 1'!B799 = 'Point Intercept 2'!B799, 'Point Intercept 1'!B799, "ERROR")</f>
        <v>2025</v>
      </c>
      <c r="C799" s="14">
        <f>if('Point Intercept 1'!C799 = 'Point Intercept 2'!C799, 'Point Intercept 1'!C799, "ERROR")</f>
        <v>45764</v>
      </c>
      <c r="D799" s="9" t="str">
        <f>if('Point Intercept 1'!D799 = 'Point Intercept 2'!D799, 'Point Intercept 1'!D799, "ERROR")</f>
        <v>TL, JR, AA</v>
      </c>
      <c r="E799" s="9" t="str">
        <f>if('Point Intercept 1'!E799 = 'Point Intercept 2'!E799, 'Point Intercept 1'!E799, "ERROR")</f>
        <v>CU</v>
      </c>
      <c r="F799" s="9">
        <f>if('Point Intercept 1'!F799 = 'Point Intercept 2'!F799, 'Point Intercept 1'!F799, "ERROR")</f>
        <v>1</v>
      </c>
      <c r="G799" s="9" t="str">
        <f>if('Point Intercept 1'!G799 = 'Point Intercept 2'!G799, 'Point Intercept 1'!G799, "ERROR")</f>
        <v>LS</v>
      </c>
      <c r="H799" s="9">
        <f>if('Point Intercept 1'!I799 = 'Point Intercept 2'!I799, 'Point Intercept 1'!I799, "ERROR")</f>
        <v>13</v>
      </c>
      <c r="I799" s="9">
        <f>if('Point Intercept 1'!H799 = 'Point Intercept 2'!H799, 'Point Intercept 1'!H799, "ERROR")</f>
        <v>1</v>
      </c>
      <c r="J799" s="9">
        <f>if('Point Intercept 1'!J799 = 'Point Intercept 2'!J799, 'Point Intercept 1'!J799, "ERROR")</f>
        <v>6.5</v>
      </c>
      <c r="K799" s="9" t="str">
        <f>if('Point Intercept 1'!K799 = 'Point Intercept 2'!K799, 'Point Intercept 1'!K799, "ERROR")</f>
        <v>DEIFAS</v>
      </c>
      <c r="L799" s="9" t="str">
        <f>if('Point Intercept 1'!L799 = 'Point Intercept 2'!L799, 'Point Intercept 1'!L799, "ERROR")</f>
        <v>Deinandra fasciculata</v>
      </c>
    </row>
    <row r="800">
      <c r="A800" s="9">
        <f>if('Point Intercept 1'!A800 = 'Point Intercept 2'!A800, 'Point Intercept 1'!A800, "ERROR")</f>
        <v>9</v>
      </c>
      <c r="B800" s="9">
        <f>if('Point Intercept 1'!B800 = 'Point Intercept 2'!B800, 'Point Intercept 1'!B800, "ERROR")</f>
        <v>2025</v>
      </c>
      <c r="C800" s="14">
        <f>if('Point Intercept 1'!C800 = 'Point Intercept 2'!C800, 'Point Intercept 1'!C800, "ERROR")</f>
        <v>45764</v>
      </c>
      <c r="D800" s="9" t="str">
        <f>if('Point Intercept 1'!D800 = 'Point Intercept 2'!D800, 'Point Intercept 1'!D800, "ERROR")</f>
        <v>TL, JR, AA</v>
      </c>
      <c r="E800" s="9" t="str">
        <f>if('Point Intercept 1'!E800 = 'Point Intercept 2'!E800, 'Point Intercept 1'!E800, "ERROR")</f>
        <v>CU</v>
      </c>
      <c r="F800" s="9">
        <f>if('Point Intercept 1'!F800 = 'Point Intercept 2'!F800, 'Point Intercept 1'!F800, "ERROR")</f>
        <v>1</v>
      </c>
      <c r="G800" s="9" t="str">
        <f>if('Point Intercept 1'!G800 = 'Point Intercept 2'!G800, 'Point Intercept 1'!G800, "ERROR")</f>
        <v>LS</v>
      </c>
      <c r="H800" s="9">
        <f>if('Point Intercept 1'!I800 = 'Point Intercept 2'!I800, 'Point Intercept 1'!I800, "ERROR")</f>
        <v>13</v>
      </c>
      <c r="I800" s="9">
        <f>if('Point Intercept 1'!H800 = 'Point Intercept 2'!H800, 'Point Intercept 1'!H800, "ERROR")</f>
        <v>1</v>
      </c>
      <c r="J800" s="9">
        <f>if('Point Intercept 1'!J800 = 'Point Intercept 2'!J800, 'Point Intercept 1'!J800, "ERROR")</f>
        <v>6.5</v>
      </c>
      <c r="K800" s="9" t="str">
        <f>if('Point Intercept 1'!K800 = 'Point Intercept 2'!K800, 'Point Intercept 1'!K800, "ERROR")</f>
        <v>FESMYU</v>
      </c>
      <c r="L800" s="9" t="str">
        <f>if('Point Intercept 1'!L800 = 'Point Intercept 2'!L800, 'Point Intercept 1'!L800, "ERROR")</f>
        <v>Festuca myuros</v>
      </c>
    </row>
    <row r="801">
      <c r="A801" s="9">
        <f>if('Point Intercept 1'!A801 = 'Point Intercept 2'!A801, 'Point Intercept 1'!A801, "ERROR")</f>
        <v>9</v>
      </c>
      <c r="B801" s="9">
        <f>if('Point Intercept 1'!B801 = 'Point Intercept 2'!B801, 'Point Intercept 1'!B801, "ERROR")</f>
        <v>2025</v>
      </c>
      <c r="C801" s="14">
        <f>if('Point Intercept 1'!C801 = 'Point Intercept 2'!C801, 'Point Intercept 1'!C801, "ERROR")</f>
        <v>45764</v>
      </c>
      <c r="D801" s="9" t="str">
        <f>if('Point Intercept 1'!D801 = 'Point Intercept 2'!D801, 'Point Intercept 1'!D801, "ERROR")</f>
        <v>TL, JR, AA</v>
      </c>
      <c r="E801" s="9" t="str">
        <f>if('Point Intercept 1'!E801 = 'Point Intercept 2'!E801, 'Point Intercept 1'!E801, "ERROR")</f>
        <v>CU</v>
      </c>
      <c r="F801" s="9">
        <f>if('Point Intercept 1'!F801 = 'Point Intercept 2'!F801, 'Point Intercept 1'!F801, "ERROR")</f>
        <v>1</v>
      </c>
      <c r="G801" s="9" t="str">
        <f>if('Point Intercept 1'!G801 = 'Point Intercept 2'!G801, 'Point Intercept 1'!G801, "ERROR")</f>
        <v>LS</v>
      </c>
      <c r="H801" s="9">
        <f>if('Point Intercept 1'!I801 = 'Point Intercept 2'!I801, 'Point Intercept 1'!I801, "ERROR")</f>
        <v>14</v>
      </c>
      <c r="I801" s="9">
        <f>if('Point Intercept 1'!H801 = 'Point Intercept 2'!H801, 'Point Intercept 1'!H801, "ERROR")</f>
        <v>1</v>
      </c>
      <c r="J801" s="9">
        <f>if('Point Intercept 1'!J801 = 'Point Intercept 2'!J801, 'Point Intercept 1'!J801, "ERROR")</f>
        <v>7</v>
      </c>
      <c r="K801" s="9" t="str">
        <f>if('Point Intercept 1'!K801 = 'Point Intercept 2'!K801, 'Point Intercept 1'!K801, "ERROR")</f>
        <v>L</v>
      </c>
      <c r="L801" s="9" t="str">
        <f>if('Point Intercept 1'!L801 = 'Point Intercept 2'!L801, 'Point Intercept 1'!L801, "ERROR")</f>
        <v>Litter</v>
      </c>
    </row>
    <row r="802">
      <c r="A802" s="9">
        <f>if('Point Intercept 1'!A802 = 'Point Intercept 2'!A802, 'Point Intercept 1'!A802, "ERROR")</f>
        <v>9</v>
      </c>
      <c r="B802" s="9">
        <f>if('Point Intercept 1'!B802 = 'Point Intercept 2'!B802, 'Point Intercept 1'!B802, "ERROR")</f>
        <v>2025</v>
      </c>
      <c r="C802" s="14">
        <f>if('Point Intercept 1'!C802 = 'Point Intercept 2'!C802, 'Point Intercept 1'!C802, "ERROR")</f>
        <v>45764</v>
      </c>
      <c r="D802" s="9" t="str">
        <f>if('Point Intercept 1'!D802 = 'Point Intercept 2'!D802, 'Point Intercept 1'!D802, "ERROR")</f>
        <v>TL, JR, AA</v>
      </c>
      <c r="E802" s="9" t="str">
        <f>if('Point Intercept 1'!E802 = 'Point Intercept 2'!E802, 'Point Intercept 1'!E802, "ERROR")</f>
        <v>CU</v>
      </c>
      <c r="F802" s="9">
        <f>if('Point Intercept 1'!F802 = 'Point Intercept 2'!F802, 'Point Intercept 1'!F802, "ERROR")</f>
        <v>1</v>
      </c>
      <c r="G802" s="9" t="str">
        <f>if('Point Intercept 1'!G802 = 'Point Intercept 2'!G802, 'Point Intercept 1'!G802, "ERROR")</f>
        <v>LS</v>
      </c>
      <c r="H802" s="9">
        <f>if('Point Intercept 1'!I802 = 'Point Intercept 2'!I802, 'Point Intercept 1'!I802, "ERROR")</f>
        <v>14</v>
      </c>
      <c r="I802" s="9">
        <f>if('Point Intercept 1'!H802 = 'Point Intercept 2'!H802, 'Point Intercept 1'!H802, "ERROR")</f>
        <v>1</v>
      </c>
      <c r="J802" s="9">
        <f>if('Point Intercept 1'!J802 = 'Point Intercept 2'!J802, 'Point Intercept 1'!J802, "ERROR")</f>
        <v>7</v>
      </c>
      <c r="K802" s="9" t="str">
        <f>if('Point Intercept 1'!K802 = 'Point Intercept 2'!K802, 'Point Intercept 1'!K802, "ERROR")</f>
        <v>UROLIN</v>
      </c>
      <c r="L802" s="9" t="str">
        <f>if('Point Intercept 1'!L802 = 'Point Intercept 2'!L802, 'Point Intercept 1'!L802, "ERROR")</f>
        <v>Uropappus lindleyi</v>
      </c>
    </row>
    <row r="803">
      <c r="A803" s="9">
        <f>if('Point Intercept 1'!A803 = 'Point Intercept 2'!A803, 'Point Intercept 1'!A803, "ERROR")</f>
        <v>9</v>
      </c>
      <c r="B803" s="9">
        <f>if('Point Intercept 1'!B803 = 'Point Intercept 2'!B803, 'Point Intercept 1'!B803, "ERROR")</f>
        <v>2025</v>
      </c>
      <c r="C803" s="14">
        <f>if('Point Intercept 1'!C803 = 'Point Intercept 2'!C803, 'Point Intercept 1'!C803, "ERROR")</f>
        <v>45764</v>
      </c>
      <c r="D803" s="9" t="str">
        <f>if('Point Intercept 1'!D803 = 'Point Intercept 2'!D803, 'Point Intercept 1'!D803, "ERROR")</f>
        <v>TL, JR, AA</v>
      </c>
      <c r="E803" s="9" t="str">
        <f>if('Point Intercept 1'!E803 = 'Point Intercept 2'!E803, 'Point Intercept 1'!E803, "ERROR")</f>
        <v>CU</v>
      </c>
      <c r="F803" s="9">
        <f>if('Point Intercept 1'!F803 = 'Point Intercept 2'!F803, 'Point Intercept 1'!F803, "ERROR")</f>
        <v>1</v>
      </c>
      <c r="G803" s="9" t="str">
        <f>if('Point Intercept 1'!G803 = 'Point Intercept 2'!G803, 'Point Intercept 1'!G803, "ERROR")</f>
        <v>LS</v>
      </c>
      <c r="H803" s="9">
        <f>if('Point Intercept 1'!I803 = 'Point Intercept 2'!I803, 'Point Intercept 1'!I803, "ERROR")</f>
        <v>14</v>
      </c>
      <c r="I803" s="9">
        <f>if('Point Intercept 1'!H803 = 'Point Intercept 2'!H803, 'Point Intercept 1'!H803, "ERROR")</f>
        <v>1</v>
      </c>
      <c r="J803" s="9">
        <f>if('Point Intercept 1'!J803 = 'Point Intercept 2'!J803, 'Point Intercept 1'!J803, "ERROR")</f>
        <v>7</v>
      </c>
      <c r="K803" s="9" t="str">
        <f>if('Point Intercept 1'!K803 = 'Point Intercept 2'!K803, 'Point Intercept 1'!K803, "ERROR")</f>
        <v>ANAARV</v>
      </c>
      <c r="L803" s="9" t="str">
        <f>if('Point Intercept 1'!L803 = 'Point Intercept 2'!L803, 'Point Intercept 1'!L803, "ERROR")</f>
        <v>Anagallis arvensis</v>
      </c>
    </row>
    <row r="804">
      <c r="A804" s="9">
        <f>if('Point Intercept 1'!A804 = 'Point Intercept 2'!A804, 'Point Intercept 1'!A804, "ERROR")</f>
        <v>9</v>
      </c>
      <c r="B804" s="9">
        <f>if('Point Intercept 1'!B804 = 'Point Intercept 2'!B804, 'Point Intercept 1'!B804, "ERROR")</f>
        <v>2025</v>
      </c>
      <c r="C804" s="14">
        <f>if('Point Intercept 1'!C804 = 'Point Intercept 2'!C804, 'Point Intercept 1'!C804, "ERROR")</f>
        <v>45764</v>
      </c>
      <c r="D804" s="9" t="str">
        <f>if('Point Intercept 1'!D804 = 'Point Intercept 2'!D804, 'Point Intercept 1'!D804, "ERROR")</f>
        <v>TL, JR, AA</v>
      </c>
      <c r="E804" s="9" t="str">
        <f>if('Point Intercept 1'!E804 = 'Point Intercept 2'!E804, 'Point Intercept 1'!E804, "ERROR")</f>
        <v>CU</v>
      </c>
      <c r="F804" s="9">
        <f>if('Point Intercept 1'!F804 = 'Point Intercept 2'!F804, 'Point Intercept 1'!F804, "ERROR")</f>
        <v>1</v>
      </c>
      <c r="G804" s="9" t="str">
        <f>if('Point Intercept 1'!G804 = 'Point Intercept 2'!G804, 'Point Intercept 1'!G804, "ERROR")</f>
        <v>LS</v>
      </c>
      <c r="H804" s="9">
        <f>if('Point Intercept 1'!I804 = 'Point Intercept 2'!I804, 'Point Intercept 1'!I804, "ERROR")</f>
        <v>14</v>
      </c>
      <c r="I804" s="9">
        <f>if('Point Intercept 1'!H804 = 'Point Intercept 2'!H804, 'Point Intercept 1'!H804, "ERROR")</f>
        <v>1</v>
      </c>
      <c r="J804" s="9">
        <f>if('Point Intercept 1'!J804 = 'Point Intercept 2'!J804, 'Point Intercept 1'!J804, "ERROR")</f>
        <v>7</v>
      </c>
      <c r="K804" s="9" t="str">
        <f>if('Point Intercept 1'!K804 = 'Point Intercept 2'!K804, 'Point Intercept 1'!K804, "ERROR")</f>
        <v>SONASP</v>
      </c>
      <c r="L804" s="9" t="str">
        <f>if('Point Intercept 1'!L804 = 'Point Intercept 2'!L804, 'Point Intercept 1'!L804, "ERROR")</f>
        <v>Sonchus asper</v>
      </c>
    </row>
    <row r="805">
      <c r="A805" s="9">
        <f>if('Point Intercept 1'!A805 = 'Point Intercept 2'!A805, 'Point Intercept 1'!A805, "ERROR")</f>
        <v>9</v>
      </c>
      <c r="B805" s="9">
        <f>if('Point Intercept 1'!B805 = 'Point Intercept 2'!B805, 'Point Intercept 1'!B805, "ERROR")</f>
        <v>2025</v>
      </c>
      <c r="C805" s="14">
        <f>if('Point Intercept 1'!C805 = 'Point Intercept 2'!C805, 'Point Intercept 1'!C805, "ERROR")</f>
        <v>45764</v>
      </c>
      <c r="D805" s="9" t="str">
        <f>if('Point Intercept 1'!D805 = 'Point Intercept 2'!D805, 'Point Intercept 1'!D805, "ERROR")</f>
        <v>TL, JR, AA</v>
      </c>
      <c r="E805" s="9" t="str">
        <f>if('Point Intercept 1'!E805 = 'Point Intercept 2'!E805, 'Point Intercept 1'!E805, "ERROR")</f>
        <v>CU</v>
      </c>
      <c r="F805" s="9">
        <f>if('Point Intercept 1'!F805 = 'Point Intercept 2'!F805, 'Point Intercept 1'!F805, "ERROR")</f>
        <v>1</v>
      </c>
      <c r="G805" s="9" t="str">
        <f>if('Point Intercept 1'!G805 = 'Point Intercept 2'!G805, 'Point Intercept 1'!G805, "ERROR")</f>
        <v>LS</v>
      </c>
      <c r="H805" s="9">
        <f>if('Point Intercept 1'!I805 = 'Point Intercept 2'!I805, 'Point Intercept 1'!I805, "ERROR")</f>
        <v>15</v>
      </c>
      <c r="I805" s="9">
        <f>if('Point Intercept 1'!H805 = 'Point Intercept 2'!H805, 'Point Intercept 1'!H805, "ERROR")</f>
        <v>1</v>
      </c>
      <c r="J805" s="9">
        <f>if('Point Intercept 1'!J805 = 'Point Intercept 2'!J805, 'Point Intercept 1'!J805, "ERROR")</f>
        <v>7.5</v>
      </c>
      <c r="K805" s="9" t="str">
        <f>if('Point Intercept 1'!K805 = 'Point Intercept 2'!K805, 'Point Intercept 1'!K805, "ERROR")</f>
        <v>L</v>
      </c>
      <c r="L805" s="9" t="str">
        <f>if('Point Intercept 1'!L805 = 'Point Intercept 2'!L805, 'Point Intercept 1'!L805, "ERROR")</f>
        <v>Litter</v>
      </c>
    </row>
    <row r="806">
      <c r="A806" s="9">
        <f>if('Point Intercept 1'!A806 = 'Point Intercept 2'!A806, 'Point Intercept 1'!A806, "ERROR")</f>
        <v>9</v>
      </c>
      <c r="B806" s="9">
        <f>if('Point Intercept 1'!B806 = 'Point Intercept 2'!B806, 'Point Intercept 1'!B806, "ERROR")</f>
        <v>2025</v>
      </c>
      <c r="C806" s="14">
        <f>if('Point Intercept 1'!C806 = 'Point Intercept 2'!C806, 'Point Intercept 1'!C806, "ERROR")</f>
        <v>45764</v>
      </c>
      <c r="D806" s="9" t="str">
        <f>if('Point Intercept 1'!D806 = 'Point Intercept 2'!D806, 'Point Intercept 1'!D806, "ERROR")</f>
        <v>TL, JR, AA</v>
      </c>
      <c r="E806" s="9" t="str">
        <f>if('Point Intercept 1'!E806 = 'Point Intercept 2'!E806, 'Point Intercept 1'!E806, "ERROR")</f>
        <v>CU</v>
      </c>
      <c r="F806" s="9">
        <f>if('Point Intercept 1'!F806 = 'Point Intercept 2'!F806, 'Point Intercept 1'!F806, "ERROR")</f>
        <v>1</v>
      </c>
      <c r="G806" s="9" t="str">
        <f>if('Point Intercept 1'!G806 = 'Point Intercept 2'!G806, 'Point Intercept 1'!G806, "ERROR")</f>
        <v>LS</v>
      </c>
      <c r="H806" s="9">
        <f>if('Point Intercept 1'!I806 = 'Point Intercept 2'!I806, 'Point Intercept 1'!I806, "ERROR")</f>
        <v>15</v>
      </c>
      <c r="I806" s="9">
        <f>if('Point Intercept 1'!H806 = 'Point Intercept 2'!H806, 'Point Intercept 1'!H806, "ERROR")</f>
        <v>1</v>
      </c>
      <c r="J806" s="9">
        <f>if('Point Intercept 1'!J806 = 'Point Intercept 2'!J806, 'Point Intercept 1'!J806, "ERROR")</f>
        <v>7.5</v>
      </c>
      <c r="K806" s="9" t="str">
        <f>if('Point Intercept 1'!K806 = 'Point Intercept 2'!K806, 'Point Intercept 1'!K806, "ERROR")</f>
        <v>BROMAD</v>
      </c>
      <c r="L806" s="9" t="str">
        <f>if('Point Intercept 1'!L806 = 'Point Intercept 2'!L806, 'Point Intercept 1'!L806, "ERROR")</f>
        <v>Bromus madritensis</v>
      </c>
    </row>
    <row r="807">
      <c r="A807" s="9">
        <f>if('Point Intercept 1'!A807 = 'Point Intercept 2'!A807, 'Point Intercept 1'!A807, "ERROR")</f>
        <v>9</v>
      </c>
      <c r="B807" s="9">
        <f>if('Point Intercept 1'!B807 = 'Point Intercept 2'!B807, 'Point Intercept 1'!B807, "ERROR")</f>
        <v>2025</v>
      </c>
      <c r="C807" s="14">
        <f>if('Point Intercept 1'!C807 = 'Point Intercept 2'!C807, 'Point Intercept 1'!C807, "ERROR")</f>
        <v>45764</v>
      </c>
      <c r="D807" s="9" t="str">
        <f>if('Point Intercept 1'!D807 = 'Point Intercept 2'!D807, 'Point Intercept 1'!D807, "ERROR")</f>
        <v>TL, JR, AA</v>
      </c>
      <c r="E807" s="9" t="str">
        <f>if('Point Intercept 1'!E807 = 'Point Intercept 2'!E807, 'Point Intercept 1'!E807, "ERROR")</f>
        <v>CU</v>
      </c>
      <c r="F807" s="9">
        <f>if('Point Intercept 1'!F807 = 'Point Intercept 2'!F807, 'Point Intercept 1'!F807, "ERROR")</f>
        <v>1</v>
      </c>
      <c r="G807" s="9" t="str">
        <f>if('Point Intercept 1'!G807 = 'Point Intercept 2'!G807, 'Point Intercept 1'!G807, "ERROR")</f>
        <v>LS</v>
      </c>
      <c r="H807" s="9">
        <f>if('Point Intercept 1'!I807 = 'Point Intercept 2'!I807, 'Point Intercept 1'!I807, "ERROR")</f>
        <v>15</v>
      </c>
      <c r="I807" s="9">
        <f>if('Point Intercept 1'!H807 = 'Point Intercept 2'!H807, 'Point Intercept 1'!H807, "ERROR")</f>
        <v>1</v>
      </c>
      <c r="J807" s="9">
        <f>if('Point Intercept 1'!J807 = 'Point Intercept 2'!J807, 'Point Intercept 1'!J807, "ERROR")</f>
        <v>7.5</v>
      </c>
      <c r="K807" s="9" t="str">
        <f>if('Point Intercept 1'!K807 = 'Point Intercept 2'!K807, 'Point Intercept 1'!K807, "ERROR")</f>
        <v>UROLIN</v>
      </c>
      <c r="L807" s="9" t="str">
        <f>if('Point Intercept 1'!L807 = 'Point Intercept 2'!L807, 'Point Intercept 1'!L807, "ERROR")</f>
        <v>Uropappus lindleyi</v>
      </c>
    </row>
    <row r="808">
      <c r="A808" s="9">
        <f>if('Point Intercept 1'!A808 = 'Point Intercept 2'!A808, 'Point Intercept 1'!A808, "ERROR")</f>
        <v>9</v>
      </c>
      <c r="B808" s="9">
        <f>if('Point Intercept 1'!B808 = 'Point Intercept 2'!B808, 'Point Intercept 1'!B808, "ERROR")</f>
        <v>2025</v>
      </c>
      <c r="C808" s="14">
        <f>if('Point Intercept 1'!C808 = 'Point Intercept 2'!C808, 'Point Intercept 1'!C808, "ERROR")</f>
        <v>45764</v>
      </c>
      <c r="D808" s="9" t="str">
        <f>if('Point Intercept 1'!D808 = 'Point Intercept 2'!D808, 'Point Intercept 1'!D808, "ERROR")</f>
        <v>TL, JR, AA</v>
      </c>
      <c r="E808" s="9" t="str">
        <f>if('Point Intercept 1'!E808 = 'Point Intercept 2'!E808, 'Point Intercept 1'!E808, "ERROR")</f>
        <v>CU</v>
      </c>
      <c r="F808" s="9">
        <f>if('Point Intercept 1'!F808 = 'Point Intercept 2'!F808, 'Point Intercept 1'!F808, "ERROR")</f>
        <v>1</v>
      </c>
      <c r="G808" s="9" t="str">
        <f>if('Point Intercept 1'!G808 = 'Point Intercept 2'!G808, 'Point Intercept 1'!G808, "ERROR")</f>
        <v>LS</v>
      </c>
      <c r="H808" s="9">
        <f>if('Point Intercept 1'!I808 = 'Point Intercept 2'!I808, 'Point Intercept 1'!I808, "ERROR")</f>
        <v>1</v>
      </c>
      <c r="I808" s="9">
        <f>if('Point Intercept 1'!H808 = 'Point Intercept 2'!H808, 'Point Intercept 1'!H808, "ERROR")</f>
        <v>2</v>
      </c>
      <c r="J808" s="9">
        <f>if('Point Intercept 1'!J808 = 'Point Intercept 2'!J808, 'Point Intercept 1'!J808, "ERROR")</f>
        <v>0</v>
      </c>
      <c r="K808" s="9" t="str">
        <f>if('Point Intercept 1'!K808 = 'Point Intercept 2'!K808, 'Point Intercept 1'!K808, "ERROR")</f>
        <v>L</v>
      </c>
      <c r="L808" s="9" t="str">
        <f>if('Point Intercept 1'!L808 = 'Point Intercept 2'!L808, 'Point Intercept 1'!L808, "ERROR")</f>
        <v>Litter</v>
      </c>
    </row>
    <row r="809">
      <c r="A809" s="9">
        <f>if('Point Intercept 1'!A809 = 'Point Intercept 2'!A809, 'Point Intercept 1'!A809, "ERROR")</f>
        <v>9</v>
      </c>
      <c r="B809" s="9">
        <f>if('Point Intercept 1'!B809 = 'Point Intercept 2'!B809, 'Point Intercept 1'!B809, "ERROR")</f>
        <v>2025</v>
      </c>
      <c r="C809" s="14">
        <f>if('Point Intercept 1'!C809 = 'Point Intercept 2'!C809, 'Point Intercept 1'!C809, "ERROR")</f>
        <v>45764</v>
      </c>
      <c r="D809" s="9" t="str">
        <f>if('Point Intercept 1'!D809 = 'Point Intercept 2'!D809, 'Point Intercept 1'!D809, "ERROR")</f>
        <v>TL, JR, AA</v>
      </c>
      <c r="E809" s="9" t="str">
        <f>if('Point Intercept 1'!E809 = 'Point Intercept 2'!E809, 'Point Intercept 1'!E809, "ERROR")</f>
        <v>CU</v>
      </c>
      <c r="F809" s="9">
        <f>if('Point Intercept 1'!F809 = 'Point Intercept 2'!F809, 'Point Intercept 1'!F809, "ERROR")</f>
        <v>1</v>
      </c>
      <c r="G809" s="9" t="str">
        <f>if('Point Intercept 1'!G809 = 'Point Intercept 2'!G809, 'Point Intercept 1'!G809, "ERROR")</f>
        <v>LS</v>
      </c>
      <c r="H809" s="9">
        <f>if('Point Intercept 1'!I809 = 'Point Intercept 2'!I809, 'Point Intercept 1'!I809, "ERROR")</f>
        <v>1</v>
      </c>
      <c r="I809" s="9">
        <f>if('Point Intercept 1'!H809 = 'Point Intercept 2'!H809, 'Point Intercept 1'!H809, "ERROR")</f>
        <v>2</v>
      </c>
      <c r="J809" s="9">
        <f>if('Point Intercept 1'!J809 = 'Point Intercept 2'!J809, 'Point Intercept 1'!J809, "ERROR")</f>
        <v>0</v>
      </c>
      <c r="K809" s="9" t="str">
        <f>if('Point Intercept 1'!K809 = 'Point Intercept 2'!K809, 'Point Intercept 1'!K809, "ERROR")</f>
        <v>BROMAD</v>
      </c>
      <c r="L809" s="9" t="str">
        <f>if('Point Intercept 1'!L809 = 'Point Intercept 2'!L809, 'Point Intercept 1'!L809, "ERROR")</f>
        <v>Bromus madritensis</v>
      </c>
    </row>
    <row r="810">
      <c r="A810" s="9">
        <f>if('Point Intercept 1'!A810 = 'Point Intercept 2'!A810, 'Point Intercept 1'!A810, "ERROR")</f>
        <v>9</v>
      </c>
      <c r="B810" s="9">
        <f>if('Point Intercept 1'!B810 = 'Point Intercept 2'!B810, 'Point Intercept 1'!B810, "ERROR")</f>
        <v>2025</v>
      </c>
      <c r="C810" s="14">
        <f>if('Point Intercept 1'!C810 = 'Point Intercept 2'!C810, 'Point Intercept 1'!C810, "ERROR")</f>
        <v>45764</v>
      </c>
      <c r="D810" s="9" t="str">
        <f>if('Point Intercept 1'!D810 = 'Point Intercept 2'!D810, 'Point Intercept 1'!D810, "ERROR")</f>
        <v>TL, JR, AA</v>
      </c>
      <c r="E810" s="9" t="str">
        <f>if('Point Intercept 1'!E810 = 'Point Intercept 2'!E810, 'Point Intercept 1'!E810, "ERROR")</f>
        <v>CU</v>
      </c>
      <c r="F810" s="9">
        <f>if('Point Intercept 1'!F810 = 'Point Intercept 2'!F810, 'Point Intercept 1'!F810, "ERROR")</f>
        <v>1</v>
      </c>
      <c r="G810" s="9" t="str">
        <f>if('Point Intercept 1'!G810 = 'Point Intercept 2'!G810, 'Point Intercept 1'!G810, "ERROR")</f>
        <v>LS</v>
      </c>
      <c r="H810" s="9">
        <f>if('Point Intercept 1'!I810 = 'Point Intercept 2'!I810, 'Point Intercept 1'!I810, "ERROR")</f>
        <v>1</v>
      </c>
      <c r="I810" s="9">
        <f>if('Point Intercept 1'!H810 = 'Point Intercept 2'!H810, 'Point Intercept 1'!H810, "ERROR")</f>
        <v>2</v>
      </c>
      <c r="J810" s="9">
        <f>if('Point Intercept 1'!J810 = 'Point Intercept 2'!J810, 'Point Intercept 1'!J810, "ERROR")</f>
        <v>0</v>
      </c>
      <c r="K810" s="9" t="str">
        <f>if('Point Intercept 1'!K810 = 'Point Intercept 2'!K810, 'Point Intercept 1'!K810, "ERROR")</f>
        <v>FESMYU</v>
      </c>
      <c r="L810" s="9" t="str">
        <f>if('Point Intercept 1'!L810 = 'Point Intercept 2'!L810, 'Point Intercept 1'!L810, "ERROR")</f>
        <v>Festuca myuros</v>
      </c>
    </row>
    <row r="811">
      <c r="A811" s="9">
        <f>if('Point Intercept 1'!A811 = 'Point Intercept 2'!A811, 'Point Intercept 1'!A811, "ERROR")</f>
        <v>9</v>
      </c>
      <c r="B811" s="9">
        <f>if('Point Intercept 1'!B811 = 'Point Intercept 2'!B811, 'Point Intercept 1'!B811, "ERROR")</f>
        <v>2025</v>
      </c>
      <c r="C811" s="14">
        <f>if('Point Intercept 1'!C811 = 'Point Intercept 2'!C811, 'Point Intercept 1'!C811, "ERROR")</f>
        <v>45764</v>
      </c>
      <c r="D811" s="9" t="str">
        <f>if('Point Intercept 1'!D811 = 'Point Intercept 2'!D811, 'Point Intercept 1'!D811, "ERROR")</f>
        <v>TL, JR, AA</v>
      </c>
      <c r="E811" s="9" t="str">
        <f>if('Point Intercept 1'!E811 = 'Point Intercept 2'!E811, 'Point Intercept 1'!E811, "ERROR")</f>
        <v>CU</v>
      </c>
      <c r="F811" s="9">
        <f>if('Point Intercept 1'!F811 = 'Point Intercept 2'!F811, 'Point Intercept 1'!F811, "ERROR")</f>
        <v>1</v>
      </c>
      <c r="G811" s="9" t="str">
        <f>if('Point Intercept 1'!G811 = 'Point Intercept 2'!G811, 'Point Intercept 1'!G811, "ERROR")</f>
        <v>LS</v>
      </c>
      <c r="H811" s="9">
        <f>if('Point Intercept 1'!I811 = 'Point Intercept 2'!I811, 'Point Intercept 1'!I811, "ERROR")</f>
        <v>1</v>
      </c>
      <c r="I811" s="9">
        <f>if('Point Intercept 1'!H811 = 'Point Intercept 2'!H811, 'Point Intercept 1'!H811, "ERROR")</f>
        <v>2</v>
      </c>
      <c r="J811" s="9">
        <f>if('Point Intercept 1'!J811 = 'Point Intercept 2'!J811, 'Point Intercept 1'!J811, "ERROR")</f>
        <v>0</v>
      </c>
      <c r="K811" s="9" t="str">
        <f>if('Point Intercept 1'!K811 = 'Point Intercept 2'!K811, 'Point Intercept 1'!K811, "ERROR")</f>
        <v>CENMEL</v>
      </c>
      <c r="L811" s="9" t="str">
        <f>if('Point Intercept 1'!L811 = 'Point Intercept 2'!L811, 'Point Intercept 1'!L811, "ERROR")</f>
        <v>Centaurea melitensis</v>
      </c>
    </row>
    <row r="812">
      <c r="A812" s="9">
        <f>if('Point Intercept 1'!A812 = 'Point Intercept 2'!A812, 'Point Intercept 1'!A812, "ERROR")</f>
        <v>9</v>
      </c>
      <c r="B812" s="9">
        <f>if('Point Intercept 1'!B812 = 'Point Intercept 2'!B812, 'Point Intercept 1'!B812, "ERROR")</f>
        <v>2025</v>
      </c>
      <c r="C812" s="14">
        <f>if('Point Intercept 1'!C812 = 'Point Intercept 2'!C812, 'Point Intercept 1'!C812, "ERROR")</f>
        <v>45764</v>
      </c>
      <c r="D812" s="9" t="str">
        <f>if('Point Intercept 1'!D812 = 'Point Intercept 2'!D812, 'Point Intercept 1'!D812, "ERROR")</f>
        <v>TL, JR, AA</v>
      </c>
      <c r="E812" s="9" t="str">
        <f>if('Point Intercept 1'!E812 = 'Point Intercept 2'!E812, 'Point Intercept 1'!E812, "ERROR")</f>
        <v>CU</v>
      </c>
      <c r="F812" s="9">
        <f>if('Point Intercept 1'!F812 = 'Point Intercept 2'!F812, 'Point Intercept 1'!F812, "ERROR")</f>
        <v>1</v>
      </c>
      <c r="G812" s="9" t="str">
        <f>if('Point Intercept 1'!G812 = 'Point Intercept 2'!G812, 'Point Intercept 1'!G812, "ERROR")</f>
        <v>LS</v>
      </c>
      <c r="H812" s="9">
        <f>if('Point Intercept 1'!I812 = 'Point Intercept 2'!I812, 'Point Intercept 1'!I812, "ERROR")</f>
        <v>1</v>
      </c>
      <c r="I812" s="9">
        <f>if('Point Intercept 1'!H812 = 'Point Intercept 2'!H812, 'Point Intercept 1'!H812, "ERROR")</f>
        <v>2</v>
      </c>
      <c r="J812" s="9">
        <f>if('Point Intercept 1'!J812 = 'Point Intercept 2'!J812, 'Point Intercept 1'!J812, "ERROR")</f>
        <v>0</v>
      </c>
      <c r="K812" s="9" t="str">
        <f>if('Point Intercept 1'!K812 = 'Point Intercept 2'!K812, 'Point Intercept 1'!K812, "ERROR")</f>
        <v>OPULIT</v>
      </c>
      <c r="L812" s="9" t="str">
        <f>if('Point Intercept 1'!L812 = 'Point Intercept 2'!L812, 'Point Intercept 1'!L812, "ERROR")</f>
        <v>Opuntia littoralis</v>
      </c>
    </row>
    <row r="813">
      <c r="A813" s="9">
        <f>if('Point Intercept 1'!A813 = 'Point Intercept 2'!A813, 'Point Intercept 1'!A813, "ERROR")</f>
        <v>9</v>
      </c>
      <c r="B813" s="9">
        <f>if('Point Intercept 1'!B813 = 'Point Intercept 2'!B813, 'Point Intercept 1'!B813, "ERROR")</f>
        <v>2025</v>
      </c>
      <c r="C813" s="14">
        <f>if('Point Intercept 1'!C813 = 'Point Intercept 2'!C813, 'Point Intercept 1'!C813, "ERROR")</f>
        <v>45764</v>
      </c>
      <c r="D813" s="9" t="str">
        <f>if('Point Intercept 1'!D813 = 'Point Intercept 2'!D813, 'Point Intercept 1'!D813, "ERROR")</f>
        <v>TL, JR, AA</v>
      </c>
      <c r="E813" s="9" t="str">
        <f>if('Point Intercept 1'!E813 = 'Point Intercept 2'!E813, 'Point Intercept 1'!E813, "ERROR")</f>
        <v>CU</v>
      </c>
      <c r="F813" s="9">
        <f>if('Point Intercept 1'!F813 = 'Point Intercept 2'!F813, 'Point Intercept 1'!F813, "ERROR")</f>
        <v>1</v>
      </c>
      <c r="G813" s="9" t="str">
        <f>if('Point Intercept 1'!G813 = 'Point Intercept 2'!G813, 'Point Intercept 1'!G813, "ERROR")</f>
        <v>LS</v>
      </c>
      <c r="H813" s="9">
        <f>if('Point Intercept 1'!I813 = 'Point Intercept 2'!I813, 'Point Intercept 1'!I813, "ERROR")</f>
        <v>2</v>
      </c>
      <c r="I813" s="9">
        <f>if('Point Intercept 1'!H813 = 'Point Intercept 2'!H813, 'Point Intercept 1'!H813, "ERROR")</f>
        <v>2</v>
      </c>
      <c r="J813" s="9">
        <f>if('Point Intercept 1'!J813 = 'Point Intercept 2'!J813, 'Point Intercept 1'!J813, "ERROR")</f>
        <v>0.5</v>
      </c>
      <c r="K813" s="9" t="str">
        <f>if('Point Intercept 1'!K813 = 'Point Intercept 2'!K813, 'Point Intercept 1'!K813, "ERROR")</f>
        <v>S</v>
      </c>
      <c r="L813" s="9" t="str">
        <f>if('Point Intercept 1'!L813 = 'Point Intercept 2'!L813, 'Point Intercept 1'!L813, "ERROR")</f>
        <v>Stem</v>
      </c>
    </row>
    <row r="814">
      <c r="A814" s="9">
        <f>if('Point Intercept 1'!A814 = 'Point Intercept 2'!A814, 'Point Intercept 1'!A814, "ERROR")</f>
        <v>9</v>
      </c>
      <c r="B814" s="9">
        <f>if('Point Intercept 1'!B814 = 'Point Intercept 2'!B814, 'Point Intercept 1'!B814, "ERROR")</f>
        <v>2025</v>
      </c>
      <c r="C814" s="14">
        <f>if('Point Intercept 1'!C814 = 'Point Intercept 2'!C814, 'Point Intercept 1'!C814, "ERROR")</f>
        <v>45764</v>
      </c>
      <c r="D814" s="9" t="str">
        <f>if('Point Intercept 1'!D814 = 'Point Intercept 2'!D814, 'Point Intercept 1'!D814, "ERROR")</f>
        <v>TL, JR, AA</v>
      </c>
      <c r="E814" s="9" t="str">
        <f>if('Point Intercept 1'!E814 = 'Point Intercept 2'!E814, 'Point Intercept 1'!E814, "ERROR")</f>
        <v>CU</v>
      </c>
      <c r="F814" s="9">
        <f>if('Point Intercept 1'!F814 = 'Point Intercept 2'!F814, 'Point Intercept 1'!F814, "ERROR")</f>
        <v>1</v>
      </c>
      <c r="G814" s="9" t="str">
        <f>if('Point Intercept 1'!G814 = 'Point Intercept 2'!G814, 'Point Intercept 1'!G814, "ERROR")</f>
        <v>LS</v>
      </c>
      <c r="H814" s="9">
        <f>if('Point Intercept 1'!I814 = 'Point Intercept 2'!I814, 'Point Intercept 1'!I814, "ERROR")</f>
        <v>2</v>
      </c>
      <c r="I814" s="9">
        <f>if('Point Intercept 1'!H814 = 'Point Intercept 2'!H814, 'Point Intercept 1'!H814, "ERROR")</f>
        <v>2</v>
      </c>
      <c r="J814" s="9">
        <f>if('Point Intercept 1'!J814 = 'Point Intercept 2'!J814, 'Point Intercept 1'!J814, "ERROR")</f>
        <v>0.5</v>
      </c>
      <c r="K814" s="9" t="str">
        <f>if('Point Intercept 1'!K814 = 'Point Intercept 2'!K814, 'Point Intercept 1'!K814, "ERROR")</f>
        <v>OPULIT</v>
      </c>
      <c r="L814" s="9" t="str">
        <f>if('Point Intercept 1'!L814 = 'Point Intercept 2'!L814, 'Point Intercept 1'!L814, "ERROR")</f>
        <v>Opuntia littoralis</v>
      </c>
    </row>
    <row r="815">
      <c r="A815" s="9">
        <f>if('Point Intercept 1'!A815 = 'Point Intercept 2'!A815, 'Point Intercept 1'!A815, "ERROR")</f>
        <v>9</v>
      </c>
      <c r="B815" s="9">
        <f>if('Point Intercept 1'!B815 = 'Point Intercept 2'!B815, 'Point Intercept 1'!B815, "ERROR")</f>
        <v>2025</v>
      </c>
      <c r="C815" s="14">
        <f>if('Point Intercept 1'!C815 = 'Point Intercept 2'!C815, 'Point Intercept 1'!C815, "ERROR")</f>
        <v>45764</v>
      </c>
      <c r="D815" s="9" t="str">
        <f>if('Point Intercept 1'!D815 = 'Point Intercept 2'!D815, 'Point Intercept 1'!D815, "ERROR")</f>
        <v>TL, JR, AA</v>
      </c>
      <c r="E815" s="9" t="str">
        <f>if('Point Intercept 1'!E815 = 'Point Intercept 2'!E815, 'Point Intercept 1'!E815, "ERROR")</f>
        <v>CU</v>
      </c>
      <c r="F815" s="9">
        <f>if('Point Intercept 1'!F815 = 'Point Intercept 2'!F815, 'Point Intercept 1'!F815, "ERROR")</f>
        <v>1</v>
      </c>
      <c r="G815" s="9" t="str">
        <f>if('Point Intercept 1'!G815 = 'Point Intercept 2'!G815, 'Point Intercept 1'!G815, "ERROR")</f>
        <v>LS</v>
      </c>
      <c r="H815" s="9">
        <f>if('Point Intercept 1'!I815 = 'Point Intercept 2'!I815, 'Point Intercept 1'!I815, "ERROR")</f>
        <v>2</v>
      </c>
      <c r="I815" s="9">
        <f>if('Point Intercept 1'!H815 = 'Point Intercept 2'!H815, 'Point Intercept 1'!H815, "ERROR")</f>
        <v>2</v>
      </c>
      <c r="J815" s="9">
        <f>if('Point Intercept 1'!J815 = 'Point Intercept 2'!J815, 'Point Intercept 1'!J815, "ERROR")</f>
        <v>0.5</v>
      </c>
      <c r="K815" s="9" t="str">
        <f>if('Point Intercept 1'!K815 = 'Point Intercept 2'!K815, 'Point Intercept 1'!K815, "ERROR")</f>
        <v>BROMAD</v>
      </c>
      <c r="L815" s="9" t="str">
        <f>if('Point Intercept 1'!L815 = 'Point Intercept 2'!L815, 'Point Intercept 1'!L815, "ERROR")</f>
        <v>Bromus madritensis</v>
      </c>
    </row>
    <row r="816">
      <c r="A816" s="9">
        <f>if('Point Intercept 1'!A816 = 'Point Intercept 2'!A816, 'Point Intercept 1'!A816, "ERROR")</f>
        <v>9</v>
      </c>
      <c r="B816" s="9">
        <f>if('Point Intercept 1'!B816 = 'Point Intercept 2'!B816, 'Point Intercept 1'!B816, "ERROR")</f>
        <v>2025</v>
      </c>
      <c r="C816" s="14">
        <f>if('Point Intercept 1'!C816 = 'Point Intercept 2'!C816, 'Point Intercept 1'!C816, "ERROR")</f>
        <v>45764</v>
      </c>
      <c r="D816" s="9" t="str">
        <f>if('Point Intercept 1'!D816 = 'Point Intercept 2'!D816, 'Point Intercept 1'!D816, "ERROR")</f>
        <v>TL, JR, AA</v>
      </c>
      <c r="E816" s="9" t="str">
        <f>if('Point Intercept 1'!E816 = 'Point Intercept 2'!E816, 'Point Intercept 1'!E816, "ERROR")</f>
        <v>CU</v>
      </c>
      <c r="F816" s="9">
        <f>if('Point Intercept 1'!F816 = 'Point Intercept 2'!F816, 'Point Intercept 1'!F816, "ERROR")</f>
        <v>1</v>
      </c>
      <c r="G816" s="9" t="str">
        <f>if('Point Intercept 1'!G816 = 'Point Intercept 2'!G816, 'Point Intercept 1'!G816, "ERROR")</f>
        <v>LS</v>
      </c>
      <c r="H816" s="9">
        <f>if('Point Intercept 1'!I816 = 'Point Intercept 2'!I816, 'Point Intercept 1'!I816, "ERROR")</f>
        <v>3</v>
      </c>
      <c r="I816" s="9">
        <f>if('Point Intercept 1'!H816 = 'Point Intercept 2'!H816, 'Point Intercept 1'!H816, "ERROR")</f>
        <v>2</v>
      </c>
      <c r="J816" s="9">
        <f>if('Point Intercept 1'!J816 = 'Point Intercept 2'!J816, 'Point Intercept 1'!J816, "ERROR")</f>
        <v>1</v>
      </c>
      <c r="K816" s="9" t="str">
        <f>if('Point Intercept 1'!K816 = 'Point Intercept 2'!K816, 'Point Intercept 1'!K816, "ERROR")</f>
        <v>L</v>
      </c>
      <c r="L816" s="9" t="str">
        <f>if('Point Intercept 1'!L816 = 'Point Intercept 2'!L816, 'Point Intercept 1'!L816, "ERROR")</f>
        <v>Litter</v>
      </c>
    </row>
    <row r="817">
      <c r="A817" s="9">
        <f>if('Point Intercept 1'!A817 = 'Point Intercept 2'!A817, 'Point Intercept 1'!A817, "ERROR")</f>
        <v>9</v>
      </c>
      <c r="B817" s="9">
        <f>if('Point Intercept 1'!B817 = 'Point Intercept 2'!B817, 'Point Intercept 1'!B817, "ERROR")</f>
        <v>2025</v>
      </c>
      <c r="C817" s="14">
        <f>if('Point Intercept 1'!C817 = 'Point Intercept 2'!C817, 'Point Intercept 1'!C817, "ERROR")</f>
        <v>45764</v>
      </c>
      <c r="D817" s="9" t="str">
        <f>if('Point Intercept 1'!D817 = 'Point Intercept 2'!D817, 'Point Intercept 1'!D817, "ERROR")</f>
        <v>TL, JR, AA</v>
      </c>
      <c r="E817" s="9" t="str">
        <f>if('Point Intercept 1'!E817 = 'Point Intercept 2'!E817, 'Point Intercept 1'!E817, "ERROR")</f>
        <v>CU</v>
      </c>
      <c r="F817" s="9">
        <f>if('Point Intercept 1'!F817 = 'Point Intercept 2'!F817, 'Point Intercept 1'!F817, "ERROR")</f>
        <v>1</v>
      </c>
      <c r="G817" s="9" t="str">
        <f>if('Point Intercept 1'!G817 = 'Point Intercept 2'!G817, 'Point Intercept 1'!G817, "ERROR")</f>
        <v>LS</v>
      </c>
      <c r="H817" s="9">
        <f>if('Point Intercept 1'!I817 = 'Point Intercept 2'!I817, 'Point Intercept 1'!I817, "ERROR")</f>
        <v>3</v>
      </c>
      <c r="I817" s="9">
        <f>if('Point Intercept 1'!H817 = 'Point Intercept 2'!H817, 'Point Intercept 1'!H817, "ERROR")</f>
        <v>2</v>
      </c>
      <c r="J817" s="9">
        <f>if('Point Intercept 1'!J817 = 'Point Intercept 2'!J817, 'Point Intercept 1'!J817, "ERROR")</f>
        <v>1</v>
      </c>
      <c r="K817" s="9" t="str">
        <f>if('Point Intercept 1'!K817 = 'Point Intercept 2'!K817, 'Point Intercept 1'!K817, "ERROR")</f>
        <v>OPULIT</v>
      </c>
      <c r="L817" s="9" t="str">
        <f>if('Point Intercept 1'!L817 = 'Point Intercept 2'!L817, 'Point Intercept 1'!L817, "ERROR")</f>
        <v>Opuntia littoralis</v>
      </c>
    </row>
    <row r="818">
      <c r="A818" s="9">
        <f>if('Point Intercept 1'!A818 = 'Point Intercept 2'!A818, 'Point Intercept 1'!A818, "ERROR")</f>
        <v>9</v>
      </c>
      <c r="B818" s="9">
        <f>if('Point Intercept 1'!B818 = 'Point Intercept 2'!B818, 'Point Intercept 1'!B818, "ERROR")</f>
        <v>2025</v>
      </c>
      <c r="C818" s="14">
        <f>if('Point Intercept 1'!C818 = 'Point Intercept 2'!C818, 'Point Intercept 1'!C818, "ERROR")</f>
        <v>45764</v>
      </c>
      <c r="D818" s="9" t="str">
        <f>if('Point Intercept 1'!D818 = 'Point Intercept 2'!D818, 'Point Intercept 1'!D818, "ERROR")</f>
        <v>TL, JR, AA</v>
      </c>
      <c r="E818" s="9" t="str">
        <f>if('Point Intercept 1'!E818 = 'Point Intercept 2'!E818, 'Point Intercept 1'!E818, "ERROR")</f>
        <v>CU</v>
      </c>
      <c r="F818" s="9">
        <f>if('Point Intercept 1'!F818 = 'Point Intercept 2'!F818, 'Point Intercept 1'!F818, "ERROR")</f>
        <v>1</v>
      </c>
      <c r="G818" s="9" t="str">
        <f>if('Point Intercept 1'!G818 = 'Point Intercept 2'!G818, 'Point Intercept 1'!G818, "ERROR")</f>
        <v>LS</v>
      </c>
      <c r="H818" s="9">
        <f>if('Point Intercept 1'!I818 = 'Point Intercept 2'!I818, 'Point Intercept 1'!I818, "ERROR")</f>
        <v>3</v>
      </c>
      <c r="I818" s="9">
        <f>if('Point Intercept 1'!H818 = 'Point Intercept 2'!H818, 'Point Intercept 1'!H818, "ERROR")</f>
        <v>2</v>
      </c>
      <c r="J818" s="9">
        <f>if('Point Intercept 1'!J818 = 'Point Intercept 2'!J818, 'Point Intercept 1'!J818, "ERROR")</f>
        <v>1</v>
      </c>
      <c r="K818" s="9" t="str">
        <f>if('Point Intercept 1'!K818 = 'Point Intercept 2'!K818, 'Point Intercept 1'!K818, "ERROR")</f>
        <v>BROMAD</v>
      </c>
      <c r="L818" s="9" t="str">
        <f>if('Point Intercept 1'!L818 = 'Point Intercept 2'!L818, 'Point Intercept 1'!L818, "ERROR")</f>
        <v>Bromus madritensis</v>
      </c>
    </row>
    <row r="819">
      <c r="A819" s="9">
        <f>if('Point Intercept 1'!A819 = 'Point Intercept 2'!A819, 'Point Intercept 1'!A819, "ERROR")</f>
        <v>9</v>
      </c>
      <c r="B819" s="9">
        <f>if('Point Intercept 1'!B819 = 'Point Intercept 2'!B819, 'Point Intercept 1'!B819, "ERROR")</f>
        <v>2025</v>
      </c>
      <c r="C819" s="14">
        <f>if('Point Intercept 1'!C819 = 'Point Intercept 2'!C819, 'Point Intercept 1'!C819, "ERROR")</f>
        <v>45764</v>
      </c>
      <c r="D819" s="9" t="str">
        <f>if('Point Intercept 1'!D819 = 'Point Intercept 2'!D819, 'Point Intercept 1'!D819, "ERROR")</f>
        <v>TL, JR, AA</v>
      </c>
      <c r="E819" s="9" t="str">
        <f>if('Point Intercept 1'!E819 = 'Point Intercept 2'!E819, 'Point Intercept 1'!E819, "ERROR")</f>
        <v>CU</v>
      </c>
      <c r="F819" s="9">
        <f>if('Point Intercept 1'!F819 = 'Point Intercept 2'!F819, 'Point Intercept 1'!F819, "ERROR")</f>
        <v>1</v>
      </c>
      <c r="G819" s="9" t="str">
        <f>if('Point Intercept 1'!G819 = 'Point Intercept 2'!G819, 'Point Intercept 1'!G819, "ERROR")</f>
        <v>LS</v>
      </c>
      <c r="H819" s="9">
        <f>if('Point Intercept 1'!I819 = 'Point Intercept 2'!I819, 'Point Intercept 1'!I819, "ERROR")</f>
        <v>3</v>
      </c>
      <c r="I819" s="9">
        <f>if('Point Intercept 1'!H819 = 'Point Intercept 2'!H819, 'Point Intercept 1'!H819, "ERROR")</f>
        <v>2</v>
      </c>
      <c r="J819" s="9">
        <f>if('Point Intercept 1'!J819 = 'Point Intercept 2'!J819, 'Point Intercept 1'!J819, "ERROR")</f>
        <v>1</v>
      </c>
      <c r="K819" s="9" t="str">
        <f>if('Point Intercept 1'!K819 = 'Point Intercept 2'!K819, 'Point Intercept 1'!K819, "ERROR")</f>
        <v>ANAARV</v>
      </c>
      <c r="L819" s="9" t="str">
        <f>if('Point Intercept 1'!L819 = 'Point Intercept 2'!L819, 'Point Intercept 1'!L819, "ERROR")</f>
        <v>Anagallis arvensis</v>
      </c>
    </row>
    <row r="820">
      <c r="A820" s="9">
        <f>if('Point Intercept 1'!A820 = 'Point Intercept 2'!A820, 'Point Intercept 1'!A820, "ERROR")</f>
        <v>9</v>
      </c>
      <c r="B820" s="9">
        <f>if('Point Intercept 1'!B820 = 'Point Intercept 2'!B820, 'Point Intercept 1'!B820, "ERROR")</f>
        <v>2025</v>
      </c>
      <c r="C820" s="14">
        <f>if('Point Intercept 1'!C820 = 'Point Intercept 2'!C820, 'Point Intercept 1'!C820, "ERROR")</f>
        <v>45764</v>
      </c>
      <c r="D820" s="9" t="str">
        <f>if('Point Intercept 1'!D820 = 'Point Intercept 2'!D820, 'Point Intercept 1'!D820, "ERROR")</f>
        <v>TL, JR, AA</v>
      </c>
      <c r="E820" s="9" t="str">
        <f>if('Point Intercept 1'!E820 = 'Point Intercept 2'!E820, 'Point Intercept 1'!E820, "ERROR")</f>
        <v>CU</v>
      </c>
      <c r="F820" s="9">
        <f>if('Point Intercept 1'!F820 = 'Point Intercept 2'!F820, 'Point Intercept 1'!F820, "ERROR")</f>
        <v>1</v>
      </c>
      <c r="G820" s="9" t="str">
        <f>if('Point Intercept 1'!G820 = 'Point Intercept 2'!G820, 'Point Intercept 1'!G820, "ERROR")</f>
        <v>LS</v>
      </c>
      <c r="H820" s="9">
        <f>if('Point Intercept 1'!I820 = 'Point Intercept 2'!I820, 'Point Intercept 1'!I820, "ERROR")</f>
        <v>3</v>
      </c>
      <c r="I820" s="9">
        <f>if('Point Intercept 1'!H820 = 'Point Intercept 2'!H820, 'Point Intercept 1'!H820, "ERROR")</f>
        <v>2</v>
      </c>
      <c r="J820" s="9">
        <f>if('Point Intercept 1'!J820 = 'Point Intercept 2'!J820, 'Point Intercept 1'!J820, "ERROR")</f>
        <v>1</v>
      </c>
      <c r="K820" s="9" t="str">
        <f>if('Point Intercept 1'!K820 = 'Point Intercept 2'!K820, 'Point Intercept 1'!K820, "ERROR")</f>
        <v>DEIFAS</v>
      </c>
      <c r="L820" s="9" t="str">
        <f>if('Point Intercept 1'!L820 = 'Point Intercept 2'!L820, 'Point Intercept 1'!L820, "ERROR")</f>
        <v>Deinandra fasciculata</v>
      </c>
    </row>
    <row r="821">
      <c r="A821" s="9">
        <f>if('Point Intercept 1'!A821 = 'Point Intercept 2'!A821, 'Point Intercept 1'!A821, "ERROR")</f>
        <v>9</v>
      </c>
      <c r="B821" s="9">
        <f>if('Point Intercept 1'!B821 = 'Point Intercept 2'!B821, 'Point Intercept 1'!B821, "ERROR")</f>
        <v>2025</v>
      </c>
      <c r="C821" s="14">
        <f>if('Point Intercept 1'!C821 = 'Point Intercept 2'!C821, 'Point Intercept 1'!C821, "ERROR")</f>
        <v>45764</v>
      </c>
      <c r="D821" s="9" t="str">
        <f>if('Point Intercept 1'!D821 = 'Point Intercept 2'!D821, 'Point Intercept 1'!D821, "ERROR")</f>
        <v>TL, JR, AA</v>
      </c>
      <c r="E821" s="9" t="str">
        <f>if('Point Intercept 1'!E821 = 'Point Intercept 2'!E821, 'Point Intercept 1'!E821, "ERROR")</f>
        <v>CU</v>
      </c>
      <c r="F821" s="9">
        <f>if('Point Intercept 1'!F821 = 'Point Intercept 2'!F821, 'Point Intercept 1'!F821, "ERROR")</f>
        <v>1</v>
      </c>
      <c r="G821" s="9" t="str">
        <f>if('Point Intercept 1'!G821 = 'Point Intercept 2'!G821, 'Point Intercept 1'!G821, "ERROR")</f>
        <v>LS</v>
      </c>
      <c r="H821" s="9">
        <f>if('Point Intercept 1'!I821 = 'Point Intercept 2'!I821, 'Point Intercept 1'!I821, "ERROR")</f>
        <v>4</v>
      </c>
      <c r="I821" s="9">
        <f>if('Point Intercept 1'!H821 = 'Point Intercept 2'!H821, 'Point Intercept 1'!H821, "ERROR")</f>
        <v>2</v>
      </c>
      <c r="J821" s="9">
        <f>if('Point Intercept 1'!J821 = 'Point Intercept 2'!J821, 'Point Intercept 1'!J821, "ERROR")</f>
        <v>1.5</v>
      </c>
      <c r="K821" s="9" t="str">
        <f>if('Point Intercept 1'!K821 = 'Point Intercept 2'!K821, 'Point Intercept 1'!K821, "ERROR")</f>
        <v>B</v>
      </c>
      <c r="L821" s="9" t="str">
        <f>if('Point Intercept 1'!L821 = 'Point Intercept 2'!L821, 'Point Intercept 1'!L821, "ERROR")</f>
        <v>Bareground</v>
      </c>
    </row>
    <row r="822">
      <c r="A822" s="9">
        <f>if('Point Intercept 1'!A822 = 'Point Intercept 2'!A822, 'Point Intercept 1'!A822, "ERROR")</f>
        <v>9</v>
      </c>
      <c r="B822" s="9">
        <f>if('Point Intercept 1'!B822 = 'Point Intercept 2'!B822, 'Point Intercept 1'!B822, "ERROR")</f>
        <v>2025</v>
      </c>
      <c r="C822" s="14">
        <f>if('Point Intercept 1'!C822 = 'Point Intercept 2'!C822, 'Point Intercept 1'!C822, "ERROR")</f>
        <v>45764</v>
      </c>
      <c r="D822" s="9" t="str">
        <f>if('Point Intercept 1'!D822 = 'Point Intercept 2'!D822, 'Point Intercept 1'!D822, "ERROR")</f>
        <v>TL, JR, AA</v>
      </c>
      <c r="E822" s="9" t="str">
        <f>if('Point Intercept 1'!E822 = 'Point Intercept 2'!E822, 'Point Intercept 1'!E822, "ERROR")</f>
        <v>CU</v>
      </c>
      <c r="F822" s="9">
        <f>if('Point Intercept 1'!F822 = 'Point Intercept 2'!F822, 'Point Intercept 1'!F822, "ERROR")</f>
        <v>1</v>
      </c>
      <c r="G822" s="9" t="str">
        <f>if('Point Intercept 1'!G822 = 'Point Intercept 2'!G822, 'Point Intercept 1'!G822, "ERROR")</f>
        <v>LS</v>
      </c>
      <c r="H822" s="9">
        <f>if('Point Intercept 1'!I822 = 'Point Intercept 2'!I822, 'Point Intercept 1'!I822, "ERROR")</f>
        <v>4</v>
      </c>
      <c r="I822" s="9">
        <f>if('Point Intercept 1'!H822 = 'Point Intercept 2'!H822, 'Point Intercept 1'!H822, "ERROR")</f>
        <v>2</v>
      </c>
      <c r="J822" s="9">
        <f>if('Point Intercept 1'!J822 = 'Point Intercept 2'!J822, 'Point Intercept 1'!J822, "ERROR")</f>
        <v>1.5</v>
      </c>
      <c r="K822" s="9" t="str">
        <f>if('Point Intercept 1'!K822 = 'Point Intercept 2'!K822, 'Point Intercept 1'!K822, "ERROR")</f>
        <v>FESMYU</v>
      </c>
      <c r="L822" s="9" t="str">
        <f>if('Point Intercept 1'!L822 = 'Point Intercept 2'!L822, 'Point Intercept 1'!L822, "ERROR")</f>
        <v>Festuca myuros</v>
      </c>
    </row>
    <row r="823">
      <c r="A823" s="9">
        <f>if('Point Intercept 1'!A823 = 'Point Intercept 2'!A823, 'Point Intercept 1'!A823, "ERROR")</f>
        <v>9</v>
      </c>
      <c r="B823" s="9">
        <f>if('Point Intercept 1'!B823 = 'Point Intercept 2'!B823, 'Point Intercept 1'!B823, "ERROR")</f>
        <v>2025</v>
      </c>
      <c r="C823" s="14">
        <f>if('Point Intercept 1'!C823 = 'Point Intercept 2'!C823, 'Point Intercept 1'!C823, "ERROR")</f>
        <v>45764</v>
      </c>
      <c r="D823" s="9" t="str">
        <f>if('Point Intercept 1'!D823 = 'Point Intercept 2'!D823, 'Point Intercept 1'!D823, "ERROR")</f>
        <v>TL, JR, AA</v>
      </c>
      <c r="E823" s="9" t="str">
        <f>if('Point Intercept 1'!E823 = 'Point Intercept 2'!E823, 'Point Intercept 1'!E823, "ERROR")</f>
        <v>CU</v>
      </c>
      <c r="F823" s="9">
        <f>if('Point Intercept 1'!F823 = 'Point Intercept 2'!F823, 'Point Intercept 1'!F823, "ERROR")</f>
        <v>1</v>
      </c>
      <c r="G823" s="9" t="str">
        <f>if('Point Intercept 1'!G823 = 'Point Intercept 2'!G823, 'Point Intercept 1'!G823, "ERROR")</f>
        <v>LS</v>
      </c>
      <c r="H823" s="9">
        <f>if('Point Intercept 1'!I823 = 'Point Intercept 2'!I823, 'Point Intercept 1'!I823, "ERROR")</f>
        <v>5</v>
      </c>
      <c r="I823" s="9">
        <f>if('Point Intercept 1'!H823 = 'Point Intercept 2'!H823, 'Point Intercept 1'!H823, "ERROR")</f>
        <v>2</v>
      </c>
      <c r="J823" s="9">
        <f>if('Point Intercept 1'!J823 = 'Point Intercept 2'!J823, 'Point Intercept 1'!J823, "ERROR")</f>
        <v>2.5</v>
      </c>
      <c r="K823" s="9" t="str">
        <f>if('Point Intercept 1'!K823 = 'Point Intercept 2'!K823, 'Point Intercept 1'!K823, "ERROR")</f>
        <v>L</v>
      </c>
      <c r="L823" s="9" t="str">
        <f>if('Point Intercept 1'!L823 = 'Point Intercept 2'!L823, 'Point Intercept 1'!L823, "ERROR")</f>
        <v>Litter</v>
      </c>
    </row>
    <row r="824">
      <c r="A824" s="9">
        <f>if('Point Intercept 1'!A824 = 'Point Intercept 2'!A824, 'Point Intercept 1'!A824, "ERROR")</f>
        <v>9</v>
      </c>
      <c r="B824" s="9">
        <f>if('Point Intercept 1'!B824 = 'Point Intercept 2'!B824, 'Point Intercept 1'!B824, "ERROR")</f>
        <v>2025</v>
      </c>
      <c r="C824" s="14">
        <f>if('Point Intercept 1'!C824 = 'Point Intercept 2'!C824, 'Point Intercept 1'!C824, "ERROR")</f>
        <v>45764</v>
      </c>
      <c r="D824" s="9" t="str">
        <f>if('Point Intercept 1'!D824 = 'Point Intercept 2'!D824, 'Point Intercept 1'!D824, "ERROR")</f>
        <v>TL, JR, AA</v>
      </c>
      <c r="E824" s="9" t="str">
        <f>if('Point Intercept 1'!E824 = 'Point Intercept 2'!E824, 'Point Intercept 1'!E824, "ERROR")</f>
        <v>CU</v>
      </c>
      <c r="F824" s="9">
        <f>if('Point Intercept 1'!F824 = 'Point Intercept 2'!F824, 'Point Intercept 1'!F824, "ERROR")</f>
        <v>1</v>
      </c>
      <c r="G824" s="9" t="str">
        <f>if('Point Intercept 1'!G824 = 'Point Intercept 2'!G824, 'Point Intercept 1'!G824, "ERROR")</f>
        <v>LS</v>
      </c>
      <c r="H824" s="9">
        <f>if('Point Intercept 1'!I824 = 'Point Intercept 2'!I824, 'Point Intercept 1'!I824, "ERROR")</f>
        <v>5</v>
      </c>
      <c r="I824" s="9">
        <f>if('Point Intercept 1'!H824 = 'Point Intercept 2'!H824, 'Point Intercept 1'!H824, "ERROR")</f>
        <v>2</v>
      </c>
      <c r="J824" s="9">
        <f>if('Point Intercept 1'!J824 = 'Point Intercept 2'!J824, 'Point Intercept 1'!J824, "ERROR")</f>
        <v>2.5</v>
      </c>
      <c r="K824" s="9" t="str">
        <f>if('Point Intercept 1'!K824 = 'Point Intercept 2'!K824, 'Point Intercept 1'!K824, "ERROR")</f>
        <v>CENMEL</v>
      </c>
      <c r="L824" s="9" t="str">
        <f>if('Point Intercept 1'!L824 = 'Point Intercept 2'!L824, 'Point Intercept 1'!L824, "ERROR")</f>
        <v>Centaurea melitensis</v>
      </c>
    </row>
    <row r="825">
      <c r="A825" s="9">
        <f>if('Point Intercept 1'!A825 = 'Point Intercept 2'!A825, 'Point Intercept 1'!A825, "ERROR")</f>
        <v>9</v>
      </c>
      <c r="B825" s="9">
        <f>if('Point Intercept 1'!B825 = 'Point Intercept 2'!B825, 'Point Intercept 1'!B825, "ERROR")</f>
        <v>2025</v>
      </c>
      <c r="C825" s="14">
        <f>if('Point Intercept 1'!C825 = 'Point Intercept 2'!C825, 'Point Intercept 1'!C825, "ERROR")</f>
        <v>45764</v>
      </c>
      <c r="D825" s="9" t="str">
        <f>if('Point Intercept 1'!D825 = 'Point Intercept 2'!D825, 'Point Intercept 1'!D825, "ERROR")</f>
        <v>TL, JR, AA</v>
      </c>
      <c r="E825" s="9" t="str">
        <f>if('Point Intercept 1'!E825 = 'Point Intercept 2'!E825, 'Point Intercept 1'!E825, "ERROR")</f>
        <v>CU</v>
      </c>
      <c r="F825" s="9">
        <f>if('Point Intercept 1'!F825 = 'Point Intercept 2'!F825, 'Point Intercept 1'!F825, "ERROR")</f>
        <v>1</v>
      </c>
      <c r="G825" s="9" t="str">
        <f>if('Point Intercept 1'!G825 = 'Point Intercept 2'!G825, 'Point Intercept 1'!G825, "ERROR")</f>
        <v>LS</v>
      </c>
      <c r="H825" s="9">
        <f>if('Point Intercept 1'!I825 = 'Point Intercept 2'!I825, 'Point Intercept 1'!I825, "ERROR")</f>
        <v>5</v>
      </c>
      <c r="I825" s="9">
        <f>if('Point Intercept 1'!H825 = 'Point Intercept 2'!H825, 'Point Intercept 1'!H825, "ERROR")</f>
        <v>2</v>
      </c>
      <c r="J825" s="9">
        <f>if('Point Intercept 1'!J825 = 'Point Intercept 2'!J825, 'Point Intercept 1'!J825, "ERROR")</f>
        <v>2.5</v>
      </c>
      <c r="K825" s="9" t="str">
        <f>if('Point Intercept 1'!K825 = 'Point Intercept 2'!K825, 'Point Intercept 1'!K825, "ERROR")</f>
        <v>SONASP</v>
      </c>
      <c r="L825" s="9" t="str">
        <f>if('Point Intercept 1'!L825 = 'Point Intercept 2'!L825, 'Point Intercept 1'!L825, "ERROR")</f>
        <v>Sonchus asper</v>
      </c>
    </row>
    <row r="826">
      <c r="A826" s="9">
        <f>if('Point Intercept 1'!A826 = 'Point Intercept 2'!A826, 'Point Intercept 1'!A826, "ERROR")</f>
        <v>9</v>
      </c>
      <c r="B826" s="9">
        <f>if('Point Intercept 1'!B826 = 'Point Intercept 2'!B826, 'Point Intercept 1'!B826, "ERROR")</f>
        <v>2025</v>
      </c>
      <c r="C826" s="14">
        <f>if('Point Intercept 1'!C826 = 'Point Intercept 2'!C826, 'Point Intercept 1'!C826, "ERROR")</f>
        <v>45764</v>
      </c>
      <c r="D826" s="9" t="str">
        <f>if('Point Intercept 1'!D826 = 'Point Intercept 2'!D826, 'Point Intercept 1'!D826, "ERROR")</f>
        <v>TL, JR, AA</v>
      </c>
      <c r="E826" s="9" t="str">
        <f>if('Point Intercept 1'!E826 = 'Point Intercept 2'!E826, 'Point Intercept 1'!E826, "ERROR")</f>
        <v>CU</v>
      </c>
      <c r="F826" s="9">
        <f>if('Point Intercept 1'!F826 = 'Point Intercept 2'!F826, 'Point Intercept 1'!F826, "ERROR")</f>
        <v>1</v>
      </c>
      <c r="G826" s="9" t="str">
        <f>if('Point Intercept 1'!G826 = 'Point Intercept 2'!G826, 'Point Intercept 1'!G826, "ERROR")</f>
        <v>LS</v>
      </c>
      <c r="H826" s="9">
        <f>if('Point Intercept 1'!I826 = 'Point Intercept 2'!I826, 'Point Intercept 1'!I826, "ERROR")</f>
        <v>6</v>
      </c>
      <c r="I826" s="9">
        <f>if('Point Intercept 1'!H826 = 'Point Intercept 2'!H826, 'Point Intercept 1'!H826, "ERROR")</f>
        <v>2</v>
      </c>
      <c r="J826" s="9">
        <f>if('Point Intercept 1'!J826 = 'Point Intercept 2'!J826, 'Point Intercept 1'!J826, "ERROR")</f>
        <v>3</v>
      </c>
      <c r="K826" s="9" t="str">
        <f>if('Point Intercept 1'!K826 = 'Point Intercept 2'!K826, 'Point Intercept 1'!K826, "ERROR")</f>
        <v>L</v>
      </c>
      <c r="L826" s="9" t="str">
        <f>if('Point Intercept 1'!L826 = 'Point Intercept 2'!L826, 'Point Intercept 1'!L826, "ERROR")</f>
        <v>Litter</v>
      </c>
    </row>
    <row r="827">
      <c r="A827" s="9">
        <f>if('Point Intercept 1'!A827 = 'Point Intercept 2'!A827, 'Point Intercept 1'!A827, "ERROR")</f>
        <v>9</v>
      </c>
      <c r="B827" s="9">
        <f>if('Point Intercept 1'!B827 = 'Point Intercept 2'!B827, 'Point Intercept 1'!B827, "ERROR")</f>
        <v>2025</v>
      </c>
      <c r="C827" s="14">
        <f>if('Point Intercept 1'!C827 = 'Point Intercept 2'!C827, 'Point Intercept 1'!C827, "ERROR")</f>
        <v>45764</v>
      </c>
      <c r="D827" s="9" t="str">
        <f>if('Point Intercept 1'!D827 = 'Point Intercept 2'!D827, 'Point Intercept 1'!D827, "ERROR")</f>
        <v>TL, JR, AA</v>
      </c>
      <c r="E827" s="9" t="str">
        <f>if('Point Intercept 1'!E827 = 'Point Intercept 2'!E827, 'Point Intercept 1'!E827, "ERROR")</f>
        <v>CU</v>
      </c>
      <c r="F827" s="9">
        <f>if('Point Intercept 1'!F827 = 'Point Intercept 2'!F827, 'Point Intercept 1'!F827, "ERROR")</f>
        <v>1</v>
      </c>
      <c r="G827" s="9" t="str">
        <f>if('Point Intercept 1'!G827 = 'Point Intercept 2'!G827, 'Point Intercept 1'!G827, "ERROR")</f>
        <v>LS</v>
      </c>
      <c r="H827" s="9">
        <f>if('Point Intercept 1'!I827 = 'Point Intercept 2'!I827, 'Point Intercept 1'!I827, "ERROR")</f>
        <v>6</v>
      </c>
      <c r="I827" s="9">
        <f>if('Point Intercept 1'!H827 = 'Point Intercept 2'!H827, 'Point Intercept 1'!H827, "ERROR")</f>
        <v>2</v>
      </c>
      <c r="J827" s="9">
        <f>if('Point Intercept 1'!J827 = 'Point Intercept 2'!J827, 'Point Intercept 1'!J827, "ERROR")</f>
        <v>3</v>
      </c>
      <c r="K827" s="9" t="str">
        <f>if('Point Intercept 1'!K827 = 'Point Intercept 2'!K827, 'Point Intercept 1'!K827, "ERROR")</f>
        <v>CYLPRO</v>
      </c>
      <c r="L827" s="9" t="str">
        <f>if('Point Intercept 1'!L827 = 'Point Intercept 2'!L827, 'Point Intercept 1'!L827, "ERROR")</f>
        <v>Cylindropuntia prolifera</v>
      </c>
    </row>
    <row r="828">
      <c r="A828" s="9">
        <f>if('Point Intercept 1'!A828 = 'Point Intercept 2'!A828, 'Point Intercept 1'!A828, "ERROR")</f>
        <v>9</v>
      </c>
      <c r="B828" s="9">
        <f>if('Point Intercept 1'!B828 = 'Point Intercept 2'!B828, 'Point Intercept 1'!B828, "ERROR")</f>
        <v>2025</v>
      </c>
      <c r="C828" s="14">
        <f>if('Point Intercept 1'!C828 = 'Point Intercept 2'!C828, 'Point Intercept 1'!C828, "ERROR")</f>
        <v>45764</v>
      </c>
      <c r="D828" s="9" t="str">
        <f>if('Point Intercept 1'!D828 = 'Point Intercept 2'!D828, 'Point Intercept 1'!D828, "ERROR")</f>
        <v>TL, JR, AA</v>
      </c>
      <c r="E828" s="9" t="str">
        <f>if('Point Intercept 1'!E828 = 'Point Intercept 2'!E828, 'Point Intercept 1'!E828, "ERROR")</f>
        <v>CU</v>
      </c>
      <c r="F828" s="9">
        <f>if('Point Intercept 1'!F828 = 'Point Intercept 2'!F828, 'Point Intercept 1'!F828, "ERROR")</f>
        <v>1</v>
      </c>
      <c r="G828" s="9" t="str">
        <f>if('Point Intercept 1'!G828 = 'Point Intercept 2'!G828, 'Point Intercept 1'!G828, "ERROR")</f>
        <v>LS</v>
      </c>
      <c r="H828" s="9">
        <f>if('Point Intercept 1'!I828 = 'Point Intercept 2'!I828, 'Point Intercept 1'!I828, "ERROR")</f>
        <v>6</v>
      </c>
      <c r="I828" s="9">
        <f>if('Point Intercept 1'!H828 = 'Point Intercept 2'!H828, 'Point Intercept 1'!H828, "ERROR")</f>
        <v>2</v>
      </c>
      <c r="J828" s="9">
        <f>if('Point Intercept 1'!J828 = 'Point Intercept 2'!J828, 'Point Intercept 1'!J828, "ERROR")</f>
        <v>3</v>
      </c>
      <c r="K828" s="9" t="str">
        <f>if('Point Intercept 1'!K828 = 'Point Intercept 2'!K828, 'Point Intercept 1'!K828, "ERROR")</f>
        <v>FESMYU</v>
      </c>
      <c r="L828" s="9" t="str">
        <f>if('Point Intercept 1'!L828 = 'Point Intercept 2'!L828, 'Point Intercept 1'!L828, "ERROR")</f>
        <v>Festuca myuros</v>
      </c>
    </row>
    <row r="829">
      <c r="A829" s="9">
        <f>if('Point Intercept 1'!A829 = 'Point Intercept 2'!A829, 'Point Intercept 1'!A829, "ERROR")</f>
        <v>9</v>
      </c>
      <c r="B829" s="9">
        <f>if('Point Intercept 1'!B829 = 'Point Intercept 2'!B829, 'Point Intercept 1'!B829, "ERROR")</f>
        <v>2025</v>
      </c>
      <c r="C829" s="14">
        <f>if('Point Intercept 1'!C829 = 'Point Intercept 2'!C829, 'Point Intercept 1'!C829, "ERROR")</f>
        <v>45764</v>
      </c>
      <c r="D829" s="9" t="str">
        <f>if('Point Intercept 1'!D829 = 'Point Intercept 2'!D829, 'Point Intercept 1'!D829, "ERROR")</f>
        <v>TL, JR, AA</v>
      </c>
      <c r="E829" s="9" t="str">
        <f>if('Point Intercept 1'!E829 = 'Point Intercept 2'!E829, 'Point Intercept 1'!E829, "ERROR")</f>
        <v>CU</v>
      </c>
      <c r="F829" s="9">
        <f>if('Point Intercept 1'!F829 = 'Point Intercept 2'!F829, 'Point Intercept 1'!F829, "ERROR")</f>
        <v>1</v>
      </c>
      <c r="G829" s="9" t="str">
        <f>if('Point Intercept 1'!G829 = 'Point Intercept 2'!G829, 'Point Intercept 1'!G829, "ERROR")</f>
        <v>LS</v>
      </c>
      <c r="H829" s="9">
        <f>if('Point Intercept 1'!I829 = 'Point Intercept 2'!I829, 'Point Intercept 1'!I829, "ERROR")</f>
        <v>6</v>
      </c>
      <c r="I829" s="9">
        <f>if('Point Intercept 1'!H829 = 'Point Intercept 2'!H829, 'Point Intercept 1'!H829, "ERROR")</f>
        <v>2</v>
      </c>
      <c r="J829" s="9">
        <f>if('Point Intercept 1'!J829 = 'Point Intercept 2'!J829, 'Point Intercept 1'!J829, "ERROR")</f>
        <v>3</v>
      </c>
      <c r="K829" s="9" t="str">
        <f>if('Point Intercept 1'!K829 = 'Point Intercept 2'!K829, 'Point Intercept 1'!K829, "ERROR")</f>
        <v>BROMAD</v>
      </c>
      <c r="L829" s="9" t="str">
        <f>if('Point Intercept 1'!L829 = 'Point Intercept 2'!L829, 'Point Intercept 1'!L829, "ERROR")</f>
        <v>Bromus madritensis</v>
      </c>
    </row>
    <row r="830">
      <c r="A830" s="9">
        <f>if('Point Intercept 1'!A830 = 'Point Intercept 2'!A830, 'Point Intercept 1'!A830, "ERROR")</f>
        <v>9</v>
      </c>
      <c r="B830" s="9">
        <f>if('Point Intercept 1'!B830 = 'Point Intercept 2'!B830, 'Point Intercept 1'!B830, "ERROR")</f>
        <v>2025</v>
      </c>
      <c r="C830" s="14">
        <f>if('Point Intercept 1'!C830 = 'Point Intercept 2'!C830, 'Point Intercept 1'!C830, "ERROR")</f>
        <v>45764</v>
      </c>
      <c r="D830" s="9" t="str">
        <f>if('Point Intercept 1'!D830 = 'Point Intercept 2'!D830, 'Point Intercept 1'!D830, "ERROR")</f>
        <v>TL, JR, AA</v>
      </c>
      <c r="E830" s="9" t="str">
        <f>if('Point Intercept 1'!E830 = 'Point Intercept 2'!E830, 'Point Intercept 1'!E830, "ERROR")</f>
        <v>CU</v>
      </c>
      <c r="F830" s="9">
        <f>if('Point Intercept 1'!F830 = 'Point Intercept 2'!F830, 'Point Intercept 1'!F830, "ERROR")</f>
        <v>1</v>
      </c>
      <c r="G830" s="9" t="str">
        <f>if('Point Intercept 1'!G830 = 'Point Intercept 2'!G830, 'Point Intercept 1'!G830, "ERROR")</f>
        <v>LS</v>
      </c>
      <c r="H830" s="9">
        <f>if('Point Intercept 1'!I830 = 'Point Intercept 2'!I830, 'Point Intercept 1'!I830, "ERROR")</f>
        <v>6</v>
      </c>
      <c r="I830" s="9">
        <f>if('Point Intercept 1'!H830 = 'Point Intercept 2'!H830, 'Point Intercept 1'!H830, "ERROR")</f>
        <v>2</v>
      </c>
      <c r="J830" s="9">
        <f>if('Point Intercept 1'!J830 = 'Point Intercept 2'!J830, 'Point Intercept 1'!J830, "ERROR")</f>
        <v>3</v>
      </c>
      <c r="K830" s="9" t="str">
        <f>if('Point Intercept 1'!K830 = 'Point Intercept 2'!K830, 'Point Intercept 1'!K830, "ERROR")</f>
        <v>DEIFAS</v>
      </c>
      <c r="L830" s="9" t="str">
        <f>if('Point Intercept 1'!L830 = 'Point Intercept 2'!L830, 'Point Intercept 1'!L830, "ERROR")</f>
        <v>Deinandra fasciculata</v>
      </c>
    </row>
    <row r="831">
      <c r="A831" s="9">
        <f>if('Point Intercept 1'!A831 = 'Point Intercept 2'!A831, 'Point Intercept 1'!A831, "ERROR")</f>
        <v>9</v>
      </c>
      <c r="B831" s="9">
        <f>if('Point Intercept 1'!B831 = 'Point Intercept 2'!B831, 'Point Intercept 1'!B831, "ERROR")</f>
        <v>2025</v>
      </c>
      <c r="C831" s="14">
        <f>if('Point Intercept 1'!C831 = 'Point Intercept 2'!C831, 'Point Intercept 1'!C831, "ERROR")</f>
        <v>45764</v>
      </c>
      <c r="D831" s="9" t="str">
        <f>if('Point Intercept 1'!D831 = 'Point Intercept 2'!D831, 'Point Intercept 1'!D831, "ERROR")</f>
        <v>TL, JR, AA</v>
      </c>
      <c r="E831" s="9" t="str">
        <f>if('Point Intercept 1'!E831 = 'Point Intercept 2'!E831, 'Point Intercept 1'!E831, "ERROR")</f>
        <v>CU</v>
      </c>
      <c r="F831" s="9">
        <f>if('Point Intercept 1'!F831 = 'Point Intercept 2'!F831, 'Point Intercept 1'!F831, "ERROR")</f>
        <v>1</v>
      </c>
      <c r="G831" s="9" t="str">
        <f>if('Point Intercept 1'!G831 = 'Point Intercept 2'!G831, 'Point Intercept 1'!G831, "ERROR")</f>
        <v>LS</v>
      </c>
      <c r="H831" s="9">
        <f>if('Point Intercept 1'!I831 = 'Point Intercept 2'!I831, 'Point Intercept 1'!I831, "ERROR")</f>
        <v>7</v>
      </c>
      <c r="I831" s="9">
        <f>if('Point Intercept 1'!H831 = 'Point Intercept 2'!H831, 'Point Intercept 1'!H831, "ERROR")</f>
        <v>2</v>
      </c>
      <c r="J831" s="9">
        <f>if('Point Intercept 1'!J831 = 'Point Intercept 2'!J831, 'Point Intercept 1'!J831, "ERROR")</f>
        <v>3.5</v>
      </c>
      <c r="K831" s="9" t="str">
        <f>if('Point Intercept 1'!K831 = 'Point Intercept 2'!K831, 'Point Intercept 1'!K831, "ERROR")</f>
        <v>L</v>
      </c>
      <c r="L831" s="9" t="str">
        <f>if('Point Intercept 1'!L831 = 'Point Intercept 2'!L831, 'Point Intercept 1'!L831, "ERROR")</f>
        <v>Litter</v>
      </c>
    </row>
    <row r="832">
      <c r="A832" s="9">
        <f>if('Point Intercept 1'!A832 = 'Point Intercept 2'!A832, 'Point Intercept 1'!A832, "ERROR")</f>
        <v>9</v>
      </c>
      <c r="B832" s="9">
        <f>if('Point Intercept 1'!B832 = 'Point Intercept 2'!B832, 'Point Intercept 1'!B832, "ERROR")</f>
        <v>2025</v>
      </c>
      <c r="C832" s="14">
        <f>if('Point Intercept 1'!C832 = 'Point Intercept 2'!C832, 'Point Intercept 1'!C832, "ERROR")</f>
        <v>45764</v>
      </c>
      <c r="D832" s="9" t="str">
        <f>if('Point Intercept 1'!D832 = 'Point Intercept 2'!D832, 'Point Intercept 1'!D832, "ERROR")</f>
        <v>TL, JR, AA</v>
      </c>
      <c r="E832" s="9" t="str">
        <f>if('Point Intercept 1'!E832 = 'Point Intercept 2'!E832, 'Point Intercept 1'!E832, "ERROR")</f>
        <v>CU</v>
      </c>
      <c r="F832" s="9">
        <f>if('Point Intercept 1'!F832 = 'Point Intercept 2'!F832, 'Point Intercept 1'!F832, "ERROR")</f>
        <v>1</v>
      </c>
      <c r="G832" s="9" t="str">
        <f>if('Point Intercept 1'!G832 = 'Point Intercept 2'!G832, 'Point Intercept 1'!G832, "ERROR")</f>
        <v>LS</v>
      </c>
      <c r="H832" s="9">
        <f>if('Point Intercept 1'!I832 = 'Point Intercept 2'!I832, 'Point Intercept 1'!I832, "ERROR")</f>
        <v>7</v>
      </c>
      <c r="I832" s="9">
        <f>if('Point Intercept 1'!H832 = 'Point Intercept 2'!H832, 'Point Intercept 1'!H832, "ERROR")</f>
        <v>2</v>
      </c>
      <c r="J832" s="9">
        <f>if('Point Intercept 1'!J832 = 'Point Intercept 2'!J832, 'Point Intercept 1'!J832, "ERROR")</f>
        <v>3.5</v>
      </c>
      <c r="K832" s="9" t="str">
        <f>if('Point Intercept 1'!K832 = 'Point Intercept 2'!K832, 'Point Intercept 1'!K832, "ERROR")</f>
        <v>SONASP</v>
      </c>
      <c r="L832" s="9" t="str">
        <f>if('Point Intercept 1'!L832 = 'Point Intercept 2'!L832, 'Point Intercept 1'!L832, "ERROR")</f>
        <v>Sonchus asper</v>
      </c>
    </row>
    <row r="833">
      <c r="A833" s="9">
        <f>if('Point Intercept 1'!A833 = 'Point Intercept 2'!A833, 'Point Intercept 1'!A833, "ERROR")</f>
        <v>9</v>
      </c>
      <c r="B833" s="9">
        <f>if('Point Intercept 1'!B833 = 'Point Intercept 2'!B833, 'Point Intercept 1'!B833, "ERROR")</f>
        <v>2025</v>
      </c>
      <c r="C833" s="14">
        <f>if('Point Intercept 1'!C833 = 'Point Intercept 2'!C833, 'Point Intercept 1'!C833, "ERROR")</f>
        <v>45764</v>
      </c>
      <c r="D833" s="9" t="str">
        <f>if('Point Intercept 1'!D833 = 'Point Intercept 2'!D833, 'Point Intercept 1'!D833, "ERROR")</f>
        <v>TL, JR, AA</v>
      </c>
      <c r="E833" s="9" t="str">
        <f>if('Point Intercept 1'!E833 = 'Point Intercept 2'!E833, 'Point Intercept 1'!E833, "ERROR")</f>
        <v>CU</v>
      </c>
      <c r="F833" s="9">
        <f>if('Point Intercept 1'!F833 = 'Point Intercept 2'!F833, 'Point Intercept 1'!F833, "ERROR")</f>
        <v>1</v>
      </c>
      <c r="G833" s="9" t="str">
        <f>if('Point Intercept 1'!G833 = 'Point Intercept 2'!G833, 'Point Intercept 1'!G833, "ERROR")</f>
        <v>LS</v>
      </c>
      <c r="H833" s="9">
        <f>if('Point Intercept 1'!I833 = 'Point Intercept 2'!I833, 'Point Intercept 1'!I833, "ERROR")</f>
        <v>7</v>
      </c>
      <c r="I833" s="9">
        <f>if('Point Intercept 1'!H833 = 'Point Intercept 2'!H833, 'Point Intercept 1'!H833, "ERROR")</f>
        <v>2</v>
      </c>
      <c r="J833" s="9">
        <f>if('Point Intercept 1'!J833 = 'Point Intercept 2'!J833, 'Point Intercept 1'!J833, "ERROR")</f>
        <v>3.5</v>
      </c>
      <c r="K833" s="9" t="str">
        <f>if('Point Intercept 1'!K833 = 'Point Intercept 2'!K833, 'Point Intercept 1'!K833, "ERROR")</f>
        <v>FESMYU</v>
      </c>
      <c r="L833" s="9" t="str">
        <f>if('Point Intercept 1'!L833 = 'Point Intercept 2'!L833, 'Point Intercept 1'!L833, "ERROR")</f>
        <v>Festuca myuros</v>
      </c>
    </row>
    <row r="834">
      <c r="A834" s="9">
        <f>if('Point Intercept 1'!A834 = 'Point Intercept 2'!A834, 'Point Intercept 1'!A834, "ERROR")</f>
        <v>9</v>
      </c>
      <c r="B834" s="9">
        <f>if('Point Intercept 1'!B834 = 'Point Intercept 2'!B834, 'Point Intercept 1'!B834, "ERROR")</f>
        <v>2025</v>
      </c>
      <c r="C834" s="14">
        <f>if('Point Intercept 1'!C834 = 'Point Intercept 2'!C834, 'Point Intercept 1'!C834, "ERROR")</f>
        <v>45764</v>
      </c>
      <c r="D834" s="9" t="str">
        <f>if('Point Intercept 1'!D834 = 'Point Intercept 2'!D834, 'Point Intercept 1'!D834, "ERROR")</f>
        <v>TL, JR, AA</v>
      </c>
      <c r="E834" s="9" t="str">
        <f>if('Point Intercept 1'!E834 = 'Point Intercept 2'!E834, 'Point Intercept 1'!E834, "ERROR")</f>
        <v>CU</v>
      </c>
      <c r="F834" s="9">
        <f>if('Point Intercept 1'!F834 = 'Point Intercept 2'!F834, 'Point Intercept 1'!F834, "ERROR")</f>
        <v>1</v>
      </c>
      <c r="G834" s="9" t="str">
        <f>if('Point Intercept 1'!G834 = 'Point Intercept 2'!G834, 'Point Intercept 1'!G834, "ERROR")</f>
        <v>LS</v>
      </c>
      <c r="H834" s="9">
        <f>if('Point Intercept 1'!I834 = 'Point Intercept 2'!I834, 'Point Intercept 1'!I834, "ERROR")</f>
        <v>7</v>
      </c>
      <c r="I834" s="9">
        <f>if('Point Intercept 1'!H834 = 'Point Intercept 2'!H834, 'Point Intercept 1'!H834, "ERROR")</f>
        <v>2</v>
      </c>
      <c r="J834" s="9">
        <f>if('Point Intercept 1'!J834 = 'Point Intercept 2'!J834, 'Point Intercept 1'!J834, "ERROR")</f>
        <v>3.5</v>
      </c>
      <c r="K834" s="9" t="str">
        <f>if('Point Intercept 1'!K834 = 'Point Intercept 2'!K834, 'Point Intercept 1'!K834, "ERROR")</f>
        <v>DEIFAS</v>
      </c>
      <c r="L834" s="9" t="str">
        <f>if('Point Intercept 1'!L834 = 'Point Intercept 2'!L834, 'Point Intercept 1'!L834, "ERROR")</f>
        <v>Deinandra fasciculata</v>
      </c>
    </row>
    <row r="835">
      <c r="A835" s="9">
        <f>if('Point Intercept 1'!A835 = 'Point Intercept 2'!A835, 'Point Intercept 1'!A835, "ERROR")</f>
        <v>9</v>
      </c>
      <c r="B835" s="9">
        <f>if('Point Intercept 1'!B835 = 'Point Intercept 2'!B835, 'Point Intercept 1'!B835, "ERROR")</f>
        <v>2025</v>
      </c>
      <c r="C835" s="14">
        <f>if('Point Intercept 1'!C835 = 'Point Intercept 2'!C835, 'Point Intercept 1'!C835, "ERROR")</f>
        <v>45764</v>
      </c>
      <c r="D835" s="9" t="str">
        <f>if('Point Intercept 1'!D835 = 'Point Intercept 2'!D835, 'Point Intercept 1'!D835, "ERROR")</f>
        <v>TL, JR, AA</v>
      </c>
      <c r="E835" s="9" t="str">
        <f>if('Point Intercept 1'!E835 = 'Point Intercept 2'!E835, 'Point Intercept 1'!E835, "ERROR")</f>
        <v>CU</v>
      </c>
      <c r="F835" s="9">
        <f>if('Point Intercept 1'!F835 = 'Point Intercept 2'!F835, 'Point Intercept 1'!F835, "ERROR")</f>
        <v>1</v>
      </c>
      <c r="G835" s="9" t="str">
        <f>if('Point Intercept 1'!G835 = 'Point Intercept 2'!G835, 'Point Intercept 1'!G835, "ERROR")</f>
        <v>LS</v>
      </c>
      <c r="H835" s="9">
        <f>if('Point Intercept 1'!I835 = 'Point Intercept 2'!I835, 'Point Intercept 1'!I835, "ERROR")</f>
        <v>8</v>
      </c>
      <c r="I835" s="9">
        <f>if('Point Intercept 1'!H835 = 'Point Intercept 2'!H835, 'Point Intercept 1'!H835, "ERROR")</f>
        <v>2</v>
      </c>
      <c r="J835" s="9">
        <f>if('Point Intercept 1'!J835 = 'Point Intercept 2'!J835, 'Point Intercept 1'!J835, "ERROR")</f>
        <v>4</v>
      </c>
      <c r="K835" s="9" t="str">
        <f>if('Point Intercept 1'!K835 = 'Point Intercept 2'!K835, 'Point Intercept 1'!K835, "ERROR")</f>
        <v>L</v>
      </c>
      <c r="L835" s="9" t="str">
        <f>if('Point Intercept 1'!L835 = 'Point Intercept 2'!L835, 'Point Intercept 1'!L835, "ERROR")</f>
        <v>Litter</v>
      </c>
    </row>
    <row r="836">
      <c r="A836" s="9">
        <f>if('Point Intercept 1'!A836 = 'Point Intercept 2'!A836, 'Point Intercept 1'!A836, "ERROR")</f>
        <v>9</v>
      </c>
      <c r="B836" s="9">
        <f>if('Point Intercept 1'!B836 = 'Point Intercept 2'!B836, 'Point Intercept 1'!B836, "ERROR")</f>
        <v>2025</v>
      </c>
      <c r="C836" s="14">
        <f>if('Point Intercept 1'!C836 = 'Point Intercept 2'!C836, 'Point Intercept 1'!C836, "ERROR")</f>
        <v>45764</v>
      </c>
      <c r="D836" s="9" t="str">
        <f>if('Point Intercept 1'!D836 = 'Point Intercept 2'!D836, 'Point Intercept 1'!D836, "ERROR")</f>
        <v>TL, JR, AA</v>
      </c>
      <c r="E836" s="9" t="str">
        <f>if('Point Intercept 1'!E836 = 'Point Intercept 2'!E836, 'Point Intercept 1'!E836, "ERROR")</f>
        <v>CU</v>
      </c>
      <c r="F836" s="9">
        <f>if('Point Intercept 1'!F836 = 'Point Intercept 2'!F836, 'Point Intercept 1'!F836, "ERROR")</f>
        <v>1</v>
      </c>
      <c r="G836" s="9" t="str">
        <f>if('Point Intercept 1'!G836 = 'Point Intercept 2'!G836, 'Point Intercept 1'!G836, "ERROR")</f>
        <v>LS</v>
      </c>
      <c r="H836" s="9">
        <f>if('Point Intercept 1'!I836 = 'Point Intercept 2'!I836, 'Point Intercept 1'!I836, "ERROR")</f>
        <v>8</v>
      </c>
      <c r="I836" s="9">
        <f>if('Point Intercept 1'!H836 = 'Point Intercept 2'!H836, 'Point Intercept 1'!H836, "ERROR")</f>
        <v>2</v>
      </c>
      <c r="J836" s="9">
        <f>if('Point Intercept 1'!J836 = 'Point Intercept 2'!J836, 'Point Intercept 1'!J836, "ERROR")</f>
        <v>4</v>
      </c>
      <c r="K836" s="9" t="str">
        <f>if('Point Intercept 1'!K836 = 'Point Intercept 2'!K836, 'Point Intercept 1'!K836, "ERROR")</f>
        <v>FESMYU</v>
      </c>
      <c r="L836" s="9" t="str">
        <f>if('Point Intercept 1'!L836 = 'Point Intercept 2'!L836, 'Point Intercept 1'!L836, "ERROR")</f>
        <v>Festuca myuros</v>
      </c>
    </row>
    <row r="837">
      <c r="A837" s="9">
        <f>if('Point Intercept 1'!A837 = 'Point Intercept 2'!A837, 'Point Intercept 1'!A837, "ERROR")</f>
        <v>9</v>
      </c>
      <c r="B837" s="9">
        <f>if('Point Intercept 1'!B837 = 'Point Intercept 2'!B837, 'Point Intercept 1'!B837, "ERROR")</f>
        <v>2025</v>
      </c>
      <c r="C837" s="14">
        <f>if('Point Intercept 1'!C837 = 'Point Intercept 2'!C837, 'Point Intercept 1'!C837, "ERROR")</f>
        <v>45764</v>
      </c>
      <c r="D837" s="9" t="str">
        <f>if('Point Intercept 1'!D837 = 'Point Intercept 2'!D837, 'Point Intercept 1'!D837, "ERROR")</f>
        <v>TL, JR, AA</v>
      </c>
      <c r="E837" s="9" t="str">
        <f>if('Point Intercept 1'!E837 = 'Point Intercept 2'!E837, 'Point Intercept 1'!E837, "ERROR")</f>
        <v>CU</v>
      </c>
      <c r="F837" s="9">
        <f>if('Point Intercept 1'!F837 = 'Point Intercept 2'!F837, 'Point Intercept 1'!F837, "ERROR")</f>
        <v>1</v>
      </c>
      <c r="G837" s="9" t="str">
        <f>if('Point Intercept 1'!G837 = 'Point Intercept 2'!G837, 'Point Intercept 1'!G837, "ERROR")</f>
        <v>LS</v>
      </c>
      <c r="H837" s="9">
        <f>if('Point Intercept 1'!I837 = 'Point Intercept 2'!I837, 'Point Intercept 1'!I837, "ERROR")</f>
        <v>8</v>
      </c>
      <c r="I837" s="9">
        <f>if('Point Intercept 1'!H837 = 'Point Intercept 2'!H837, 'Point Intercept 1'!H837, "ERROR")</f>
        <v>2</v>
      </c>
      <c r="J837" s="9">
        <f>if('Point Intercept 1'!J837 = 'Point Intercept 2'!J837, 'Point Intercept 1'!J837, "ERROR")</f>
        <v>4</v>
      </c>
      <c r="K837" s="9" t="str">
        <f>if('Point Intercept 1'!K837 = 'Point Intercept 2'!K837, 'Point Intercept 1'!K837, "ERROR")</f>
        <v>BROMAD</v>
      </c>
      <c r="L837" s="9" t="str">
        <f>if('Point Intercept 1'!L837 = 'Point Intercept 2'!L837, 'Point Intercept 1'!L837, "ERROR")</f>
        <v>Bromus madritensis</v>
      </c>
    </row>
    <row r="838">
      <c r="A838" s="9">
        <f>if('Point Intercept 1'!A838 = 'Point Intercept 2'!A838, 'Point Intercept 1'!A838, "ERROR")</f>
        <v>9</v>
      </c>
      <c r="B838" s="9">
        <f>if('Point Intercept 1'!B838 = 'Point Intercept 2'!B838, 'Point Intercept 1'!B838, "ERROR")</f>
        <v>2025</v>
      </c>
      <c r="C838" s="14">
        <f>if('Point Intercept 1'!C838 = 'Point Intercept 2'!C838, 'Point Intercept 1'!C838, "ERROR")</f>
        <v>45764</v>
      </c>
      <c r="D838" s="9" t="str">
        <f>if('Point Intercept 1'!D838 = 'Point Intercept 2'!D838, 'Point Intercept 1'!D838, "ERROR")</f>
        <v>TL, JR, AA</v>
      </c>
      <c r="E838" s="9" t="str">
        <f>if('Point Intercept 1'!E838 = 'Point Intercept 2'!E838, 'Point Intercept 1'!E838, "ERROR")</f>
        <v>CU</v>
      </c>
      <c r="F838" s="9">
        <f>if('Point Intercept 1'!F838 = 'Point Intercept 2'!F838, 'Point Intercept 1'!F838, "ERROR")</f>
        <v>1</v>
      </c>
      <c r="G838" s="9" t="str">
        <f>if('Point Intercept 1'!G838 = 'Point Intercept 2'!G838, 'Point Intercept 1'!G838, "ERROR")</f>
        <v>LS</v>
      </c>
      <c r="H838" s="9">
        <f>if('Point Intercept 1'!I838 = 'Point Intercept 2'!I838, 'Point Intercept 1'!I838, "ERROR")</f>
        <v>8</v>
      </c>
      <c r="I838" s="9">
        <f>if('Point Intercept 1'!H838 = 'Point Intercept 2'!H838, 'Point Intercept 1'!H838, "ERROR")</f>
        <v>2</v>
      </c>
      <c r="J838" s="9">
        <f>if('Point Intercept 1'!J838 = 'Point Intercept 2'!J838, 'Point Intercept 1'!J838, "ERROR")</f>
        <v>4</v>
      </c>
      <c r="K838" s="9" t="str">
        <f>if('Point Intercept 1'!K838 = 'Point Intercept 2'!K838, 'Point Intercept 1'!K838, "ERROR")</f>
        <v>EROMOS</v>
      </c>
      <c r="L838" s="9" t="str">
        <f>if('Point Intercept 1'!L838 = 'Point Intercept 2'!L838, 'Point Intercept 1'!L838, "ERROR")</f>
        <v>Erodium moschatum</v>
      </c>
    </row>
    <row r="839">
      <c r="A839" s="9">
        <f>if('Point Intercept 1'!A839 = 'Point Intercept 2'!A839, 'Point Intercept 1'!A839, "ERROR")</f>
        <v>9</v>
      </c>
      <c r="B839" s="9">
        <f>if('Point Intercept 1'!B839 = 'Point Intercept 2'!B839, 'Point Intercept 1'!B839, "ERROR")</f>
        <v>2025</v>
      </c>
      <c r="C839" s="14">
        <f>if('Point Intercept 1'!C839 = 'Point Intercept 2'!C839, 'Point Intercept 1'!C839, "ERROR")</f>
        <v>45764</v>
      </c>
      <c r="D839" s="9" t="str">
        <f>if('Point Intercept 1'!D839 = 'Point Intercept 2'!D839, 'Point Intercept 1'!D839, "ERROR")</f>
        <v>TL, JR, AA</v>
      </c>
      <c r="E839" s="9" t="str">
        <f>if('Point Intercept 1'!E839 = 'Point Intercept 2'!E839, 'Point Intercept 1'!E839, "ERROR")</f>
        <v>CU</v>
      </c>
      <c r="F839" s="9">
        <f>if('Point Intercept 1'!F839 = 'Point Intercept 2'!F839, 'Point Intercept 1'!F839, "ERROR")</f>
        <v>1</v>
      </c>
      <c r="G839" s="9" t="str">
        <f>if('Point Intercept 1'!G839 = 'Point Intercept 2'!G839, 'Point Intercept 1'!G839, "ERROR")</f>
        <v>LS</v>
      </c>
      <c r="H839" s="9">
        <f>if('Point Intercept 1'!I839 = 'Point Intercept 2'!I839, 'Point Intercept 1'!I839, "ERROR")</f>
        <v>9</v>
      </c>
      <c r="I839" s="9">
        <f>if('Point Intercept 1'!H839 = 'Point Intercept 2'!H839, 'Point Intercept 1'!H839, "ERROR")</f>
        <v>2</v>
      </c>
      <c r="J839" s="9">
        <f>if('Point Intercept 1'!J839 = 'Point Intercept 2'!J839, 'Point Intercept 1'!J839, "ERROR")</f>
        <v>4.5</v>
      </c>
      <c r="K839" s="9" t="str">
        <f>if('Point Intercept 1'!K839 = 'Point Intercept 2'!K839, 'Point Intercept 1'!K839, "ERROR")</f>
        <v>L</v>
      </c>
      <c r="L839" s="9" t="str">
        <f>if('Point Intercept 1'!L839 = 'Point Intercept 2'!L839, 'Point Intercept 1'!L839, "ERROR")</f>
        <v>Litter</v>
      </c>
    </row>
    <row r="840">
      <c r="A840" s="9">
        <f>if('Point Intercept 1'!A840 = 'Point Intercept 2'!A840, 'Point Intercept 1'!A840, "ERROR")</f>
        <v>9</v>
      </c>
      <c r="B840" s="9">
        <f>if('Point Intercept 1'!B840 = 'Point Intercept 2'!B840, 'Point Intercept 1'!B840, "ERROR")</f>
        <v>2025</v>
      </c>
      <c r="C840" s="14">
        <f>if('Point Intercept 1'!C840 = 'Point Intercept 2'!C840, 'Point Intercept 1'!C840, "ERROR")</f>
        <v>45764</v>
      </c>
      <c r="D840" s="9" t="str">
        <f>if('Point Intercept 1'!D840 = 'Point Intercept 2'!D840, 'Point Intercept 1'!D840, "ERROR")</f>
        <v>TL, JR, AA</v>
      </c>
      <c r="E840" s="9" t="str">
        <f>if('Point Intercept 1'!E840 = 'Point Intercept 2'!E840, 'Point Intercept 1'!E840, "ERROR")</f>
        <v>CU</v>
      </c>
      <c r="F840" s="9">
        <f>if('Point Intercept 1'!F840 = 'Point Intercept 2'!F840, 'Point Intercept 1'!F840, "ERROR")</f>
        <v>1</v>
      </c>
      <c r="G840" s="9" t="str">
        <f>if('Point Intercept 1'!G840 = 'Point Intercept 2'!G840, 'Point Intercept 1'!G840, "ERROR")</f>
        <v>LS</v>
      </c>
      <c r="H840" s="9">
        <f>if('Point Intercept 1'!I840 = 'Point Intercept 2'!I840, 'Point Intercept 1'!I840, "ERROR")</f>
        <v>9</v>
      </c>
      <c r="I840" s="9">
        <f>if('Point Intercept 1'!H840 = 'Point Intercept 2'!H840, 'Point Intercept 1'!H840, "ERROR")</f>
        <v>2</v>
      </c>
      <c r="J840" s="9">
        <f>if('Point Intercept 1'!J840 = 'Point Intercept 2'!J840, 'Point Intercept 1'!J840, "ERROR")</f>
        <v>4.5</v>
      </c>
      <c r="K840" s="9" t="str">
        <f>if('Point Intercept 1'!K840 = 'Point Intercept 2'!K840, 'Point Intercept 1'!K840, "ERROR")</f>
        <v>CRYINT</v>
      </c>
      <c r="L840" s="9" t="str">
        <f>if('Point Intercept 1'!L840 = 'Point Intercept 2'!L840, 'Point Intercept 1'!L840, "ERROR")</f>
        <v>Cryptantha intermedia</v>
      </c>
    </row>
    <row r="841">
      <c r="A841" s="9">
        <f>if('Point Intercept 1'!A841 = 'Point Intercept 2'!A841, 'Point Intercept 1'!A841, "ERROR")</f>
        <v>9</v>
      </c>
      <c r="B841" s="9">
        <f>if('Point Intercept 1'!B841 = 'Point Intercept 2'!B841, 'Point Intercept 1'!B841, "ERROR")</f>
        <v>2025</v>
      </c>
      <c r="C841" s="14">
        <f>if('Point Intercept 1'!C841 = 'Point Intercept 2'!C841, 'Point Intercept 1'!C841, "ERROR")</f>
        <v>45764</v>
      </c>
      <c r="D841" s="9" t="str">
        <f>if('Point Intercept 1'!D841 = 'Point Intercept 2'!D841, 'Point Intercept 1'!D841, "ERROR")</f>
        <v>TL, JR, AA</v>
      </c>
      <c r="E841" s="9" t="str">
        <f>if('Point Intercept 1'!E841 = 'Point Intercept 2'!E841, 'Point Intercept 1'!E841, "ERROR")</f>
        <v>CU</v>
      </c>
      <c r="F841" s="9">
        <f>if('Point Intercept 1'!F841 = 'Point Intercept 2'!F841, 'Point Intercept 1'!F841, "ERROR")</f>
        <v>1</v>
      </c>
      <c r="G841" s="9" t="str">
        <f>if('Point Intercept 1'!G841 = 'Point Intercept 2'!G841, 'Point Intercept 1'!G841, "ERROR")</f>
        <v>LS</v>
      </c>
      <c r="H841" s="9">
        <f>if('Point Intercept 1'!I841 = 'Point Intercept 2'!I841, 'Point Intercept 1'!I841, "ERROR")</f>
        <v>9</v>
      </c>
      <c r="I841" s="9">
        <f>if('Point Intercept 1'!H841 = 'Point Intercept 2'!H841, 'Point Intercept 1'!H841, "ERROR")</f>
        <v>2</v>
      </c>
      <c r="J841" s="9">
        <f>if('Point Intercept 1'!J841 = 'Point Intercept 2'!J841, 'Point Intercept 1'!J841, "ERROR")</f>
        <v>4.5</v>
      </c>
      <c r="K841" s="9" t="str">
        <f>if('Point Intercept 1'!K841 = 'Point Intercept 2'!K841, 'Point Intercept 1'!K841, "ERROR")</f>
        <v>SONASP</v>
      </c>
      <c r="L841" s="9" t="str">
        <f>if('Point Intercept 1'!L841 = 'Point Intercept 2'!L841, 'Point Intercept 1'!L841, "ERROR")</f>
        <v>Sonchus asper</v>
      </c>
    </row>
    <row r="842">
      <c r="A842" s="9">
        <f>if('Point Intercept 1'!A842 = 'Point Intercept 2'!A842, 'Point Intercept 1'!A842, "ERROR")</f>
        <v>9</v>
      </c>
      <c r="B842" s="9">
        <f>if('Point Intercept 1'!B842 = 'Point Intercept 2'!B842, 'Point Intercept 1'!B842, "ERROR")</f>
        <v>2025</v>
      </c>
      <c r="C842" s="14">
        <f>if('Point Intercept 1'!C842 = 'Point Intercept 2'!C842, 'Point Intercept 1'!C842, "ERROR")</f>
        <v>45764</v>
      </c>
      <c r="D842" s="9" t="str">
        <f>if('Point Intercept 1'!D842 = 'Point Intercept 2'!D842, 'Point Intercept 1'!D842, "ERROR")</f>
        <v>TL, JR, AA</v>
      </c>
      <c r="E842" s="9" t="str">
        <f>if('Point Intercept 1'!E842 = 'Point Intercept 2'!E842, 'Point Intercept 1'!E842, "ERROR")</f>
        <v>CU</v>
      </c>
      <c r="F842" s="9">
        <f>if('Point Intercept 1'!F842 = 'Point Intercept 2'!F842, 'Point Intercept 1'!F842, "ERROR")</f>
        <v>1</v>
      </c>
      <c r="G842" s="9" t="str">
        <f>if('Point Intercept 1'!G842 = 'Point Intercept 2'!G842, 'Point Intercept 1'!G842, "ERROR")</f>
        <v>LS</v>
      </c>
      <c r="H842" s="9">
        <f>if('Point Intercept 1'!I842 = 'Point Intercept 2'!I842, 'Point Intercept 1'!I842, "ERROR")</f>
        <v>9</v>
      </c>
      <c r="I842" s="9">
        <f>if('Point Intercept 1'!H842 = 'Point Intercept 2'!H842, 'Point Intercept 1'!H842, "ERROR")</f>
        <v>2</v>
      </c>
      <c r="J842" s="9">
        <f>if('Point Intercept 1'!J842 = 'Point Intercept 2'!J842, 'Point Intercept 1'!J842, "ERROR")</f>
        <v>4.5</v>
      </c>
      <c r="K842" s="9" t="str">
        <f>if('Point Intercept 1'!K842 = 'Point Intercept 2'!K842, 'Point Intercept 1'!K842, "ERROR")</f>
        <v>SONOLE</v>
      </c>
      <c r="L842" s="9" t="str">
        <f>if('Point Intercept 1'!L842 = 'Point Intercept 2'!L842, 'Point Intercept 1'!L842, "ERROR")</f>
        <v>Sonchus oleraceus</v>
      </c>
    </row>
    <row r="843">
      <c r="A843" s="9">
        <f>if('Point Intercept 1'!A843 = 'Point Intercept 2'!A843, 'Point Intercept 1'!A843, "ERROR")</f>
        <v>9</v>
      </c>
      <c r="B843" s="9">
        <f>if('Point Intercept 1'!B843 = 'Point Intercept 2'!B843, 'Point Intercept 1'!B843, "ERROR")</f>
        <v>2025</v>
      </c>
      <c r="C843" s="14">
        <f>if('Point Intercept 1'!C843 = 'Point Intercept 2'!C843, 'Point Intercept 1'!C843, "ERROR")</f>
        <v>45764</v>
      </c>
      <c r="D843" s="9" t="str">
        <f>if('Point Intercept 1'!D843 = 'Point Intercept 2'!D843, 'Point Intercept 1'!D843, "ERROR")</f>
        <v>TL, JR, AA</v>
      </c>
      <c r="E843" s="9" t="str">
        <f>if('Point Intercept 1'!E843 = 'Point Intercept 2'!E843, 'Point Intercept 1'!E843, "ERROR")</f>
        <v>CU</v>
      </c>
      <c r="F843" s="9">
        <f>if('Point Intercept 1'!F843 = 'Point Intercept 2'!F843, 'Point Intercept 1'!F843, "ERROR")</f>
        <v>1</v>
      </c>
      <c r="G843" s="9" t="str">
        <f>if('Point Intercept 1'!G843 = 'Point Intercept 2'!G843, 'Point Intercept 1'!G843, "ERROR")</f>
        <v>LS</v>
      </c>
      <c r="H843" s="9">
        <f>if('Point Intercept 1'!I843 = 'Point Intercept 2'!I843, 'Point Intercept 1'!I843, "ERROR")</f>
        <v>9</v>
      </c>
      <c r="I843" s="9">
        <f>if('Point Intercept 1'!H843 = 'Point Intercept 2'!H843, 'Point Intercept 1'!H843, "ERROR")</f>
        <v>2</v>
      </c>
      <c r="J843" s="9">
        <f>if('Point Intercept 1'!J843 = 'Point Intercept 2'!J843, 'Point Intercept 1'!J843, "ERROR")</f>
        <v>4.5</v>
      </c>
      <c r="K843" s="9" t="str">
        <f>if('Point Intercept 1'!K843 = 'Point Intercept 2'!K843, 'Point Intercept 1'!K843, "ERROR")</f>
        <v>FESMYU</v>
      </c>
      <c r="L843" s="9" t="str">
        <f>if('Point Intercept 1'!L843 = 'Point Intercept 2'!L843, 'Point Intercept 1'!L843, "ERROR")</f>
        <v>Festuca myuros</v>
      </c>
    </row>
    <row r="844">
      <c r="A844" s="9">
        <f>if('Point Intercept 1'!A844 = 'Point Intercept 2'!A844, 'Point Intercept 1'!A844, "ERROR")</f>
        <v>9</v>
      </c>
      <c r="B844" s="9">
        <f>if('Point Intercept 1'!B844 = 'Point Intercept 2'!B844, 'Point Intercept 1'!B844, "ERROR")</f>
        <v>2025</v>
      </c>
      <c r="C844" s="14">
        <f>if('Point Intercept 1'!C844 = 'Point Intercept 2'!C844, 'Point Intercept 1'!C844, "ERROR")</f>
        <v>45764</v>
      </c>
      <c r="D844" s="9" t="str">
        <f>if('Point Intercept 1'!D844 = 'Point Intercept 2'!D844, 'Point Intercept 1'!D844, "ERROR")</f>
        <v>TL, JR, AA</v>
      </c>
      <c r="E844" s="9" t="str">
        <f>if('Point Intercept 1'!E844 = 'Point Intercept 2'!E844, 'Point Intercept 1'!E844, "ERROR")</f>
        <v>CU</v>
      </c>
      <c r="F844" s="9">
        <f>if('Point Intercept 1'!F844 = 'Point Intercept 2'!F844, 'Point Intercept 1'!F844, "ERROR")</f>
        <v>1</v>
      </c>
      <c r="G844" s="9" t="str">
        <f>if('Point Intercept 1'!G844 = 'Point Intercept 2'!G844, 'Point Intercept 1'!G844, "ERROR")</f>
        <v>LS</v>
      </c>
      <c r="H844" s="9">
        <f>if('Point Intercept 1'!I844 = 'Point Intercept 2'!I844, 'Point Intercept 1'!I844, "ERROR")</f>
        <v>10</v>
      </c>
      <c r="I844" s="9">
        <f>if('Point Intercept 1'!H844 = 'Point Intercept 2'!H844, 'Point Intercept 1'!H844, "ERROR")</f>
        <v>2</v>
      </c>
      <c r="J844" s="9">
        <f>if('Point Intercept 1'!J844 = 'Point Intercept 2'!J844, 'Point Intercept 1'!J844, "ERROR")</f>
        <v>5</v>
      </c>
      <c r="K844" s="9" t="str">
        <f>if('Point Intercept 1'!K844 = 'Point Intercept 2'!K844, 'Point Intercept 1'!K844, "ERROR")</f>
        <v>L</v>
      </c>
      <c r="L844" s="9" t="str">
        <f>if('Point Intercept 1'!L844 = 'Point Intercept 2'!L844, 'Point Intercept 1'!L844, "ERROR")</f>
        <v>Litter</v>
      </c>
    </row>
    <row r="845">
      <c r="A845" s="9">
        <f>if('Point Intercept 1'!A845 = 'Point Intercept 2'!A845, 'Point Intercept 1'!A845, "ERROR")</f>
        <v>9</v>
      </c>
      <c r="B845" s="9">
        <f>if('Point Intercept 1'!B845 = 'Point Intercept 2'!B845, 'Point Intercept 1'!B845, "ERROR")</f>
        <v>2025</v>
      </c>
      <c r="C845" s="14">
        <f>if('Point Intercept 1'!C845 = 'Point Intercept 2'!C845, 'Point Intercept 1'!C845, "ERROR")</f>
        <v>45764</v>
      </c>
      <c r="D845" s="9" t="str">
        <f>if('Point Intercept 1'!D845 = 'Point Intercept 2'!D845, 'Point Intercept 1'!D845, "ERROR")</f>
        <v>TL, JR, AA</v>
      </c>
      <c r="E845" s="9" t="str">
        <f>if('Point Intercept 1'!E845 = 'Point Intercept 2'!E845, 'Point Intercept 1'!E845, "ERROR")</f>
        <v>CU</v>
      </c>
      <c r="F845" s="9">
        <f>if('Point Intercept 1'!F845 = 'Point Intercept 2'!F845, 'Point Intercept 1'!F845, "ERROR")</f>
        <v>1</v>
      </c>
      <c r="G845" s="9" t="str">
        <f>if('Point Intercept 1'!G845 = 'Point Intercept 2'!G845, 'Point Intercept 1'!G845, "ERROR")</f>
        <v>LS</v>
      </c>
      <c r="H845" s="9">
        <f>if('Point Intercept 1'!I845 = 'Point Intercept 2'!I845, 'Point Intercept 1'!I845, "ERROR")</f>
        <v>10</v>
      </c>
      <c r="I845" s="9">
        <f>if('Point Intercept 1'!H845 = 'Point Intercept 2'!H845, 'Point Intercept 1'!H845, "ERROR")</f>
        <v>2</v>
      </c>
      <c r="J845" s="9">
        <f>if('Point Intercept 1'!J845 = 'Point Intercept 2'!J845, 'Point Intercept 1'!J845, "ERROR")</f>
        <v>5</v>
      </c>
      <c r="K845" s="9" t="str">
        <f>if('Point Intercept 1'!K845 = 'Point Intercept 2'!K845, 'Point Intercept 1'!K845, "ERROR")</f>
        <v>CENMEL</v>
      </c>
      <c r="L845" s="9" t="str">
        <f>if('Point Intercept 1'!L845 = 'Point Intercept 2'!L845, 'Point Intercept 1'!L845, "ERROR")</f>
        <v>Centaurea melitensis</v>
      </c>
    </row>
    <row r="846">
      <c r="A846" s="9">
        <f>if('Point Intercept 1'!A846 = 'Point Intercept 2'!A846, 'Point Intercept 1'!A846, "ERROR")</f>
        <v>9</v>
      </c>
      <c r="B846" s="9">
        <f>if('Point Intercept 1'!B846 = 'Point Intercept 2'!B846, 'Point Intercept 1'!B846, "ERROR")</f>
        <v>2025</v>
      </c>
      <c r="C846" s="14">
        <f>if('Point Intercept 1'!C846 = 'Point Intercept 2'!C846, 'Point Intercept 1'!C846, "ERROR")</f>
        <v>45764</v>
      </c>
      <c r="D846" s="9" t="str">
        <f>if('Point Intercept 1'!D846 = 'Point Intercept 2'!D846, 'Point Intercept 1'!D846, "ERROR")</f>
        <v>TL, JR, AA</v>
      </c>
      <c r="E846" s="9" t="str">
        <f>if('Point Intercept 1'!E846 = 'Point Intercept 2'!E846, 'Point Intercept 1'!E846, "ERROR")</f>
        <v>CU</v>
      </c>
      <c r="F846" s="9">
        <f>if('Point Intercept 1'!F846 = 'Point Intercept 2'!F846, 'Point Intercept 1'!F846, "ERROR")</f>
        <v>1</v>
      </c>
      <c r="G846" s="9" t="str">
        <f>if('Point Intercept 1'!G846 = 'Point Intercept 2'!G846, 'Point Intercept 1'!G846, "ERROR")</f>
        <v>LS</v>
      </c>
      <c r="H846" s="9">
        <f>if('Point Intercept 1'!I846 = 'Point Intercept 2'!I846, 'Point Intercept 1'!I846, "ERROR")</f>
        <v>11</v>
      </c>
      <c r="I846" s="9">
        <f>if('Point Intercept 1'!H846 = 'Point Intercept 2'!H846, 'Point Intercept 1'!H846, "ERROR")</f>
        <v>2</v>
      </c>
      <c r="J846" s="9">
        <f>if('Point Intercept 1'!J846 = 'Point Intercept 2'!J846, 'Point Intercept 1'!J846, "ERROR")</f>
        <v>5.5</v>
      </c>
      <c r="K846" s="9" t="str">
        <f>if('Point Intercept 1'!K846 = 'Point Intercept 2'!K846, 'Point Intercept 1'!K846, "ERROR")</f>
        <v>L</v>
      </c>
      <c r="L846" s="9" t="str">
        <f>if('Point Intercept 1'!L846 = 'Point Intercept 2'!L846, 'Point Intercept 1'!L846, "ERROR")</f>
        <v>Litter</v>
      </c>
    </row>
    <row r="847">
      <c r="A847" s="9">
        <f>if('Point Intercept 1'!A847 = 'Point Intercept 2'!A847, 'Point Intercept 1'!A847, "ERROR")</f>
        <v>9</v>
      </c>
      <c r="B847" s="9">
        <f>if('Point Intercept 1'!B847 = 'Point Intercept 2'!B847, 'Point Intercept 1'!B847, "ERROR")</f>
        <v>2025</v>
      </c>
      <c r="C847" s="14">
        <f>if('Point Intercept 1'!C847 = 'Point Intercept 2'!C847, 'Point Intercept 1'!C847, "ERROR")</f>
        <v>45764</v>
      </c>
      <c r="D847" s="9" t="str">
        <f>if('Point Intercept 1'!D847 = 'Point Intercept 2'!D847, 'Point Intercept 1'!D847, "ERROR")</f>
        <v>TL, JR, AA</v>
      </c>
      <c r="E847" s="9" t="str">
        <f>if('Point Intercept 1'!E847 = 'Point Intercept 2'!E847, 'Point Intercept 1'!E847, "ERROR")</f>
        <v>CU</v>
      </c>
      <c r="F847" s="9">
        <f>if('Point Intercept 1'!F847 = 'Point Intercept 2'!F847, 'Point Intercept 1'!F847, "ERROR")</f>
        <v>1</v>
      </c>
      <c r="G847" s="9" t="str">
        <f>if('Point Intercept 1'!G847 = 'Point Intercept 2'!G847, 'Point Intercept 1'!G847, "ERROR")</f>
        <v>LS</v>
      </c>
      <c r="H847" s="9">
        <f>if('Point Intercept 1'!I847 = 'Point Intercept 2'!I847, 'Point Intercept 1'!I847, "ERROR")</f>
        <v>11</v>
      </c>
      <c r="I847" s="9">
        <f>if('Point Intercept 1'!H847 = 'Point Intercept 2'!H847, 'Point Intercept 1'!H847, "ERROR")</f>
        <v>2</v>
      </c>
      <c r="J847" s="9">
        <f>if('Point Intercept 1'!J847 = 'Point Intercept 2'!J847, 'Point Intercept 1'!J847, "ERROR")</f>
        <v>5.5</v>
      </c>
      <c r="K847" s="9" t="str">
        <f>if('Point Intercept 1'!K847 = 'Point Intercept 2'!K847, 'Point Intercept 1'!K847, "ERROR")</f>
        <v>CENMEL</v>
      </c>
      <c r="L847" s="9" t="str">
        <f>if('Point Intercept 1'!L847 = 'Point Intercept 2'!L847, 'Point Intercept 1'!L847, "ERROR")</f>
        <v>Centaurea melitensis</v>
      </c>
    </row>
    <row r="848">
      <c r="A848" s="9">
        <f>if('Point Intercept 1'!A848 = 'Point Intercept 2'!A848, 'Point Intercept 1'!A848, "ERROR")</f>
        <v>9</v>
      </c>
      <c r="B848" s="9">
        <f>if('Point Intercept 1'!B848 = 'Point Intercept 2'!B848, 'Point Intercept 1'!B848, "ERROR")</f>
        <v>2025</v>
      </c>
      <c r="C848" s="14">
        <f>if('Point Intercept 1'!C848 = 'Point Intercept 2'!C848, 'Point Intercept 1'!C848, "ERROR")</f>
        <v>45764</v>
      </c>
      <c r="D848" s="9" t="str">
        <f>if('Point Intercept 1'!D848 = 'Point Intercept 2'!D848, 'Point Intercept 1'!D848, "ERROR")</f>
        <v>TL, JR, AA</v>
      </c>
      <c r="E848" s="9" t="str">
        <f>if('Point Intercept 1'!E848 = 'Point Intercept 2'!E848, 'Point Intercept 1'!E848, "ERROR")</f>
        <v>CU</v>
      </c>
      <c r="F848" s="9">
        <f>if('Point Intercept 1'!F848 = 'Point Intercept 2'!F848, 'Point Intercept 1'!F848, "ERROR")</f>
        <v>1</v>
      </c>
      <c r="G848" s="9" t="str">
        <f>if('Point Intercept 1'!G848 = 'Point Intercept 2'!G848, 'Point Intercept 1'!G848, "ERROR")</f>
        <v>LS</v>
      </c>
      <c r="H848" s="9">
        <f>if('Point Intercept 1'!I848 = 'Point Intercept 2'!I848, 'Point Intercept 1'!I848, "ERROR")</f>
        <v>11</v>
      </c>
      <c r="I848" s="9">
        <f>if('Point Intercept 1'!H848 = 'Point Intercept 2'!H848, 'Point Intercept 1'!H848, "ERROR")</f>
        <v>2</v>
      </c>
      <c r="J848" s="9">
        <f>if('Point Intercept 1'!J848 = 'Point Intercept 2'!J848, 'Point Intercept 1'!J848, "ERROR")</f>
        <v>5.5</v>
      </c>
      <c r="K848" s="9" t="str">
        <f>if('Point Intercept 1'!K848 = 'Point Intercept 2'!K848, 'Point Intercept 1'!K848, "ERROR")</f>
        <v>SONOLE</v>
      </c>
      <c r="L848" s="9" t="str">
        <f>if('Point Intercept 1'!L848 = 'Point Intercept 2'!L848, 'Point Intercept 1'!L848, "ERROR")</f>
        <v>Sonchus oleraceus</v>
      </c>
    </row>
    <row r="849">
      <c r="A849" s="9">
        <f>if('Point Intercept 1'!A849 = 'Point Intercept 2'!A849, 'Point Intercept 1'!A849, "ERROR")</f>
        <v>9</v>
      </c>
      <c r="B849" s="9">
        <f>if('Point Intercept 1'!B849 = 'Point Intercept 2'!B849, 'Point Intercept 1'!B849, "ERROR")</f>
        <v>2025</v>
      </c>
      <c r="C849" s="14">
        <f>if('Point Intercept 1'!C849 = 'Point Intercept 2'!C849, 'Point Intercept 1'!C849, "ERROR")</f>
        <v>45764</v>
      </c>
      <c r="D849" s="9" t="str">
        <f>if('Point Intercept 1'!D849 = 'Point Intercept 2'!D849, 'Point Intercept 1'!D849, "ERROR")</f>
        <v>TL, JR, AA</v>
      </c>
      <c r="E849" s="9" t="str">
        <f>if('Point Intercept 1'!E849 = 'Point Intercept 2'!E849, 'Point Intercept 1'!E849, "ERROR")</f>
        <v>CU</v>
      </c>
      <c r="F849" s="9">
        <f>if('Point Intercept 1'!F849 = 'Point Intercept 2'!F849, 'Point Intercept 1'!F849, "ERROR")</f>
        <v>1</v>
      </c>
      <c r="G849" s="9" t="str">
        <f>if('Point Intercept 1'!G849 = 'Point Intercept 2'!G849, 'Point Intercept 1'!G849, "ERROR")</f>
        <v>LS</v>
      </c>
      <c r="H849" s="9">
        <f>if('Point Intercept 1'!I849 = 'Point Intercept 2'!I849, 'Point Intercept 1'!I849, "ERROR")</f>
        <v>12</v>
      </c>
      <c r="I849" s="9">
        <f>if('Point Intercept 1'!H849 = 'Point Intercept 2'!H849, 'Point Intercept 1'!H849, "ERROR")</f>
        <v>2</v>
      </c>
      <c r="J849" s="9">
        <f>if('Point Intercept 1'!J849 = 'Point Intercept 2'!J849, 'Point Intercept 1'!J849, "ERROR")</f>
        <v>6</v>
      </c>
      <c r="K849" s="9" t="str">
        <f>if('Point Intercept 1'!K849 = 'Point Intercept 2'!K849, 'Point Intercept 1'!K849, "ERROR")</f>
        <v>L</v>
      </c>
      <c r="L849" s="9" t="str">
        <f>if('Point Intercept 1'!L849 = 'Point Intercept 2'!L849, 'Point Intercept 1'!L849, "ERROR")</f>
        <v>Litter</v>
      </c>
    </row>
    <row r="850">
      <c r="A850" s="9">
        <f>if('Point Intercept 1'!A850 = 'Point Intercept 2'!A850, 'Point Intercept 1'!A850, "ERROR")</f>
        <v>9</v>
      </c>
      <c r="B850" s="9">
        <f>if('Point Intercept 1'!B850 = 'Point Intercept 2'!B850, 'Point Intercept 1'!B850, "ERROR")</f>
        <v>2025</v>
      </c>
      <c r="C850" s="14">
        <f>if('Point Intercept 1'!C850 = 'Point Intercept 2'!C850, 'Point Intercept 1'!C850, "ERROR")</f>
        <v>45764</v>
      </c>
      <c r="D850" s="9" t="str">
        <f>if('Point Intercept 1'!D850 = 'Point Intercept 2'!D850, 'Point Intercept 1'!D850, "ERROR")</f>
        <v>TL, JR, AA</v>
      </c>
      <c r="E850" s="9" t="str">
        <f>if('Point Intercept 1'!E850 = 'Point Intercept 2'!E850, 'Point Intercept 1'!E850, "ERROR")</f>
        <v>CU</v>
      </c>
      <c r="F850" s="9">
        <f>if('Point Intercept 1'!F850 = 'Point Intercept 2'!F850, 'Point Intercept 1'!F850, "ERROR")</f>
        <v>1</v>
      </c>
      <c r="G850" s="9" t="str">
        <f>if('Point Intercept 1'!G850 = 'Point Intercept 2'!G850, 'Point Intercept 1'!G850, "ERROR")</f>
        <v>LS</v>
      </c>
      <c r="H850" s="9">
        <f>if('Point Intercept 1'!I850 = 'Point Intercept 2'!I850, 'Point Intercept 1'!I850, "ERROR")</f>
        <v>12</v>
      </c>
      <c r="I850" s="9">
        <f>if('Point Intercept 1'!H850 = 'Point Intercept 2'!H850, 'Point Intercept 1'!H850, "ERROR")</f>
        <v>2</v>
      </c>
      <c r="J850" s="9">
        <f>if('Point Intercept 1'!J850 = 'Point Intercept 2'!J850, 'Point Intercept 1'!J850, "ERROR")</f>
        <v>6</v>
      </c>
      <c r="K850" s="9" t="str">
        <f>if('Point Intercept 1'!K850 = 'Point Intercept 2'!K850, 'Point Intercept 1'!K850, "ERROR")</f>
        <v>FESMYU</v>
      </c>
      <c r="L850" s="9" t="str">
        <f>if('Point Intercept 1'!L850 = 'Point Intercept 2'!L850, 'Point Intercept 1'!L850, "ERROR")</f>
        <v>Festuca myuros</v>
      </c>
    </row>
    <row r="851">
      <c r="A851" s="9">
        <f>if('Point Intercept 1'!A851 = 'Point Intercept 2'!A851, 'Point Intercept 1'!A851, "ERROR")</f>
        <v>9</v>
      </c>
      <c r="B851" s="9">
        <f>if('Point Intercept 1'!B851 = 'Point Intercept 2'!B851, 'Point Intercept 1'!B851, "ERROR")</f>
        <v>2025</v>
      </c>
      <c r="C851" s="14">
        <f>if('Point Intercept 1'!C851 = 'Point Intercept 2'!C851, 'Point Intercept 1'!C851, "ERROR")</f>
        <v>45764</v>
      </c>
      <c r="D851" s="9" t="str">
        <f>if('Point Intercept 1'!D851 = 'Point Intercept 2'!D851, 'Point Intercept 1'!D851, "ERROR")</f>
        <v>TL, JR, AA</v>
      </c>
      <c r="E851" s="9" t="str">
        <f>if('Point Intercept 1'!E851 = 'Point Intercept 2'!E851, 'Point Intercept 1'!E851, "ERROR")</f>
        <v>CU</v>
      </c>
      <c r="F851" s="9">
        <f>if('Point Intercept 1'!F851 = 'Point Intercept 2'!F851, 'Point Intercept 1'!F851, "ERROR")</f>
        <v>1</v>
      </c>
      <c r="G851" s="9" t="str">
        <f>if('Point Intercept 1'!G851 = 'Point Intercept 2'!G851, 'Point Intercept 1'!G851, "ERROR")</f>
        <v>LS</v>
      </c>
      <c r="H851" s="9">
        <f>if('Point Intercept 1'!I851 = 'Point Intercept 2'!I851, 'Point Intercept 1'!I851, "ERROR")</f>
        <v>12</v>
      </c>
      <c r="I851" s="9">
        <f>if('Point Intercept 1'!H851 = 'Point Intercept 2'!H851, 'Point Intercept 1'!H851, "ERROR")</f>
        <v>2</v>
      </c>
      <c r="J851" s="9">
        <f>if('Point Intercept 1'!J851 = 'Point Intercept 2'!J851, 'Point Intercept 1'!J851, "ERROR")</f>
        <v>6</v>
      </c>
      <c r="K851" s="9" t="str">
        <f>if('Point Intercept 1'!K851 = 'Point Intercept 2'!K851, 'Point Intercept 1'!K851, "ERROR")</f>
        <v>SONASP</v>
      </c>
      <c r="L851" s="9" t="str">
        <f>if('Point Intercept 1'!L851 = 'Point Intercept 2'!L851, 'Point Intercept 1'!L851, "ERROR")</f>
        <v>Sonchus asper</v>
      </c>
    </row>
    <row r="852">
      <c r="A852" s="9">
        <f>if('Point Intercept 1'!A852 = 'Point Intercept 2'!A852, 'Point Intercept 1'!A852, "ERROR")</f>
        <v>9</v>
      </c>
      <c r="B852" s="9">
        <f>if('Point Intercept 1'!B852 = 'Point Intercept 2'!B852, 'Point Intercept 1'!B852, "ERROR")</f>
        <v>2025</v>
      </c>
      <c r="C852" s="14">
        <f>if('Point Intercept 1'!C852 = 'Point Intercept 2'!C852, 'Point Intercept 1'!C852, "ERROR")</f>
        <v>45764</v>
      </c>
      <c r="D852" s="9" t="str">
        <f>if('Point Intercept 1'!D852 = 'Point Intercept 2'!D852, 'Point Intercept 1'!D852, "ERROR")</f>
        <v>TL, JR, AA</v>
      </c>
      <c r="E852" s="9" t="str">
        <f>if('Point Intercept 1'!E852 = 'Point Intercept 2'!E852, 'Point Intercept 1'!E852, "ERROR")</f>
        <v>CU</v>
      </c>
      <c r="F852" s="9">
        <f>if('Point Intercept 1'!F852 = 'Point Intercept 2'!F852, 'Point Intercept 1'!F852, "ERROR")</f>
        <v>1</v>
      </c>
      <c r="G852" s="9" t="str">
        <f>if('Point Intercept 1'!G852 = 'Point Intercept 2'!G852, 'Point Intercept 1'!G852, "ERROR")</f>
        <v>LS</v>
      </c>
      <c r="H852" s="9">
        <f>if('Point Intercept 1'!I852 = 'Point Intercept 2'!I852, 'Point Intercept 1'!I852, "ERROR")</f>
        <v>13</v>
      </c>
      <c r="I852" s="9">
        <f>if('Point Intercept 1'!H852 = 'Point Intercept 2'!H852, 'Point Intercept 1'!H852, "ERROR")</f>
        <v>2</v>
      </c>
      <c r="J852" s="9">
        <f>if('Point Intercept 1'!J852 = 'Point Intercept 2'!J852, 'Point Intercept 1'!J852, "ERROR")</f>
        <v>6.5</v>
      </c>
      <c r="K852" s="9" t="str">
        <f>if('Point Intercept 1'!K852 = 'Point Intercept 2'!K852, 'Point Intercept 1'!K852, "ERROR")</f>
        <v>L</v>
      </c>
      <c r="L852" s="9" t="str">
        <f>if('Point Intercept 1'!L852 = 'Point Intercept 2'!L852, 'Point Intercept 1'!L852, "ERROR")</f>
        <v>Litter</v>
      </c>
    </row>
    <row r="853">
      <c r="A853" s="9">
        <f>if('Point Intercept 1'!A853 = 'Point Intercept 2'!A853, 'Point Intercept 1'!A853, "ERROR")</f>
        <v>9</v>
      </c>
      <c r="B853" s="9">
        <f>if('Point Intercept 1'!B853 = 'Point Intercept 2'!B853, 'Point Intercept 1'!B853, "ERROR")</f>
        <v>2025</v>
      </c>
      <c r="C853" s="14">
        <f>if('Point Intercept 1'!C853 = 'Point Intercept 2'!C853, 'Point Intercept 1'!C853, "ERROR")</f>
        <v>45764</v>
      </c>
      <c r="D853" s="9" t="str">
        <f>if('Point Intercept 1'!D853 = 'Point Intercept 2'!D853, 'Point Intercept 1'!D853, "ERROR")</f>
        <v>TL, JR, AA</v>
      </c>
      <c r="E853" s="9" t="str">
        <f>if('Point Intercept 1'!E853 = 'Point Intercept 2'!E853, 'Point Intercept 1'!E853, "ERROR")</f>
        <v>CU</v>
      </c>
      <c r="F853" s="9">
        <f>if('Point Intercept 1'!F853 = 'Point Intercept 2'!F853, 'Point Intercept 1'!F853, "ERROR")</f>
        <v>1</v>
      </c>
      <c r="G853" s="9" t="str">
        <f>if('Point Intercept 1'!G853 = 'Point Intercept 2'!G853, 'Point Intercept 1'!G853, "ERROR")</f>
        <v>LS</v>
      </c>
      <c r="H853" s="9">
        <f>if('Point Intercept 1'!I853 = 'Point Intercept 2'!I853, 'Point Intercept 1'!I853, "ERROR")</f>
        <v>13</v>
      </c>
      <c r="I853" s="9">
        <f>if('Point Intercept 1'!H853 = 'Point Intercept 2'!H853, 'Point Intercept 1'!H853, "ERROR")</f>
        <v>2</v>
      </c>
      <c r="J853" s="9">
        <f>if('Point Intercept 1'!J853 = 'Point Intercept 2'!J853, 'Point Intercept 1'!J853, "ERROR")</f>
        <v>6.5</v>
      </c>
      <c r="K853" s="9" t="str">
        <f>if('Point Intercept 1'!K853 = 'Point Intercept 2'!K853, 'Point Intercept 1'!K853, "ERROR")</f>
        <v>BROMAD</v>
      </c>
      <c r="L853" s="9" t="str">
        <f>if('Point Intercept 1'!L853 = 'Point Intercept 2'!L853, 'Point Intercept 1'!L853, "ERROR")</f>
        <v>Bromus madritensis</v>
      </c>
    </row>
    <row r="854">
      <c r="A854" s="9">
        <f>if('Point Intercept 1'!A854 = 'Point Intercept 2'!A854, 'Point Intercept 1'!A854, "ERROR")</f>
        <v>9</v>
      </c>
      <c r="B854" s="9">
        <f>if('Point Intercept 1'!B854 = 'Point Intercept 2'!B854, 'Point Intercept 1'!B854, "ERROR")</f>
        <v>2025</v>
      </c>
      <c r="C854" s="14">
        <f>if('Point Intercept 1'!C854 = 'Point Intercept 2'!C854, 'Point Intercept 1'!C854, "ERROR")</f>
        <v>45764</v>
      </c>
      <c r="D854" s="9" t="str">
        <f>if('Point Intercept 1'!D854 = 'Point Intercept 2'!D854, 'Point Intercept 1'!D854, "ERROR")</f>
        <v>TL, JR, AA</v>
      </c>
      <c r="E854" s="9" t="str">
        <f>if('Point Intercept 1'!E854 = 'Point Intercept 2'!E854, 'Point Intercept 1'!E854, "ERROR")</f>
        <v>CU</v>
      </c>
      <c r="F854" s="9">
        <f>if('Point Intercept 1'!F854 = 'Point Intercept 2'!F854, 'Point Intercept 1'!F854, "ERROR")</f>
        <v>1</v>
      </c>
      <c r="G854" s="9" t="str">
        <f>if('Point Intercept 1'!G854 = 'Point Intercept 2'!G854, 'Point Intercept 1'!G854, "ERROR")</f>
        <v>LS</v>
      </c>
      <c r="H854" s="9">
        <f>if('Point Intercept 1'!I854 = 'Point Intercept 2'!I854, 'Point Intercept 1'!I854, "ERROR")</f>
        <v>13</v>
      </c>
      <c r="I854" s="9">
        <f>if('Point Intercept 1'!H854 = 'Point Intercept 2'!H854, 'Point Intercept 1'!H854, "ERROR")</f>
        <v>2</v>
      </c>
      <c r="J854" s="9">
        <f>if('Point Intercept 1'!J854 = 'Point Intercept 2'!J854, 'Point Intercept 1'!J854, "ERROR")</f>
        <v>6.5</v>
      </c>
      <c r="K854" s="9" t="str">
        <f>if('Point Intercept 1'!K854 = 'Point Intercept 2'!K854, 'Point Intercept 1'!K854, "ERROR")</f>
        <v>DEIFAS</v>
      </c>
      <c r="L854" s="9" t="str">
        <f>if('Point Intercept 1'!L854 = 'Point Intercept 2'!L854, 'Point Intercept 1'!L854, "ERROR")</f>
        <v>Deinandra fasciculata</v>
      </c>
    </row>
    <row r="855">
      <c r="A855" s="9">
        <f>if('Point Intercept 1'!A855 = 'Point Intercept 2'!A855, 'Point Intercept 1'!A855, "ERROR")</f>
        <v>9</v>
      </c>
      <c r="B855" s="9">
        <f>if('Point Intercept 1'!B855 = 'Point Intercept 2'!B855, 'Point Intercept 1'!B855, "ERROR")</f>
        <v>2025</v>
      </c>
      <c r="C855" s="14">
        <f>if('Point Intercept 1'!C855 = 'Point Intercept 2'!C855, 'Point Intercept 1'!C855, "ERROR")</f>
        <v>45764</v>
      </c>
      <c r="D855" s="9" t="str">
        <f>if('Point Intercept 1'!D855 = 'Point Intercept 2'!D855, 'Point Intercept 1'!D855, "ERROR")</f>
        <v>TL, JR, AA</v>
      </c>
      <c r="E855" s="9" t="str">
        <f>if('Point Intercept 1'!E855 = 'Point Intercept 2'!E855, 'Point Intercept 1'!E855, "ERROR")</f>
        <v>CU</v>
      </c>
      <c r="F855" s="9">
        <f>if('Point Intercept 1'!F855 = 'Point Intercept 2'!F855, 'Point Intercept 1'!F855, "ERROR")</f>
        <v>1</v>
      </c>
      <c r="G855" s="9" t="str">
        <f>if('Point Intercept 1'!G855 = 'Point Intercept 2'!G855, 'Point Intercept 1'!G855, "ERROR")</f>
        <v>LS</v>
      </c>
      <c r="H855" s="9">
        <f>if('Point Intercept 1'!I855 = 'Point Intercept 2'!I855, 'Point Intercept 1'!I855, "ERROR")</f>
        <v>14</v>
      </c>
      <c r="I855" s="9">
        <f>if('Point Intercept 1'!H855 = 'Point Intercept 2'!H855, 'Point Intercept 1'!H855, "ERROR")</f>
        <v>2</v>
      </c>
      <c r="J855" s="9">
        <f>if('Point Intercept 1'!J855 = 'Point Intercept 2'!J855, 'Point Intercept 1'!J855, "ERROR")</f>
        <v>7</v>
      </c>
      <c r="K855" s="9" t="str">
        <f>if('Point Intercept 1'!K855 = 'Point Intercept 2'!K855, 'Point Intercept 1'!K855, "ERROR")</f>
        <v>R</v>
      </c>
      <c r="L855" s="9" t="str">
        <f>if('Point Intercept 1'!L855 = 'Point Intercept 2'!L855, 'Point Intercept 1'!L855, "ERROR")</f>
        <v>Rock</v>
      </c>
    </row>
    <row r="856">
      <c r="A856" s="9">
        <f>if('Point Intercept 1'!A856 = 'Point Intercept 2'!A856, 'Point Intercept 1'!A856, "ERROR")</f>
        <v>9</v>
      </c>
      <c r="B856" s="9">
        <f>if('Point Intercept 1'!B856 = 'Point Intercept 2'!B856, 'Point Intercept 1'!B856, "ERROR")</f>
        <v>2025</v>
      </c>
      <c r="C856" s="14">
        <f>if('Point Intercept 1'!C856 = 'Point Intercept 2'!C856, 'Point Intercept 1'!C856, "ERROR")</f>
        <v>45764</v>
      </c>
      <c r="D856" s="9" t="str">
        <f>if('Point Intercept 1'!D856 = 'Point Intercept 2'!D856, 'Point Intercept 1'!D856, "ERROR")</f>
        <v>TL, JR, AA</v>
      </c>
      <c r="E856" s="9" t="str">
        <f>if('Point Intercept 1'!E856 = 'Point Intercept 2'!E856, 'Point Intercept 1'!E856, "ERROR")</f>
        <v>CU</v>
      </c>
      <c r="F856" s="9">
        <f>if('Point Intercept 1'!F856 = 'Point Intercept 2'!F856, 'Point Intercept 1'!F856, "ERROR")</f>
        <v>1</v>
      </c>
      <c r="G856" s="9" t="str">
        <f>if('Point Intercept 1'!G856 = 'Point Intercept 2'!G856, 'Point Intercept 1'!G856, "ERROR")</f>
        <v>LS</v>
      </c>
      <c r="H856" s="9">
        <f>if('Point Intercept 1'!I856 = 'Point Intercept 2'!I856, 'Point Intercept 1'!I856, "ERROR")</f>
        <v>14</v>
      </c>
      <c r="I856" s="9">
        <f>if('Point Intercept 1'!H856 = 'Point Intercept 2'!H856, 'Point Intercept 1'!H856, "ERROR")</f>
        <v>2</v>
      </c>
      <c r="J856" s="9">
        <f>if('Point Intercept 1'!J856 = 'Point Intercept 2'!J856, 'Point Intercept 1'!J856, "ERROR")</f>
        <v>7</v>
      </c>
      <c r="K856" s="9" t="str">
        <f>if('Point Intercept 1'!K856 = 'Point Intercept 2'!K856, 'Point Intercept 1'!K856, "ERROR")</f>
        <v>SONASP</v>
      </c>
      <c r="L856" s="9" t="str">
        <f>if('Point Intercept 1'!L856 = 'Point Intercept 2'!L856, 'Point Intercept 1'!L856, "ERROR")</f>
        <v>Sonchus asper</v>
      </c>
    </row>
    <row r="857">
      <c r="A857" s="9">
        <f>if('Point Intercept 1'!A857 = 'Point Intercept 2'!A857, 'Point Intercept 1'!A857, "ERROR")</f>
        <v>9</v>
      </c>
      <c r="B857" s="9">
        <f>if('Point Intercept 1'!B857 = 'Point Intercept 2'!B857, 'Point Intercept 1'!B857, "ERROR")</f>
        <v>2025</v>
      </c>
      <c r="C857" s="14">
        <f>if('Point Intercept 1'!C857 = 'Point Intercept 2'!C857, 'Point Intercept 1'!C857, "ERROR")</f>
        <v>45764</v>
      </c>
      <c r="D857" s="9" t="str">
        <f>if('Point Intercept 1'!D857 = 'Point Intercept 2'!D857, 'Point Intercept 1'!D857, "ERROR")</f>
        <v>TL, JR, AA</v>
      </c>
      <c r="E857" s="9" t="str">
        <f>if('Point Intercept 1'!E857 = 'Point Intercept 2'!E857, 'Point Intercept 1'!E857, "ERROR")</f>
        <v>CU</v>
      </c>
      <c r="F857" s="9">
        <f>if('Point Intercept 1'!F857 = 'Point Intercept 2'!F857, 'Point Intercept 1'!F857, "ERROR")</f>
        <v>1</v>
      </c>
      <c r="G857" s="9" t="str">
        <f>if('Point Intercept 1'!G857 = 'Point Intercept 2'!G857, 'Point Intercept 1'!G857, "ERROR")</f>
        <v>LS</v>
      </c>
      <c r="H857" s="9">
        <f>if('Point Intercept 1'!I857 = 'Point Intercept 2'!I857, 'Point Intercept 1'!I857, "ERROR")</f>
        <v>14</v>
      </c>
      <c r="I857" s="9">
        <f>if('Point Intercept 1'!H857 = 'Point Intercept 2'!H857, 'Point Intercept 1'!H857, "ERROR")</f>
        <v>2</v>
      </c>
      <c r="J857" s="9">
        <f>if('Point Intercept 1'!J857 = 'Point Intercept 2'!J857, 'Point Intercept 1'!J857, "ERROR")</f>
        <v>7</v>
      </c>
      <c r="K857" s="9" t="str">
        <f>if('Point Intercept 1'!K857 = 'Point Intercept 2'!K857, 'Point Intercept 1'!K857, "ERROR")</f>
        <v>CRYINT</v>
      </c>
      <c r="L857" s="9" t="str">
        <f>if('Point Intercept 1'!L857 = 'Point Intercept 2'!L857, 'Point Intercept 1'!L857, "ERROR")</f>
        <v>Cryptantha intermedia</v>
      </c>
    </row>
    <row r="858">
      <c r="A858" s="9">
        <f>if('Point Intercept 1'!A858 = 'Point Intercept 2'!A858, 'Point Intercept 1'!A858, "ERROR")</f>
        <v>9</v>
      </c>
      <c r="B858" s="9">
        <f>if('Point Intercept 1'!B858 = 'Point Intercept 2'!B858, 'Point Intercept 1'!B858, "ERROR")</f>
        <v>2025</v>
      </c>
      <c r="C858" s="14">
        <f>if('Point Intercept 1'!C858 = 'Point Intercept 2'!C858, 'Point Intercept 1'!C858, "ERROR")</f>
        <v>45764</v>
      </c>
      <c r="D858" s="9" t="str">
        <f>if('Point Intercept 1'!D858 = 'Point Intercept 2'!D858, 'Point Intercept 1'!D858, "ERROR")</f>
        <v>TL, JR, AA</v>
      </c>
      <c r="E858" s="9" t="str">
        <f>if('Point Intercept 1'!E858 = 'Point Intercept 2'!E858, 'Point Intercept 1'!E858, "ERROR")</f>
        <v>CU</v>
      </c>
      <c r="F858" s="9">
        <f>if('Point Intercept 1'!F858 = 'Point Intercept 2'!F858, 'Point Intercept 1'!F858, "ERROR")</f>
        <v>1</v>
      </c>
      <c r="G858" s="9" t="str">
        <f>if('Point Intercept 1'!G858 = 'Point Intercept 2'!G858, 'Point Intercept 1'!G858, "ERROR")</f>
        <v>LS</v>
      </c>
      <c r="H858" s="9">
        <f>if('Point Intercept 1'!I858 = 'Point Intercept 2'!I858, 'Point Intercept 1'!I858, "ERROR")</f>
        <v>15</v>
      </c>
      <c r="I858" s="9">
        <f>if('Point Intercept 1'!H858 = 'Point Intercept 2'!H858, 'Point Intercept 1'!H858, "ERROR")</f>
        <v>2</v>
      </c>
      <c r="J858" s="9">
        <f>if('Point Intercept 1'!J858 = 'Point Intercept 2'!J858, 'Point Intercept 1'!J858, "ERROR")</f>
        <v>7.5</v>
      </c>
      <c r="K858" s="9" t="str">
        <f>if('Point Intercept 1'!K858 = 'Point Intercept 2'!K858, 'Point Intercept 1'!K858, "ERROR")</f>
        <v>R</v>
      </c>
      <c r="L858" s="9" t="str">
        <f>if('Point Intercept 1'!L858 = 'Point Intercept 2'!L858, 'Point Intercept 1'!L858, "ERROR")</f>
        <v>Rock</v>
      </c>
    </row>
    <row r="859">
      <c r="A859" s="9">
        <f>if('Point Intercept 1'!A859 = 'Point Intercept 2'!A859, 'Point Intercept 1'!A859, "ERROR")</f>
        <v>10</v>
      </c>
      <c r="B859" s="9">
        <f>if('Point Intercept 1'!B859 = 'Point Intercept 2'!B859, 'Point Intercept 1'!B859, "ERROR")</f>
        <v>2025</v>
      </c>
      <c r="C859" s="13">
        <f>if('Point Intercept 1'!C859 = 'Point Intercept 2'!C859, 'Point Intercept 1'!C859, "ERROR")</f>
        <v>45777</v>
      </c>
      <c r="D859" s="9" t="str">
        <f>if('Point Intercept 1'!D859 = 'Point Intercept 2'!D859, 'Point Intercept 1'!D859, "ERROR")</f>
        <v>CG, JD</v>
      </c>
      <c r="E859" s="9" t="str">
        <f>if('Point Intercept 1'!E859 = 'Point Intercept 2'!E859, 'Point Intercept 1'!E859, "ERROR")</f>
        <v>CU</v>
      </c>
      <c r="F859" s="9">
        <f>if('Point Intercept 1'!F859 = 'Point Intercept 2'!F859, 'Point Intercept 1'!F859, "ERROR")</f>
        <v>1</v>
      </c>
      <c r="G859" s="9" t="str">
        <f>if('Point Intercept 1'!G859 = 'Point Intercept 2'!G859, 'Point Intercept 1'!G859, "ERROR")</f>
        <v>LU</v>
      </c>
      <c r="H859" s="9">
        <f>if('Point Intercept 1'!I859 = 'Point Intercept 2'!I859, 'Point Intercept 1'!I859, "ERROR")</f>
        <v>1</v>
      </c>
      <c r="I859" s="9">
        <f>if('Point Intercept 1'!H859 = 'Point Intercept 2'!H859, 'Point Intercept 1'!H859, "ERROR")</f>
        <v>1</v>
      </c>
      <c r="J859" s="9">
        <f>if('Point Intercept 1'!J859 = 'Point Intercept 2'!J859, 'Point Intercept 1'!J859, "ERROR")</f>
        <v>0</v>
      </c>
      <c r="K859" s="9" t="str">
        <f>if('Point Intercept 1'!K859 = 'Point Intercept 2'!K859, 'Point Intercept 1'!K859, "ERROR")</f>
        <v>L</v>
      </c>
      <c r="L859" s="9" t="str">
        <f>if('Point Intercept 1'!L859 = 'Point Intercept 2'!L859, 'Point Intercept 1'!L859, "ERROR")</f>
        <v>Litter</v>
      </c>
    </row>
    <row r="860">
      <c r="A860" s="9">
        <f>if('Point Intercept 1'!A860 = 'Point Intercept 2'!A860, 'Point Intercept 1'!A860, "ERROR")</f>
        <v>10</v>
      </c>
      <c r="B860" s="9">
        <f>if('Point Intercept 1'!B860 = 'Point Intercept 2'!B860, 'Point Intercept 1'!B860, "ERROR")</f>
        <v>2025</v>
      </c>
      <c r="C860" s="13">
        <f>if('Point Intercept 1'!C860 = 'Point Intercept 2'!C860, 'Point Intercept 1'!C860, "ERROR")</f>
        <v>45777</v>
      </c>
      <c r="D860" s="9" t="str">
        <f>if('Point Intercept 1'!D860 = 'Point Intercept 2'!D860, 'Point Intercept 1'!D860, "ERROR")</f>
        <v>CG, JD</v>
      </c>
      <c r="E860" s="9" t="str">
        <f>if('Point Intercept 1'!E860 = 'Point Intercept 2'!E860, 'Point Intercept 1'!E860, "ERROR")</f>
        <v>CU</v>
      </c>
      <c r="F860" s="9">
        <f>if('Point Intercept 1'!F860 = 'Point Intercept 2'!F860, 'Point Intercept 1'!F860, "ERROR")</f>
        <v>1</v>
      </c>
      <c r="G860" s="9" t="str">
        <f>if('Point Intercept 1'!G860 = 'Point Intercept 2'!G860, 'Point Intercept 1'!G860, "ERROR")</f>
        <v>LU</v>
      </c>
      <c r="H860" s="9">
        <f>if('Point Intercept 1'!I860 = 'Point Intercept 2'!I860, 'Point Intercept 1'!I860, "ERROR")</f>
        <v>1</v>
      </c>
      <c r="I860" s="9">
        <f>if('Point Intercept 1'!H860 = 'Point Intercept 2'!H860, 'Point Intercept 1'!H860, "ERROR")</f>
        <v>1</v>
      </c>
      <c r="J860" s="9">
        <f>if('Point Intercept 1'!J860 = 'Point Intercept 2'!J860, 'Point Intercept 1'!J860, "ERROR")</f>
        <v>0</v>
      </c>
      <c r="K860" s="9" t="str">
        <f>if('Point Intercept 1'!K860 = 'Point Intercept 2'!K860, 'Point Intercept 1'!K860, "ERROR")</f>
        <v>DEIFAS</v>
      </c>
      <c r="L860" s="9" t="str">
        <f>if('Point Intercept 1'!L860 = 'Point Intercept 2'!L860, 'Point Intercept 1'!L860, "ERROR")</f>
        <v>Deinandra fasciculata</v>
      </c>
    </row>
    <row r="861">
      <c r="A861" s="9">
        <f>if('Point Intercept 1'!A861 = 'Point Intercept 2'!A861, 'Point Intercept 1'!A861, "ERROR")</f>
        <v>10</v>
      </c>
      <c r="B861" s="9">
        <f>if('Point Intercept 1'!B861 = 'Point Intercept 2'!B861, 'Point Intercept 1'!B861, "ERROR")</f>
        <v>2025</v>
      </c>
      <c r="C861" s="13">
        <f>if('Point Intercept 1'!C861 = 'Point Intercept 2'!C861, 'Point Intercept 1'!C861, "ERROR")</f>
        <v>45777</v>
      </c>
      <c r="D861" s="9" t="str">
        <f>if('Point Intercept 1'!D861 = 'Point Intercept 2'!D861, 'Point Intercept 1'!D861, "ERROR")</f>
        <v>CG, JD</v>
      </c>
      <c r="E861" s="9" t="str">
        <f>if('Point Intercept 1'!E861 = 'Point Intercept 2'!E861, 'Point Intercept 1'!E861, "ERROR")</f>
        <v>CU</v>
      </c>
      <c r="F861" s="9">
        <f>if('Point Intercept 1'!F861 = 'Point Intercept 2'!F861, 'Point Intercept 1'!F861, "ERROR")</f>
        <v>1</v>
      </c>
      <c r="G861" s="9" t="str">
        <f>if('Point Intercept 1'!G861 = 'Point Intercept 2'!G861, 'Point Intercept 1'!G861, "ERROR")</f>
        <v>LU</v>
      </c>
      <c r="H861" s="9">
        <f>if('Point Intercept 1'!I861 = 'Point Intercept 2'!I861, 'Point Intercept 1'!I861, "ERROR")</f>
        <v>1</v>
      </c>
      <c r="I861" s="9">
        <f>if('Point Intercept 1'!H861 = 'Point Intercept 2'!H861, 'Point Intercept 1'!H861, "ERROR")</f>
        <v>1</v>
      </c>
      <c r="J861" s="9">
        <f>if('Point Intercept 1'!J861 = 'Point Intercept 2'!J861, 'Point Intercept 1'!J861, "ERROR")</f>
        <v>0</v>
      </c>
      <c r="K861" s="9" t="str">
        <f>if('Point Intercept 1'!K861 = 'Point Intercept 2'!K861, 'Point Intercept 1'!K861, "ERROR")</f>
        <v>EROMOS</v>
      </c>
      <c r="L861" s="9" t="str">
        <f>if('Point Intercept 1'!L861 = 'Point Intercept 2'!L861, 'Point Intercept 1'!L861, "ERROR")</f>
        <v>Erodium moschatum</v>
      </c>
    </row>
    <row r="862">
      <c r="A862" s="9">
        <f>if('Point Intercept 1'!A863 = 'Point Intercept 2'!A862, 'Point Intercept 1'!A863, "ERROR")</f>
        <v>10</v>
      </c>
      <c r="B862" s="9">
        <f>if('Point Intercept 1'!B863 = 'Point Intercept 2'!B862, 'Point Intercept 1'!B863, "ERROR")</f>
        <v>2025</v>
      </c>
      <c r="C862" s="13">
        <f>if('Point Intercept 1'!C863 = 'Point Intercept 2'!C862, 'Point Intercept 1'!C863, "ERROR")</f>
        <v>45777</v>
      </c>
      <c r="D862" s="9" t="str">
        <f>if('Point Intercept 1'!D863 = 'Point Intercept 2'!D862, 'Point Intercept 1'!D863, "ERROR")</f>
        <v>CG, JD</v>
      </c>
      <c r="E862" s="9" t="str">
        <f>if('Point Intercept 1'!E863 = 'Point Intercept 2'!E862, 'Point Intercept 1'!E863, "ERROR")</f>
        <v>CU</v>
      </c>
      <c r="F862" s="9">
        <f>if('Point Intercept 1'!F863 = 'Point Intercept 2'!F862, 'Point Intercept 1'!F863, "ERROR")</f>
        <v>1</v>
      </c>
      <c r="G862" s="9" t="str">
        <f>if('Point Intercept 1'!G862 = 'Point Intercept 2'!G862, 'Point Intercept 1'!G862, "ERROR")</f>
        <v>LU</v>
      </c>
      <c r="H862" s="9">
        <f>if('Point Intercept 1'!I862 = 'Point Intercept 2'!I862, 'Point Intercept 1'!I862, "ERROR")</f>
        <v>1</v>
      </c>
      <c r="I862" s="9">
        <f>if('Point Intercept 1'!H862 = 'Point Intercept 2'!H862, 'Point Intercept 1'!H862, "ERROR")</f>
        <v>1</v>
      </c>
      <c r="J862" s="9">
        <f>if('Point Intercept 1'!J862 = 'Point Intercept 2'!J862, 'Point Intercept 1'!J862, "ERROR")</f>
        <v>0</v>
      </c>
      <c r="K862" s="9" t="str">
        <f>if('Point Intercept 1'!K862 = 'Point Intercept 2'!K862, 'Point Intercept 1'!K862, "ERROR")</f>
        <v>FESMYU</v>
      </c>
      <c r="L862" s="9" t="str">
        <f>if('Point Intercept 1'!L862 = 'Point Intercept 2'!L862, 'Point Intercept 1'!L862, "ERROR")</f>
        <v>Festuca myuros</v>
      </c>
    </row>
    <row r="863">
      <c r="A863" s="9">
        <f>if('Point Intercept 1'!A864 = 'Point Intercept 2'!A863, 'Point Intercept 1'!A864, "ERROR")</f>
        <v>10</v>
      </c>
      <c r="B863" s="9">
        <f>if('Point Intercept 1'!B864 = 'Point Intercept 2'!B863, 'Point Intercept 1'!B864, "ERROR")</f>
        <v>2025</v>
      </c>
      <c r="C863" s="13">
        <f>if('Point Intercept 1'!C864 = 'Point Intercept 2'!C863, 'Point Intercept 1'!C864, "ERROR")</f>
        <v>45777</v>
      </c>
      <c r="D863" s="9" t="str">
        <f>if('Point Intercept 1'!D864 = 'Point Intercept 2'!D863, 'Point Intercept 1'!D864, "ERROR")</f>
        <v>CG, JD</v>
      </c>
      <c r="E863" s="9" t="str">
        <f>if('Point Intercept 1'!E864 = 'Point Intercept 2'!E863, 'Point Intercept 1'!E864, "ERROR")</f>
        <v>CU</v>
      </c>
      <c r="F863" s="9">
        <f>if('Point Intercept 1'!F864 = 'Point Intercept 2'!F863, 'Point Intercept 1'!F864, "ERROR")</f>
        <v>1</v>
      </c>
      <c r="G863" s="9" t="str">
        <f>if('Point Intercept 1'!G863 = 'Point Intercept 2'!G863, 'Point Intercept 1'!G863, "ERROR")</f>
        <v>LU</v>
      </c>
      <c r="H863" s="9">
        <f>if('Point Intercept 1'!I863 = 'Point Intercept 2'!I863, 'Point Intercept 1'!I863, "ERROR")</f>
        <v>2</v>
      </c>
      <c r="I863" s="9">
        <f>if('Point Intercept 1'!H863 = 'Point Intercept 2'!H863, 'Point Intercept 1'!H863, "ERROR")</f>
        <v>1</v>
      </c>
      <c r="J863" s="9">
        <f>if('Point Intercept 1'!J863 = 'Point Intercept 2'!J863, 'Point Intercept 1'!J863, "ERROR")</f>
        <v>0.5</v>
      </c>
      <c r="K863" s="9" t="str">
        <f>if('Point Intercept 1'!K863 = 'Point Intercept 2'!K863, 'Point Intercept 1'!K863, "ERROR")</f>
        <v>L</v>
      </c>
      <c r="L863" s="9" t="str">
        <f>if('Point Intercept 1'!L863 = 'Point Intercept 2'!L863, 'Point Intercept 1'!L863, "ERROR")</f>
        <v>Litter</v>
      </c>
    </row>
    <row r="864">
      <c r="A864" s="9">
        <f>if('Point Intercept 1'!A865 = 'Point Intercept 2'!A864, 'Point Intercept 1'!A865, "ERROR")</f>
        <v>10</v>
      </c>
      <c r="B864" s="9">
        <f>if('Point Intercept 1'!B865 = 'Point Intercept 2'!B864, 'Point Intercept 1'!B865, "ERROR")</f>
        <v>2025</v>
      </c>
      <c r="C864" s="13">
        <f>if('Point Intercept 1'!C865 = 'Point Intercept 2'!C864, 'Point Intercept 1'!C865, "ERROR")</f>
        <v>45777</v>
      </c>
      <c r="D864" s="9" t="str">
        <f>if('Point Intercept 1'!D865 = 'Point Intercept 2'!D864, 'Point Intercept 1'!D865, "ERROR")</f>
        <v>CG, JD</v>
      </c>
      <c r="E864" s="9" t="str">
        <f>if('Point Intercept 1'!E865 = 'Point Intercept 2'!E864, 'Point Intercept 1'!E865, "ERROR")</f>
        <v>CU</v>
      </c>
      <c r="F864" s="9">
        <f>if('Point Intercept 1'!F865 = 'Point Intercept 2'!F864, 'Point Intercept 1'!F865, "ERROR")</f>
        <v>1</v>
      </c>
      <c r="G864" s="9" t="str">
        <f>if('Point Intercept 1'!G864 = 'Point Intercept 2'!G864, 'Point Intercept 1'!G864, "ERROR")</f>
        <v>LU</v>
      </c>
      <c r="H864" s="9">
        <f>if('Point Intercept 1'!I864 = 'Point Intercept 2'!I864, 'Point Intercept 1'!I864, "ERROR")</f>
        <v>2</v>
      </c>
      <c r="I864" s="9">
        <f>if('Point Intercept 1'!H864 = 'Point Intercept 2'!H864, 'Point Intercept 1'!H864, "ERROR")</f>
        <v>1</v>
      </c>
      <c r="J864" s="9">
        <f>if('Point Intercept 1'!J864 = 'Point Intercept 2'!J864, 'Point Intercept 1'!J864, "ERROR")</f>
        <v>0.5</v>
      </c>
      <c r="K864" s="9" t="str">
        <f>if('Point Intercept 1'!K864 = 'Point Intercept 2'!K864, 'Point Intercept 1'!K864, "ERROR")</f>
        <v>BROMAD</v>
      </c>
      <c r="L864" s="9" t="str">
        <f>if('Point Intercept 1'!L864 = 'Point Intercept 2'!L864, 'Point Intercept 1'!L864, "ERROR")</f>
        <v>Bromus madritensis</v>
      </c>
    </row>
    <row r="865">
      <c r="A865" s="9">
        <f>if('Point Intercept 1'!A866 = 'Point Intercept 2'!A865, 'Point Intercept 1'!A866, "ERROR")</f>
        <v>10</v>
      </c>
      <c r="B865" s="9">
        <f>if('Point Intercept 1'!B866 = 'Point Intercept 2'!B865, 'Point Intercept 1'!B866, "ERROR")</f>
        <v>2025</v>
      </c>
      <c r="C865" s="13">
        <f>if('Point Intercept 1'!C866 = 'Point Intercept 2'!C865, 'Point Intercept 1'!C866, "ERROR")</f>
        <v>45777</v>
      </c>
      <c r="D865" s="9" t="str">
        <f>if('Point Intercept 1'!D866 = 'Point Intercept 2'!D865, 'Point Intercept 1'!D866, "ERROR")</f>
        <v>CG, JD</v>
      </c>
      <c r="E865" s="9" t="str">
        <f>if('Point Intercept 1'!E866 = 'Point Intercept 2'!E865, 'Point Intercept 1'!E866, "ERROR")</f>
        <v>CU</v>
      </c>
      <c r="F865" s="9">
        <f>if('Point Intercept 1'!F866 = 'Point Intercept 2'!F865, 'Point Intercept 1'!F866, "ERROR")</f>
        <v>1</v>
      </c>
      <c r="G865" s="9" t="str">
        <f>if('Point Intercept 1'!G865 = 'Point Intercept 2'!G865, 'Point Intercept 1'!G865, "ERROR")</f>
        <v>LU</v>
      </c>
      <c r="H865" s="9">
        <f>if('Point Intercept 1'!I865 = 'Point Intercept 2'!I865, 'Point Intercept 1'!I865, "ERROR")</f>
        <v>2</v>
      </c>
      <c r="I865" s="9">
        <f>if('Point Intercept 1'!H865 = 'Point Intercept 2'!H865, 'Point Intercept 1'!H865, "ERROR")</f>
        <v>1</v>
      </c>
      <c r="J865" s="9">
        <f>if('Point Intercept 1'!J865 = 'Point Intercept 2'!J865, 'Point Intercept 1'!J865, "ERROR")</f>
        <v>0.5</v>
      </c>
      <c r="K865" s="9" t="str">
        <f>if('Point Intercept 1'!K865 = 'Point Intercept 2'!K865, 'Point Intercept 1'!K865, "ERROR")</f>
        <v>OPULIT</v>
      </c>
      <c r="L865" s="9" t="str">
        <f>if('Point Intercept 1'!L865 = 'Point Intercept 2'!L865, 'Point Intercept 1'!L865, "ERROR")</f>
        <v>Opuntia littoralis</v>
      </c>
    </row>
    <row r="866">
      <c r="A866" s="9">
        <f>if('Point Intercept 1'!A867 = 'Point Intercept 2'!A866, 'Point Intercept 1'!A867, "ERROR")</f>
        <v>10</v>
      </c>
      <c r="B866" s="9">
        <f>if('Point Intercept 1'!B867 = 'Point Intercept 2'!B866, 'Point Intercept 1'!B867, "ERROR")</f>
        <v>2025</v>
      </c>
      <c r="C866" s="13">
        <f>if('Point Intercept 1'!C867 = 'Point Intercept 2'!C866, 'Point Intercept 1'!C867, "ERROR")</f>
        <v>45777</v>
      </c>
      <c r="D866" s="9" t="str">
        <f>if('Point Intercept 1'!D867 = 'Point Intercept 2'!D866, 'Point Intercept 1'!D867, "ERROR")</f>
        <v>CG, JD</v>
      </c>
      <c r="E866" s="9" t="str">
        <f>if('Point Intercept 1'!E867 = 'Point Intercept 2'!E866, 'Point Intercept 1'!E867, "ERROR")</f>
        <v>CU</v>
      </c>
      <c r="F866" s="9">
        <f>if('Point Intercept 1'!F867 = 'Point Intercept 2'!F866, 'Point Intercept 1'!F867, "ERROR")</f>
        <v>1</v>
      </c>
      <c r="G866" s="9" t="str">
        <f>if('Point Intercept 1'!G866 = 'Point Intercept 2'!G866, 'Point Intercept 1'!G866, "ERROR")</f>
        <v>LU</v>
      </c>
      <c r="H866" s="9">
        <f>if('Point Intercept 1'!I866 = 'Point Intercept 2'!I866, 'Point Intercept 1'!I866, "ERROR")</f>
        <v>2</v>
      </c>
      <c r="I866" s="9">
        <f>if('Point Intercept 1'!H866 = 'Point Intercept 2'!H866, 'Point Intercept 1'!H866, "ERROR")</f>
        <v>1</v>
      </c>
      <c r="J866" s="9">
        <f>if('Point Intercept 1'!J866 = 'Point Intercept 2'!J866, 'Point Intercept 1'!J866, "ERROR")</f>
        <v>0.5</v>
      </c>
      <c r="K866" s="9" t="str">
        <f>if('Point Intercept 1'!K866 = 'Point Intercept 2'!K866, 'Point Intercept 1'!K866, "ERROR")</f>
        <v>DEIFAS</v>
      </c>
      <c r="L866" s="9" t="str">
        <f>if('Point Intercept 1'!L866 = 'Point Intercept 2'!L866, 'Point Intercept 1'!L866, "ERROR")</f>
        <v>Deinandra fasciculata</v>
      </c>
    </row>
    <row r="867">
      <c r="A867" s="9">
        <f>if('Point Intercept 1'!A868 = 'Point Intercept 2'!A867, 'Point Intercept 1'!A868, "ERROR")</f>
        <v>10</v>
      </c>
      <c r="B867" s="9">
        <f>if('Point Intercept 1'!B868 = 'Point Intercept 2'!B867, 'Point Intercept 1'!B868, "ERROR")</f>
        <v>2025</v>
      </c>
      <c r="C867" s="13">
        <f>if('Point Intercept 1'!C868 = 'Point Intercept 2'!C867, 'Point Intercept 1'!C868, "ERROR")</f>
        <v>45777</v>
      </c>
      <c r="D867" s="9" t="str">
        <f>if('Point Intercept 1'!D868 = 'Point Intercept 2'!D867, 'Point Intercept 1'!D868, "ERROR")</f>
        <v>CG, JD</v>
      </c>
      <c r="E867" s="9" t="str">
        <f>if('Point Intercept 1'!E868 = 'Point Intercept 2'!E867, 'Point Intercept 1'!E868, "ERROR")</f>
        <v>CU</v>
      </c>
      <c r="F867" s="9">
        <f>if('Point Intercept 1'!F868 = 'Point Intercept 2'!F867, 'Point Intercept 1'!F868, "ERROR")</f>
        <v>1</v>
      </c>
      <c r="G867" s="9" t="str">
        <f>if('Point Intercept 1'!G867 = 'Point Intercept 2'!G867, 'Point Intercept 1'!G867, "ERROR")</f>
        <v>LU</v>
      </c>
      <c r="H867" s="9">
        <f>if('Point Intercept 1'!I867 = 'Point Intercept 2'!I867, 'Point Intercept 1'!I867, "ERROR")</f>
        <v>2</v>
      </c>
      <c r="I867" s="9">
        <f>if('Point Intercept 1'!H867 = 'Point Intercept 2'!H867, 'Point Intercept 1'!H867, "ERROR")</f>
        <v>1</v>
      </c>
      <c r="J867" s="9">
        <f>if('Point Intercept 1'!J867 = 'Point Intercept 2'!J867, 'Point Intercept 1'!J867, "ERROR")</f>
        <v>0.5</v>
      </c>
      <c r="K867" s="9" t="str">
        <f>if('Point Intercept 1'!K867 = 'Point Intercept 2'!K867, 'Point Intercept 1'!K867, "ERROR")</f>
        <v>ANAARV</v>
      </c>
      <c r="L867" s="9" t="str">
        <f>if('Point Intercept 1'!L867 = 'Point Intercept 2'!L867, 'Point Intercept 1'!L867, "ERROR")</f>
        <v>Anagallis arvensis</v>
      </c>
    </row>
    <row r="868">
      <c r="A868" s="9">
        <f>if('Point Intercept 1'!A869 = 'Point Intercept 2'!A868, 'Point Intercept 1'!A869, "ERROR")</f>
        <v>10</v>
      </c>
      <c r="B868" s="9">
        <f>if('Point Intercept 1'!B869 = 'Point Intercept 2'!B868, 'Point Intercept 1'!B869, "ERROR")</f>
        <v>2025</v>
      </c>
      <c r="C868" s="13">
        <f>if('Point Intercept 1'!C869 = 'Point Intercept 2'!C868, 'Point Intercept 1'!C869, "ERROR")</f>
        <v>45777</v>
      </c>
      <c r="D868" s="9" t="str">
        <f>if('Point Intercept 1'!D869 = 'Point Intercept 2'!D868, 'Point Intercept 1'!D869, "ERROR")</f>
        <v>CG, JD</v>
      </c>
      <c r="E868" s="9" t="str">
        <f>if('Point Intercept 1'!E869 = 'Point Intercept 2'!E868, 'Point Intercept 1'!E869, "ERROR")</f>
        <v>CU</v>
      </c>
      <c r="F868" s="9">
        <f>if('Point Intercept 1'!F869 = 'Point Intercept 2'!F868, 'Point Intercept 1'!F869, "ERROR")</f>
        <v>1</v>
      </c>
      <c r="G868" s="9" t="str">
        <f>if('Point Intercept 1'!G868 = 'Point Intercept 2'!G868, 'Point Intercept 1'!G868, "ERROR")</f>
        <v>LU</v>
      </c>
      <c r="H868" s="9">
        <f>if('Point Intercept 1'!I868 = 'Point Intercept 2'!I868, 'Point Intercept 1'!I868, "ERROR")</f>
        <v>3</v>
      </c>
      <c r="I868" s="9">
        <f>if('Point Intercept 1'!H868 = 'Point Intercept 2'!H868, 'Point Intercept 1'!H868, "ERROR")</f>
        <v>1</v>
      </c>
      <c r="J868" s="9">
        <f>if('Point Intercept 1'!J868 = 'Point Intercept 2'!J868, 'Point Intercept 1'!J868, "ERROR")</f>
        <v>1</v>
      </c>
      <c r="K868" s="9" t="str">
        <f>if('Point Intercept 1'!K868 = 'Point Intercept 2'!K868, 'Point Intercept 1'!K868, "ERROR")</f>
        <v>L</v>
      </c>
      <c r="L868" s="9" t="str">
        <f>if('Point Intercept 1'!L868 = 'Point Intercept 2'!L868, 'Point Intercept 1'!L868, "ERROR")</f>
        <v>Litter</v>
      </c>
    </row>
    <row r="869">
      <c r="A869" s="9">
        <f>if('Point Intercept 1'!A870 = 'Point Intercept 2'!A869, 'Point Intercept 1'!A870, "ERROR")</f>
        <v>10</v>
      </c>
      <c r="B869" s="9">
        <f>if('Point Intercept 1'!B870 = 'Point Intercept 2'!B869, 'Point Intercept 1'!B870, "ERROR")</f>
        <v>2025</v>
      </c>
      <c r="C869" s="13">
        <f>if('Point Intercept 1'!C870 = 'Point Intercept 2'!C869, 'Point Intercept 1'!C870, "ERROR")</f>
        <v>45777</v>
      </c>
      <c r="D869" s="9" t="str">
        <f>if('Point Intercept 1'!D870 = 'Point Intercept 2'!D869, 'Point Intercept 1'!D870, "ERROR")</f>
        <v>CG, JD</v>
      </c>
      <c r="E869" s="9" t="str">
        <f>if('Point Intercept 1'!E870 = 'Point Intercept 2'!E869, 'Point Intercept 1'!E870, "ERROR")</f>
        <v>CU</v>
      </c>
      <c r="F869" s="9">
        <f>if('Point Intercept 1'!F870 = 'Point Intercept 2'!F869, 'Point Intercept 1'!F870, "ERROR")</f>
        <v>1</v>
      </c>
      <c r="G869" s="9" t="str">
        <f>if('Point Intercept 1'!G869 = 'Point Intercept 2'!G869, 'Point Intercept 1'!G869, "ERROR")</f>
        <v>LU</v>
      </c>
      <c r="H869" s="9">
        <f>if('Point Intercept 1'!I869 = 'Point Intercept 2'!I869, 'Point Intercept 1'!I869, "ERROR")</f>
        <v>3</v>
      </c>
      <c r="I869" s="9">
        <f>if('Point Intercept 1'!H869 = 'Point Intercept 2'!H869, 'Point Intercept 1'!H869, "ERROR")</f>
        <v>1</v>
      </c>
      <c r="J869" s="9">
        <f>if('Point Intercept 1'!J869 = 'Point Intercept 2'!J869, 'Point Intercept 1'!J869, "ERROR")</f>
        <v>1</v>
      </c>
      <c r="K869" s="9" t="str">
        <f>if('Point Intercept 1'!K869 = 'Point Intercept 2'!K869, 'Point Intercept 1'!K869, "ERROR")</f>
        <v>BROMAD</v>
      </c>
      <c r="L869" s="9" t="str">
        <f>if('Point Intercept 1'!L869 = 'Point Intercept 2'!L869, 'Point Intercept 1'!L869, "ERROR")</f>
        <v>Bromus madritensis</v>
      </c>
    </row>
    <row r="870">
      <c r="A870" s="9">
        <f>if('Point Intercept 1'!A871 = 'Point Intercept 2'!A870, 'Point Intercept 1'!A871, "ERROR")</f>
        <v>10</v>
      </c>
      <c r="B870" s="9">
        <f>if('Point Intercept 1'!B871 = 'Point Intercept 2'!B870, 'Point Intercept 1'!B871, "ERROR")</f>
        <v>2025</v>
      </c>
      <c r="C870" s="13">
        <f>if('Point Intercept 1'!C871 = 'Point Intercept 2'!C870, 'Point Intercept 1'!C871, "ERROR")</f>
        <v>45777</v>
      </c>
      <c r="D870" s="9" t="str">
        <f>if('Point Intercept 1'!D871 = 'Point Intercept 2'!D870, 'Point Intercept 1'!D871, "ERROR")</f>
        <v>CG, JD</v>
      </c>
      <c r="E870" s="9" t="str">
        <f>if('Point Intercept 1'!E871 = 'Point Intercept 2'!E870, 'Point Intercept 1'!E871, "ERROR")</f>
        <v>CU</v>
      </c>
      <c r="F870" s="9">
        <f>if('Point Intercept 1'!F871 = 'Point Intercept 2'!F870, 'Point Intercept 1'!F871, "ERROR")</f>
        <v>1</v>
      </c>
      <c r="G870" s="9" t="str">
        <f>if('Point Intercept 1'!G870 = 'Point Intercept 2'!G870, 'Point Intercept 1'!G870, "ERROR")</f>
        <v>LU</v>
      </c>
      <c r="H870" s="9">
        <f>if('Point Intercept 1'!I870 = 'Point Intercept 2'!I870, 'Point Intercept 1'!I870, "ERROR")</f>
        <v>3</v>
      </c>
      <c r="I870" s="9">
        <f>if('Point Intercept 1'!H870 = 'Point Intercept 2'!H870, 'Point Intercept 1'!H870, "ERROR")</f>
        <v>1</v>
      </c>
      <c r="J870" s="9">
        <f>if('Point Intercept 1'!J870 = 'Point Intercept 2'!J870, 'Point Intercept 1'!J870, "ERROR")</f>
        <v>1</v>
      </c>
      <c r="K870" s="9" t="str">
        <f>if('Point Intercept 1'!K870 = 'Point Intercept 2'!K870, 'Point Intercept 1'!K870, "ERROR")</f>
        <v>DEIFAS</v>
      </c>
      <c r="L870" s="9" t="str">
        <f>if('Point Intercept 1'!L870 = 'Point Intercept 2'!L870, 'Point Intercept 1'!L870, "ERROR")</f>
        <v>Deinandra fasciculata</v>
      </c>
    </row>
    <row r="871">
      <c r="A871" s="9">
        <f>if('Point Intercept 1'!A872 = 'Point Intercept 2'!A871, 'Point Intercept 1'!A872, "ERROR")</f>
        <v>10</v>
      </c>
      <c r="B871" s="9">
        <f>if('Point Intercept 1'!B872 = 'Point Intercept 2'!B871, 'Point Intercept 1'!B872, "ERROR")</f>
        <v>2025</v>
      </c>
      <c r="C871" s="13">
        <f>if('Point Intercept 1'!C872 = 'Point Intercept 2'!C871, 'Point Intercept 1'!C872, "ERROR")</f>
        <v>45777</v>
      </c>
      <c r="D871" s="9" t="str">
        <f>if('Point Intercept 1'!D872 = 'Point Intercept 2'!D871, 'Point Intercept 1'!D872, "ERROR")</f>
        <v>CG, JD</v>
      </c>
      <c r="E871" s="9" t="str">
        <f>if('Point Intercept 1'!E872 = 'Point Intercept 2'!E871, 'Point Intercept 1'!E872, "ERROR")</f>
        <v>CU</v>
      </c>
      <c r="F871" s="9">
        <f>if('Point Intercept 1'!F872 = 'Point Intercept 2'!F871, 'Point Intercept 1'!F872, "ERROR")</f>
        <v>1</v>
      </c>
      <c r="G871" s="9" t="str">
        <f>if('Point Intercept 1'!G871 = 'Point Intercept 2'!G871, 'Point Intercept 1'!G871, "ERROR")</f>
        <v>LU</v>
      </c>
      <c r="H871" s="9">
        <f>if('Point Intercept 1'!I871 = 'Point Intercept 2'!I871, 'Point Intercept 1'!I871, "ERROR")</f>
        <v>4</v>
      </c>
      <c r="I871" s="9">
        <f>if('Point Intercept 1'!H871 = 'Point Intercept 2'!H871, 'Point Intercept 1'!H871, "ERROR")</f>
        <v>1</v>
      </c>
      <c r="J871" s="9">
        <f>if('Point Intercept 1'!J871 = 'Point Intercept 2'!J871, 'Point Intercept 1'!J871, "ERROR")</f>
        <v>1.5</v>
      </c>
      <c r="K871" s="9" t="str">
        <f>if('Point Intercept 1'!K871 = 'Point Intercept 2'!K871, 'Point Intercept 1'!K871, "ERROR")</f>
        <v>S</v>
      </c>
      <c r="L871" s="9" t="str">
        <f>if('Point Intercept 1'!L871 = 'Point Intercept 2'!L871, 'Point Intercept 1'!L871, "ERROR")</f>
        <v>Stem</v>
      </c>
    </row>
    <row r="872">
      <c r="A872" s="9">
        <f>if('Point Intercept 1'!A873 = 'Point Intercept 2'!A872, 'Point Intercept 1'!A873, "ERROR")</f>
        <v>10</v>
      </c>
      <c r="B872" s="9">
        <f>if('Point Intercept 1'!B873 = 'Point Intercept 2'!B872, 'Point Intercept 1'!B873, "ERROR")</f>
        <v>2025</v>
      </c>
      <c r="C872" s="13">
        <f>if('Point Intercept 1'!C873 = 'Point Intercept 2'!C872, 'Point Intercept 1'!C873, "ERROR")</f>
        <v>45777</v>
      </c>
      <c r="D872" s="9" t="str">
        <f>if('Point Intercept 1'!D873 = 'Point Intercept 2'!D872, 'Point Intercept 1'!D873, "ERROR")</f>
        <v>CG, JD</v>
      </c>
      <c r="E872" s="9" t="str">
        <f>if('Point Intercept 1'!E873 = 'Point Intercept 2'!E872, 'Point Intercept 1'!E873, "ERROR")</f>
        <v>CU</v>
      </c>
      <c r="F872" s="9">
        <f>if('Point Intercept 1'!F873 = 'Point Intercept 2'!F872, 'Point Intercept 1'!F873, "ERROR")</f>
        <v>1</v>
      </c>
      <c r="G872" s="9" t="str">
        <f>if('Point Intercept 1'!G872 = 'Point Intercept 2'!G872, 'Point Intercept 1'!G872, "ERROR")</f>
        <v>LU</v>
      </c>
      <c r="H872" s="9">
        <f>if('Point Intercept 1'!I872 = 'Point Intercept 2'!I872, 'Point Intercept 1'!I872, "ERROR")</f>
        <v>4</v>
      </c>
      <c r="I872" s="9">
        <f>if('Point Intercept 1'!H872 = 'Point Intercept 2'!H872, 'Point Intercept 1'!H872, "ERROR")</f>
        <v>1</v>
      </c>
      <c r="J872" s="9">
        <f>if('Point Intercept 1'!J872 = 'Point Intercept 2'!J872, 'Point Intercept 1'!J872, "ERROR")</f>
        <v>1.5</v>
      </c>
      <c r="K872" s="9" t="str">
        <f>if('Point Intercept 1'!K872 = 'Point Intercept 2'!K872, 'Point Intercept 1'!K872, "ERROR")</f>
        <v>OPULIT</v>
      </c>
      <c r="L872" s="9" t="str">
        <f>if('Point Intercept 1'!L872 = 'Point Intercept 2'!L872, 'Point Intercept 1'!L872, "ERROR")</f>
        <v>Opuntia littoralis</v>
      </c>
    </row>
    <row r="873">
      <c r="A873" s="9">
        <f>if('Point Intercept 1'!A874 = 'Point Intercept 2'!A873, 'Point Intercept 1'!A874, "ERROR")</f>
        <v>10</v>
      </c>
      <c r="B873" s="9">
        <f>if('Point Intercept 1'!B874 = 'Point Intercept 2'!B873, 'Point Intercept 1'!B874, "ERROR")</f>
        <v>2025</v>
      </c>
      <c r="C873" s="13">
        <f>if('Point Intercept 1'!C874 = 'Point Intercept 2'!C873, 'Point Intercept 1'!C874, "ERROR")</f>
        <v>45777</v>
      </c>
      <c r="D873" s="9" t="str">
        <f>if('Point Intercept 1'!D874 = 'Point Intercept 2'!D873, 'Point Intercept 1'!D874, "ERROR")</f>
        <v>CG, JD</v>
      </c>
      <c r="E873" s="9" t="str">
        <f>if('Point Intercept 1'!E874 = 'Point Intercept 2'!E873, 'Point Intercept 1'!E874, "ERROR")</f>
        <v>CU</v>
      </c>
      <c r="F873" s="9">
        <f>if('Point Intercept 1'!F874 = 'Point Intercept 2'!F873, 'Point Intercept 1'!F874, "ERROR")</f>
        <v>1</v>
      </c>
      <c r="G873" s="9" t="str">
        <f>if('Point Intercept 1'!G873 = 'Point Intercept 2'!G873, 'Point Intercept 1'!G873, "ERROR")</f>
        <v>LU</v>
      </c>
      <c r="H873" s="9">
        <f>if('Point Intercept 1'!I873 = 'Point Intercept 2'!I873, 'Point Intercept 1'!I873, "ERROR")</f>
        <v>4</v>
      </c>
      <c r="I873" s="9">
        <f>if('Point Intercept 1'!H873 = 'Point Intercept 2'!H873, 'Point Intercept 1'!H873, "ERROR")</f>
        <v>1</v>
      </c>
      <c r="J873" s="9">
        <f>if('Point Intercept 1'!J873 = 'Point Intercept 2'!J873, 'Point Intercept 1'!J873, "ERROR")</f>
        <v>1.5</v>
      </c>
      <c r="K873" s="9" t="str">
        <f>if('Point Intercept 1'!K873 = 'Point Intercept 2'!K873, 'Point Intercept 1'!K873, "ERROR")</f>
        <v>UROLIN</v>
      </c>
      <c r="L873" s="9" t="str">
        <f>if('Point Intercept 1'!L873 = 'Point Intercept 2'!L873, 'Point Intercept 1'!L873, "ERROR")</f>
        <v>Uropappus lindleyi</v>
      </c>
    </row>
    <row r="874">
      <c r="A874" s="9">
        <f>if('Point Intercept 1'!A875 = 'Point Intercept 2'!A874, 'Point Intercept 1'!A875, "ERROR")</f>
        <v>10</v>
      </c>
      <c r="B874" s="9">
        <f>if('Point Intercept 1'!B875 = 'Point Intercept 2'!B874, 'Point Intercept 1'!B875, "ERROR")</f>
        <v>2025</v>
      </c>
      <c r="C874" s="13">
        <f>if('Point Intercept 1'!C875 = 'Point Intercept 2'!C874, 'Point Intercept 1'!C875, "ERROR")</f>
        <v>45777</v>
      </c>
      <c r="D874" s="9" t="str">
        <f>if('Point Intercept 1'!D875 = 'Point Intercept 2'!D874, 'Point Intercept 1'!D875, "ERROR")</f>
        <v>CG, JD</v>
      </c>
      <c r="E874" s="9" t="str">
        <f>if('Point Intercept 1'!E875 = 'Point Intercept 2'!E874, 'Point Intercept 1'!E875, "ERROR")</f>
        <v>CU</v>
      </c>
      <c r="F874" s="9">
        <f>if('Point Intercept 1'!F875 = 'Point Intercept 2'!F874, 'Point Intercept 1'!F875, "ERROR")</f>
        <v>1</v>
      </c>
      <c r="G874" s="9" t="str">
        <f>if('Point Intercept 1'!G874 = 'Point Intercept 2'!G874, 'Point Intercept 1'!G874, "ERROR")</f>
        <v>LU</v>
      </c>
      <c r="H874" s="9">
        <f>if('Point Intercept 1'!I874 = 'Point Intercept 2'!I874, 'Point Intercept 1'!I874, "ERROR")</f>
        <v>5</v>
      </c>
      <c r="I874" s="9">
        <f>if('Point Intercept 1'!H874 = 'Point Intercept 2'!H874, 'Point Intercept 1'!H874, "ERROR")</f>
        <v>1</v>
      </c>
      <c r="J874" s="9">
        <f>if('Point Intercept 1'!J874 = 'Point Intercept 2'!J874, 'Point Intercept 1'!J874, "ERROR")</f>
        <v>2</v>
      </c>
      <c r="K874" s="9" t="str">
        <f>if('Point Intercept 1'!K874 = 'Point Intercept 2'!K874, 'Point Intercept 1'!K874, "ERROR")</f>
        <v>L</v>
      </c>
      <c r="L874" s="9" t="str">
        <f>if('Point Intercept 1'!L874 = 'Point Intercept 2'!L874, 'Point Intercept 1'!L874, "ERROR")</f>
        <v>Litter</v>
      </c>
    </row>
    <row r="875">
      <c r="A875" s="9">
        <f>if('Point Intercept 1'!A876 = 'Point Intercept 2'!A875, 'Point Intercept 1'!A876, "ERROR")</f>
        <v>10</v>
      </c>
      <c r="B875" s="9">
        <f>if('Point Intercept 1'!B876 = 'Point Intercept 2'!B875, 'Point Intercept 1'!B876, "ERROR")</f>
        <v>2025</v>
      </c>
      <c r="C875" s="13">
        <f>if('Point Intercept 1'!C876 = 'Point Intercept 2'!C875, 'Point Intercept 1'!C876, "ERROR")</f>
        <v>45777</v>
      </c>
      <c r="D875" s="9" t="str">
        <f>if('Point Intercept 1'!D876 = 'Point Intercept 2'!D875, 'Point Intercept 1'!D876, "ERROR")</f>
        <v>CG, JD</v>
      </c>
      <c r="E875" s="9" t="str">
        <f>if('Point Intercept 1'!E876 = 'Point Intercept 2'!E875, 'Point Intercept 1'!E876, "ERROR")</f>
        <v>CU</v>
      </c>
      <c r="F875" s="9">
        <f>if('Point Intercept 1'!F876 = 'Point Intercept 2'!F875, 'Point Intercept 1'!F876, "ERROR")</f>
        <v>1</v>
      </c>
      <c r="G875" s="9" t="str">
        <f>if('Point Intercept 1'!G875 = 'Point Intercept 2'!G875, 'Point Intercept 1'!G875, "ERROR")</f>
        <v>LU</v>
      </c>
      <c r="H875" s="9">
        <f>if('Point Intercept 1'!I875 = 'Point Intercept 2'!I875, 'Point Intercept 1'!I875, "ERROR")</f>
        <v>5</v>
      </c>
      <c r="I875" s="9">
        <f>if('Point Intercept 1'!H875 = 'Point Intercept 2'!H875, 'Point Intercept 1'!H875, "ERROR")</f>
        <v>1</v>
      </c>
      <c r="J875" s="9">
        <f>if('Point Intercept 1'!J875 = 'Point Intercept 2'!J875, 'Point Intercept 1'!J875, "ERROR")</f>
        <v>2</v>
      </c>
      <c r="K875" s="9" t="str">
        <f>if('Point Intercept 1'!K875 = 'Point Intercept 2'!K875, 'Point Intercept 1'!K875, "ERROR")</f>
        <v>EROMOS</v>
      </c>
      <c r="L875" s="9" t="str">
        <f>if('Point Intercept 1'!L875 = 'Point Intercept 2'!L875, 'Point Intercept 1'!L875, "ERROR")</f>
        <v>Erodium moschatum</v>
      </c>
    </row>
    <row r="876">
      <c r="A876" s="9">
        <f>if('Point Intercept 1'!A877 = 'Point Intercept 2'!A876, 'Point Intercept 1'!A877, "ERROR")</f>
        <v>10</v>
      </c>
      <c r="B876" s="9">
        <f>if('Point Intercept 1'!B877 = 'Point Intercept 2'!B876, 'Point Intercept 1'!B877, "ERROR")</f>
        <v>2025</v>
      </c>
      <c r="C876" s="13">
        <f>if('Point Intercept 1'!C877 = 'Point Intercept 2'!C876, 'Point Intercept 1'!C877, "ERROR")</f>
        <v>45777</v>
      </c>
      <c r="D876" s="9" t="str">
        <f>if('Point Intercept 1'!D877 = 'Point Intercept 2'!D876, 'Point Intercept 1'!D877, "ERROR")</f>
        <v>CG, JD</v>
      </c>
      <c r="E876" s="9" t="str">
        <f>if('Point Intercept 1'!E877 = 'Point Intercept 2'!E876, 'Point Intercept 1'!E877, "ERROR")</f>
        <v>CU</v>
      </c>
      <c r="F876" s="9">
        <f>if('Point Intercept 1'!F877 = 'Point Intercept 2'!F876, 'Point Intercept 1'!F877, "ERROR")</f>
        <v>1</v>
      </c>
      <c r="G876" s="9" t="str">
        <f>if('Point Intercept 1'!G876 = 'Point Intercept 2'!G876, 'Point Intercept 1'!G876, "ERROR")</f>
        <v>LU</v>
      </c>
      <c r="H876" s="9">
        <f>if('Point Intercept 1'!I876 = 'Point Intercept 2'!I876, 'Point Intercept 1'!I876, "ERROR")</f>
        <v>5</v>
      </c>
      <c r="I876" s="9">
        <f>if('Point Intercept 1'!H876 = 'Point Intercept 2'!H876, 'Point Intercept 1'!H876, "ERROR")</f>
        <v>1</v>
      </c>
      <c r="J876" s="9">
        <f>if('Point Intercept 1'!J876 = 'Point Intercept 2'!J876, 'Point Intercept 1'!J876, "ERROR")</f>
        <v>2</v>
      </c>
      <c r="K876" s="9" t="str">
        <f>if('Point Intercept 1'!K876 = 'Point Intercept 2'!K876, 'Point Intercept 1'!K876, "ERROR")</f>
        <v>CENMEL</v>
      </c>
      <c r="L876" s="9" t="str">
        <f>if('Point Intercept 1'!L876 = 'Point Intercept 2'!L876, 'Point Intercept 1'!L876, "ERROR")</f>
        <v>Centaurea melitensis</v>
      </c>
    </row>
    <row r="877">
      <c r="A877" s="9">
        <f>if('Point Intercept 1'!A878 = 'Point Intercept 2'!A877, 'Point Intercept 1'!A878, "ERROR")</f>
        <v>10</v>
      </c>
      <c r="B877" s="9">
        <f>if('Point Intercept 1'!B878 = 'Point Intercept 2'!B877, 'Point Intercept 1'!B878, "ERROR")</f>
        <v>2025</v>
      </c>
      <c r="C877" s="13">
        <f>if('Point Intercept 1'!C878 = 'Point Intercept 2'!C877, 'Point Intercept 1'!C878, "ERROR")</f>
        <v>45777</v>
      </c>
      <c r="D877" s="9" t="str">
        <f>if('Point Intercept 1'!D878 = 'Point Intercept 2'!D877, 'Point Intercept 1'!D878, "ERROR")</f>
        <v>CG, JD</v>
      </c>
      <c r="E877" s="9" t="str">
        <f>if('Point Intercept 1'!E878 = 'Point Intercept 2'!E877, 'Point Intercept 1'!E878, "ERROR")</f>
        <v>CU</v>
      </c>
      <c r="F877" s="9">
        <f>if('Point Intercept 1'!F878 = 'Point Intercept 2'!F877, 'Point Intercept 1'!F878, "ERROR")</f>
        <v>1</v>
      </c>
      <c r="G877" s="9" t="str">
        <f>if('Point Intercept 1'!G877 = 'Point Intercept 2'!G877, 'Point Intercept 1'!G877, "ERROR")</f>
        <v>LU</v>
      </c>
      <c r="H877" s="9">
        <f>if('Point Intercept 1'!I877 = 'Point Intercept 2'!I877, 'Point Intercept 1'!I877, "ERROR")</f>
        <v>6</v>
      </c>
      <c r="I877" s="9">
        <f>if('Point Intercept 1'!H877 = 'Point Intercept 2'!H877, 'Point Intercept 1'!H877, "ERROR")</f>
        <v>1</v>
      </c>
      <c r="J877" s="9">
        <f>if('Point Intercept 1'!J877 = 'Point Intercept 2'!J877, 'Point Intercept 1'!J877, "ERROR")</f>
        <v>2.5</v>
      </c>
      <c r="K877" s="9" t="str">
        <f>if('Point Intercept 1'!K877 = 'Point Intercept 2'!K877, 'Point Intercept 1'!K877, "ERROR")</f>
        <v>B</v>
      </c>
      <c r="L877" s="9" t="str">
        <f>if('Point Intercept 1'!L877 = 'Point Intercept 2'!L877, 'Point Intercept 1'!L877, "ERROR")</f>
        <v>Bareground</v>
      </c>
    </row>
    <row r="878">
      <c r="A878" s="9">
        <f>if('Point Intercept 1'!A879 = 'Point Intercept 2'!A878, 'Point Intercept 1'!A879, "ERROR")</f>
        <v>10</v>
      </c>
      <c r="B878" s="9">
        <f>if('Point Intercept 1'!B879 = 'Point Intercept 2'!B878, 'Point Intercept 1'!B879, "ERROR")</f>
        <v>2025</v>
      </c>
      <c r="C878" s="13">
        <f>if('Point Intercept 1'!C879 = 'Point Intercept 2'!C878, 'Point Intercept 1'!C879, "ERROR")</f>
        <v>45777</v>
      </c>
      <c r="D878" s="9" t="str">
        <f>if('Point Intercept 1'!D879 = 'Point Intercept 2'!D878, 'Point Intercept 1'!D879, "ERROR")</f>
        <v>CG, JD</v>
      </c>
      <c r="E878" s="9" t="str">
        <f>if('Point Intercept 1'!E879 = 'Point Intercept 2'!E878, 'Point Intercept 1'!E879, "ERROR")</f>
        <v>CU</v>
      </c>
      <c r="F878" s="9">
        <f>if('Point Intercept 1'!F879 = 'Point Intercept 2'!F878, 'Point Intercept 1'!F879, "ERROR")</f>
        <v>1</v>
      </c>
      <c r="G878" s="9" t="str">
        <f>if('Point Intercept 1'!G878 = 'Point Intercept 2'!G878, 'Point Intercept 1'!G878, "ERROR")</f>
        <v>LU</v>
      </c>
      <c r="H878" s="9">
        <f>if('Point Intercept 1'!I878 = 'Point Intercept 2'!I878, 'Point Intercept 1'!I878, "ERROR")</f>
        <v>6</v>
      </c>
      <c r="I878" s="9">
        <f>if('Point Intercept 1'!H878 = 'Point Intercept 2'!H878, 'Point Intercept 1'!H878, "ERROR")</f>
        <v>1</v>
      </c>
      <c r="J878" s="9">
        <f>if('Point Intercept 1'!J878 = 'Point Intercept 2'!J878, 'Point Intercept 1'!J878, "ERROR")</f>
        <v>2.5</v>
      </c>
      <c r="K878" s="9" t="str">
        <f>if('Point Intercept 1'!K878 = 'Point Intercept 2'!K878, 'Point Intercept 1'!K878, "ERROR")</f>
        <v>OPULIT</v>
      </c>
      <c r="L878" s="9" t="str">
        <f>if('Point Intercept 1'!L878 = 'Point Intercept 2'!L878, 'Point Intercept 1'!L878, "ERROR")</f>
        <v>Opuntia littoralis</v>
      </c>
    </row>
    <row r="879">
      <c r="A879" s="9">
        <f>if('Point Intercept 1'!A880 = 'Point Intercept 2'!A879, 'Point Intercept 1'!A880, "ERROR")</f>
        <v>10</v>
      </c>
      <c r="B879" s="9">
        <f>if('Point Intercept 1'!B880 = 'Point Intercept 2'!B879, 'Point Intercept 1'!B880, "ERROR")</f>
        <v>2025</v>
      </c>
      <c r="C879" s="13">
        <f>if('Point Intercept 1'!C880 = 'Point Intercept 2'!C879, 'Point Intercept 1'!C880, "ERROR")</f>
        <v>45777</v>
      </c>
      <c r="D879" s="9" t="str">
        <f>if('Point Intercept 1'!D880 = 'Point Intercept 2'!D879, 'Point Intercept 1'!D880, "ERROR")</f>
        <v>CG, JD</v>
      </c>
      <c r="E879" s="9" t="str">
        <f>if('Point Intercept 1'!E880 = 'Point Intercept 2'!E879, 'Point Intercept 1'!E880, "ERROR")</f>
        <v>CU</v>
      </c>
      <c r="F879" s="9">
        <f>if('Point Intercept 1'!F880 = 'Point Intercept 2'!F879, 'Point Intercept 1'!F880, "ERROR")</f>
        <v>1</v>
      </c>
      <c r="G879" s="9" t="str">
        <f>if('Point Intercept 1'!G879 = 'Point Intercept 2'!G879, 'Point Intercept 1'!G879, "ERROR")</f>
        <v>LU</v>
      </c>
      <c r="H879" s="9">
        <f>if('Point Intercept 1'!I879 = 'Point Intercept 2'!I879, 'Point Intercept 1'!I879, "ERROR")</f>
        <v>6</v>
      </c>
      <c r="I879" s="9">
        <f>if('Point Intercept 1'!H879 = 'Point Intercept 2'!H879, 'Point Intercept 1'!H879, "ERROR")</f>
        <v>1</v>
      </c>
      <c r="J879" s="9">
        <f>if('Point Intercept 1'!J879 = 'Point Intercept 2'!J879, 'Point Intercept 1'!J879, "ERROR")</f>
        <v>2.5</v>
      </c>
      <c r="K879" s="9" t="str">
        <f>if('Point Intercept 1'!K879 = 'Point Intercept 2'!K879, 'Point Intercept 1'!K879, "ERROR")</f>
        <v>SONASP</v>
      </c>
      <c r="L879" s="9" t="str">
        <f>if('Point Intercept 1'!L879 = 'Point Intercept 2'!L879, 'Point Intercept 1'!L879, "ERROR")</f>
        <v>Sonchus asper</v>
      </c>
    </row>
    <row r="880">
      <c r="A880" s="9">
        <f>if('Point Intercept 1'!A881 = 'Point Intercept 2'!A880, 'Point Intercept 1'!A881, "ERROR")</f>
        <v>10</v>
      </c>
      <c r="B880" s="9">
        <f>if('Point Intercept 1'!B881 = 'Point Intercept 2'!B880, 'Point Intercept 1'!B881, "ERROR")</f>
        <v>2025</v>
      </c>
      <c r="C880" s="13">
        <f>if('Point Intercept 1'!C881 = 'Point Intercept 2'!C880, 'Point Intercept 1'!C881, "ERROR")</f>
        <v>45777</v>
      </c>
      <c r="D880" s="9" t="str">
        <f>if('Point Intercept 1'!D881 = 'Point Intercept 2'!D880, 'Point Intercept 1'!D881, "ERROR")</f>
        <v>CG, JD</v>
      </c>
      <c r="E880" s="9" t="str">
        <f>if('Point Intercept 1'!E881 = 'Point Intercept 2'!E880, 'Point Intercept 1'!E881, "ERROR")</f>
        <v>CU</v>
      </c>
      <c r="F880" s="9">
        <f>if('Point Intercept 1'!F881 = 'Point Intercept 2'!F880, 'Point Intercept 1'!F881, "ERROR")</f>
        <v>1</v>
      </c>
      <c r="G880" s="9" t="str">
        <f>if('Point Intercept 1'!G880 = 'Point Intercept 2'!G880, 'Point Intercept 1'!G880, "ERROR")</f>
        <v>LU</v>
      </c>
      <c r="H880" s="9">
        <f>if('Point Intercept 1'!I880 = 'Point Intercept 2'!I880, 'Point Intercept 1'!I880, "ERROR")</f>
        <v>6</v>
      </c>
      <c r="I880" s="9">
        <f>if('Point Intercept 1'!H880 = 'Point Intercept 2'!H880, 'Point Intercept 1'!H880, "ERROR")</f>
        <v>1</v>
      </c>
      <c r="J880" s="9">
        <f>if('Point Intercept 1'!J880 = 'Point Intercept 2'!J880, 'Point Intercept 1'!J880, "ERROR")</f>
        <v>2.5</v>
      </c>
      <c r="K880" s="9" t="str">
        <f>if('Point Intercept 1'!K880 = 'Point Intercept 2'!K880, 'Point Intercept 1'!K880, "ERROR")</f>
        <v>FESMYU</v>
      </c>
      <c r="L880" s="9" t="str">
        <f>if('Point Intercept 1'!L880 = 'Point Intercept 2'!L880, 'Point Intercept 1'!L880, "ERROR")</f>
        <v>Festuca myuros</v>
      </c>
    </row>
    <row r="881">
      <c r="A881" s="9">
        <f>if('Point Intercept 1'!A882 = 'Point Intercept 2'!A881, 'Point Intercept 1'!A882, "ERROR")</f>
        <v>10</v>
      </c>
      <c r="B881" s="9">
        <f>if('Point Intercept 1'!B882 = 'Point Intercept 2'!B881, 'Point Intercept 1'!B882, "ERROR")</f>
        <v>2025</v>
      </c>
      <c r="C881" s="13">
        <f>if('Point Intercept 1'!C882 = 'Point Intercept 2'!C881, 'Point Intercept 1'!C882, "ERROR")</f>
        <v>45777</v>
      </c>
      <c r="D881" s="9" t="str">
        <f>if('Point Intercept 1'!D882 = 'Point Intercept 2'!D881, 'Point Intercept 1'!D882, "ERROR")</f>
        <v>CG, JD</v>
      </c>
      <c r="E881" s="9" t="str">
        <f>if('Point Intercept 1'!E882 = 'Point Intercept 2'!E881, 'Point Intercept 1'!E882, "ERROR")</f>
        <v>CU</v>
      </c>
      <c r="F881" s="9">
        <f>if('Point Intercept 1'!F882 = 'Point Intercept 2'!F881, 'Point Intercept 1'!F882, "ERROR")</f>
        <v>1</v>
      </c>
      <c r="G881" s="9" t="str">
        <f>if('Point Intercept 1'!G881 = 'Point Intercept 2'!G881, 'Point Intercept 1'!G881, "ERROR")</f>
        <v>LU</v>
      </c>
      <c r="H881" s="9">
        <f>if('Point Intercept 1'!I881 = 'Point Intercept 2'!I881, 'Point Intercept 1'!I881, "ERROR")</f>
        <v>7</v>
      </c>
      <c r="I881" s="9">
        <f>if('Point Intercept 1'!H881 = 'Point Intercept 2'!H881, 'Point Intercept 1'!H881, "ERROR")</f>
        <v>1</v>
      </c>
      <c r="J881" s="9">
        <f>if('Point Intercept 1'!J881 = 'Point Intercept 2'!J881, 'Point Intercept 1'!J881, "ERROR")</f>
        <v>3</v>
      </c>
      <c r="K881" s="9" t="str">
        <f>if('Point Intercept 1'!K881 = 'Point Intercept 2'!K881, 'Point Intercept 1'!K881, "ERROR")</f>
        <v>L</v>
      </c>
      <c r="L881" s="9" t="str">
        <f>if('Point Intercept 1'!L881 = 'Point Intercept 2'!L881, 'Point Intercept 1'!L881, "ERROR")</f>
        <v>Litter</v>
      </c>
    </row>
    <row r="882">
      <c r="A882" s="9">
        <f>if('Point Intercept 1'!A883 = 'Point Intercept 2'!A882, 'Point Intercept 1'!A883, "ERROR")</f>
        <v>10</v>
      </c>
      <c r="B882" s="9">
        <f>if('Point Intercept 1'!B883 = 'Point Intercept 2'!B882, 'Point Intercept 1'!B883, "ERROR")</f>
        <v>2025</v>
      </c>
      <c r="C882" s="13">
        <f>if('Point Intercept 1'!C883 = 'Point Intercept 2'!C882, 'Point Intercept 1'!C883, "ERROR")</f>
        <v>45777</v>
      </c>
      <c r="D882" s="9" t="str">
        <f>if('Point Intercept 1'!D883 = 'Point Intercept 2'!D882, 'Point Intercept 1'!D883, "ERROR")</f>
        <v>CG, JD</v>
      </c>
      <c r="E882" s="9" t="str">
        <f>if('Point Intercept 1'!E883 = 'Point Intercept 2'!E882, 'Point Intercept 1'!E883, "ERROR")</f>
        <v>CU</v>
      </c>
      <c r="F882" s="9">
        <f>if('Point Intercept 1'!F883 = 'Point Intercept 2'!F882, 'Point Intercept 1'!F883, "ERROR")</f>
        <v>1</v>
      </c>
      <c r="G882" s="9" t="str">
        <f>if('Point Intercept 1'!G882 = 'Point Intercept 2'!G882, 'Point Intercept 1'!G882, "ERROR")</f>
        <v>LU</v>
      </c>
      <c r="H882" s="9">
        <f>if('Point Intercept 1'!I882 = 'Point Intercept 2'!I882, 'Point Intercept 1'!I882, "ERROR")</f>
        <v>7</v>
      </c>
      <c r="I882" s="9">
        <f>if('Point Intercept 1'!H882 = 'Point Intercept 2'!H882, 'Point Intercept 1'!H882, "ERROR")</f>
        <v>1</v>
      </c>
      <c r="J882" s="9">
        <f>if('Point Intercept 1'!J882 = 'Point Intercept 2'!J882, 'Point Intercept 1'!J882, "ERROR")</f>
        <v>3</v>
      </c>
      <c r="K882" s="9" t="str">
        <f>if('Point Intercept 1'!K882 = 'Point Intercept 2'!K882, 'Point Intercept 1'!K882, "ERROR")</f>
        <v>SONASP</v>
      </c>
      <c r="L882" s="9" t="str">
        <f>if('Point Intercept 1'!L882 = 'Point Intercept 2'!L882, 'Point Intercept 1'!L882, "ERROR")</f>
        <v>Sonchus asper</v>
      </c>
    </row>
    <row r="883">
      <c r="A883" s="9">
        <f>if('Point Intercept 1'!A884 = 'Point Intercept 2'!A883, 'Point Intercept 1'!A884, "ERROR")</f>
        <v>10</v>
      </c>
      <c r="B883" s="9">
        <f>if('Point Intercept 1'!B884 = 'Point Intercept 2'!B883, 'Point Intercept 1'!B884, "ERROR")</f>
        <v>2025</v>
      </c>
      <c r="C883" s="13">
        <f>if('Point Intercept 1'!C884 = 'Point Intercept 2'!C883, 'Point Intercept 1'!C884, "ERROR")</f>
        <v>45777</v>
      </c>
      <c r="D883" s="9" t="str">
        <f>if('Point Intercept 1'!D884 = 'Point Intercept 2'!D883, 'Point Intercept 1'!D884, "ERROR")</f>
        <v>CG, JD</v>
      </c>
      <c r="E883" s="9" t="str">
        <f>if('Point Intercept 1'!E884 = 'Point Intercept 2'!E883, 'Point Intercept 1'!E884, "ERROR")</f>
        <v>CU</v>
      </c>
      <c r="F883" s="9">
        <f>if('Point Intercept 1'!F884 = 'Point Intercept 2'!F883, 'Point Intercept 1'!F884, "ERROR")</f>
        <v>1</v>
      </c>
      <c r="G883" s="9" t="str">
        <f>if('Point Intercept 1'!G883 = 'Point Intercept 2'!G883, 'Point Intercept 1'!G883, "ERROR")</f>
        <v>LU</v>
      </c>
      <c r="H883" s="9">
        <f>if('Point Intercept 1'!I883 = 'Point Intercept 2'!I883, 'Point Intercept 1'!I883, "ERROR")</f>
        <v>7</v>
      </c>
      <c r="I883" s="9">
        <f>if('Point Intercept 1'!H883 = 'Point Intercept 2'!H883, 'Point Intercept 1'!H883, "ERROR")</f>
        <v>1</v>
      </c>
      <c r="J883" s="9">
        <f>if('Point Intercept 1'!J883 = 'Point Intercept 2'!J883, 'Point Intercept 1'!J883, "ERROR")</f>
        <v>3</v>
      </c>
      <c r="K883" s="9" t="str">
        <f>if('Point Intercept 1'!K883 = 'Point Intercept 2'!K883, 'Point Intercept 1'!K883, "ERROR")</f>
        <v>DEIFAS</v>
      </c>
      <c r="L883" s="9" t="str">
        <f>if('Point Intercept 1'!L883 = 'Point Intercept 2'!L883, 'Point Intercept 1'!L883, "ERROR")</f>
        <v>Deinandra fasciculata</v>
      </c>
    </row>
    <row r="884">
      <c r="A884" s="9">
        <f>if('Point Intercept 1'!A885 = 'Point Intercept 2'!A884, 'Point Intercept 1'!A885, "ERROR")</f>
        <v>10</v>
      </c>
      <c r="B884" s="9">
        <f>if('Point Intercept 1'!B885 = 'Point Intercept 2'!B884, 'Point Intercept 1'!B885, "ERROR")</f>
        <v>2025</v>
      </c>
      <c r="C884" s="13">
        <f>if('Point Intercept 1'!C885 = 'Point Intercept 2'!C884, 'Point Intercept 1'!C885, "ERROR")</f>
        <v>45777</v>
      </c>
      <c r="D884" s="9" t="str">
        <f>if('Point Intercept 1'!D885 = 'Point Intercept 2'!D884, 'Point Intercept 1'!D885, "ERROR")</f>
        <v>CG, JD</v>
      </c>
      <c r="E884" s="9" t="str">
        <f>if('Point Intercept 1'!E885 = 'Point Intercept 2'!E884, 'Point Intercept 1'!E885, "ERROR")</f>
        <v>CU</v>
      </c>
      <c r="F884" s="9">
        <f>if('Point Intercept 1'!F885 = 'Point Intercept 2'!F884, 'Point Intercept 1'!F885, "ERROR")</f>
        <v>1</v>
      </c>
      <c r="G884" s="9" t="str">
        <f>if('Point Intercept 1'!G884 = 'Point Intercept 2'!G884, 'Point Intercept 1'!G884, "ERROR")</f>
        <v>LU</v>
      </c>
      <c r="H884" s="9">
        <f>if('Point Intercept 1'!I884 = 'Point Intercept 2'!I884, 'Point Intercept 1'!I884, "ERROR")</f>
        <v>7</v>
      </c>
      <c r="I884" s="9">
        <f>if('Point Intercept 1'!H884 = 'Point Intercept 2'!H884, 'Point Intercept 1'!H884, "ERROR")</f>
        <v>1</v>
      </c>
      <c r="J884" s="9">
        <f>if('Point Intercept 1'!J884 = 'Point Intercept 2'!J884, 'Point Intercept 1'!J884, "ERROR")</f>
        <v>3</v>
      </c>
      <c r="K884" s="9" t="str">
        <f>if('Point Intercept 1'!K884 = 'Point Intercept 2'!K884, 'Point Intercept 1'!K884, "ERROR")</f>
        <v>OPULIT</v>
      </c>
      <c r="L884" s="9" t="str">
        <f>if('Point Intercept 1'!L884 = 'Point Intercept 2'!L884, 'Point Intercept 1'!L884, "ERROR")</f>
        <v>Opuntia littoralis</v>
      </c>
    </row>
    <row r="885">
      <c r="A885" s="9">
        <f>if('Point Intercept 1'!A886 = 'Point Intercept 2'!A885, 'Point Intercept 1'!A886, "ERROR")</f>
        <v>10</v>
      </c>
      <c r="B885" s="9">
        <f>if('Point Intercept 1'!B886 = 'Point Intercept 2'!B885, 'Point Intercept 1'!B886, "ERROR")</f>
        <v>2025</v>
      </c>
      <c r="C885" s="13">
        <f>if('Point Intercept 1'!C886 = 'Point Intercept 2'!C885, 'Point Intercept 1'!C886, "ERROR")</f>
        <v>45777</v>
      </c>
      <c r="D885" s="9" t="str">
        <f>if('Point Intercept 1'!D886 = 'Point Intercept 2'!D885, 'Point Intercept 1'!D886, "ERROR")</f>
        <v>CG, JD</v>
      </c>
      <c r="E885" s="9" t="str">
        <f>if('Point Intercept 1'!E886 = 'Point Intercept 2'!E885, 'Point Intercept 1'!E886, "ERROR")</f>
        <v>CU</v>
      </c>
      <c r="F885" s="9">
        <f>if('Point Intercept 1'!F886 = 'Point Intercept 2'!F885, 'Point Intercept 1'!F886, "ERROR")</f>
        <v>1</v>
      </c>
      <c r="G885" s="9" t="str">
        <f>if('Point Intercept 1'!G885 = 'Point Intercept 2'!G885, 'Point Intercept 1'!G885, "ERROR")</f>
        <v>LU</v>
      </c>
      <c r="H885" s="9">
        <f>if('Point Intercept 1'!I885 = 'Point Intercept 2'!I885, 'Point Intercept 1'!I885, "ERROR")</f>
        <v>8</v>
      </c>
      <c r="I885" s="9">
        <f>if('Point Intercept 1'!H885 = 'Point Intercept 2'!H885, 'Point Intercept 1'!H885, "ERROR")</f>
        <v>1</v>
      </c>
      <c r="J885" s="9">
        <f>if('Point Intercept 1'!J885 = 'Point Intercept 2'!J885, 'Point Intercept 1'!J885, "ERROR")</f>
        <v>3.5</v>
      </c>
      <c r="K885" s="9" t="str">
        <f>if('Point Intercept 1'!K885 = 'Point Intercept 2'!K885, 'Point Intercept 1'!K885, "ERROR")</f>
        <v>L</v>
      </c>
      <c r="L885" s="9" t="str">
        <f>if('Point Intercept 1'!L885 = 'Point Intercept 2'!L885, 'Point Intercept 1'!L885, "ERROR")</f>
        <v>Litter</v>
      </c>
    </row>
    <row r="886">
      <c r="A886" s="9">
        <f>if('Point Intercept 1'!A887 = 'Point Intercept 2'!A886, 'Point Intercept 1'!A887, "ERROR")</f>
        <v>10</v>
      </c>
      <c r="B886" s="9">
        <f>if('Point Intercept 1'!B887 = 'Point Intercept 2'!B886, 'Point Intercept 1'!B887, "ERROR")</f>
        <v>2025</v>
      </c>
      <c r="C886" s="13">
        <f>if('Point Intercept 1'!C887 = 'Point Intercept 2'!C886, 'Point Intercept 1'!C887, "ERROR")</f>
        <v>45777</v>
      </c>
      <c r="D886" s="9" t="str">
        <f>if('Point Intercept 1'!D887 = 'Point Intercept 2'!D886, 'Point Intercept 1'!D887, "ERROR")</f>
        <v>CG, JD</v>
      </c>
      <c r="E886" s="9" t="str">
        <f>if('Point Intercept 1'!E887 = 'Point Intercept 2'!E886, 'Point Intercept 1'!E887, "ERROR")</f>
        <v>CU</v>
      </c>
      <c r="F886" s="9">
        <f>if('Point Intercept 1'!F887 = 'Point Intercept 2'!F886, 'Point Intercept 1'!F887, "ERROR")</f>
        <v>1</v>
      </c>
      <c r="G886" s="9" t="str">
        <f>if('Point Intercept 1'!G886 = 'Point Intercept 2'!G886, 'Point Intercept 1'!G886, "ERROR")</f>
        <v>LU</v>
      </c>
      <c r="H886" s="9">
        <f>if('Point Intercept 1'!I886 = 'Point Intercept 2'!I886, 'Point Intercept 1'!I886, "ERROR")</f>
        <v>8</v>
      </c>
      <c r="I886" s="9">
        <f>if('Point Intercept 1'!H886 = 'Point Intercept 2'!H886, 'Point Intercept 1'!H886, "ERROR")</f>
        <v>1</v>
      </c>
      <c r="J886" s="9">
        <f>if('Point Intercept 1'!J886 = 'Point Intercept 2'!J886, 'Point Intercept 1'!J886, "ERROR")</f>
        <v>3.5</v>
      </c>
      <c r="K886" s="9" t="str">
        <f>if('Point Intercept 1'!K886 = 'Point Intercept 2'!K886, 'Point Intercept 1'!K886, "ERROR")</f>
        <v>DEIFAS</v>
      </c>
      <c r="L886" s="9" t="str">
        <f>if('Point Intercept 1'!L886 = 'Point Intercept 2'!L886, 'Point Intercept 1'!L886, "ERROR")</f>
        <v>Deinandra fasciculata</v>
      </c>
    </row>
    <row r="887">
      <c r="A887" s="9">
        <f>if('Point Intercept 1'!A888 = 'Point Intercept 2'!A887, 'Point Intercept 1'!A888, "ERROR")</f>
        <v>10</v>
      </c>
      <c r="B887" s="9">
        <f>if('Point Intercept 1'!B888 = 'Point Intercept 2'!B887, 'Point Intercept 1'!B888, "ERROR")</f>
        <v>2025</v>
      </c>
      <c r="C887" s="13">
        <f>if('Point Intercept 1'!C888 = 'Point Intercept 2'!C887, 'Point Intercept 1'!C888, "ERROR")</f>
        <v>45777</v>
      </c>
      <c r="D887" s="9" t="str">
        <f>if('Point Intercept 1'!D888 = 'Point Intercept 2'!D887, 'Point Intercept 1'!D888, "ERROR")</f>
        <v>CG, JD</v>
      </c>
      <c r="E887" s="9" t="str">
        <f>if('Point Intercept 1'!E888 = 'Point Intercept 2'!E887, 'Point Intercept 1'!E888, "ERROR")</f>
        <v>CU</v>
      </c>
      <c r="F887" s="9">
        <f>if('Point Intercept 1'!F888 = 'Point Intercept 2'!F887, 'Point Intercept 1'!F888, "ERROR")</f>
        <v>1</v>
      </c>
      <c r="G887" s="9" t="str">
        <f>if('Point Intercept 1'!G887 = 'Point Intercept 2'!G887, 'Point Intercept 1'!G887, "ERROR")</f>
        <v>LU</v>
      </c>
      <c r="H887" s="9">
        <f>if('Point Intercept 1'!I887 = 'Point Intercept 2'!I887, 'Point Intercept 1'!I887, "ERROR")</f>
        <v>9</v>
      </c>
      <c r="I887" s="9">
        <f>if('Point Intercept 1'!H887 = 'Point Intercept 2'!H887, 'Point Intercept 1'!H887, "ERROR")</f>
        <v>1</v>
      </c>
      <c r="J887" s="9">
        <f>if('Point Intercept 1'!J887 = 'Point Intercept 2'!J887, 'Point Intercept 1'!J887, "ERROR")</f>
        <v>4</v>
      </c>
      <c r="K887" s="9" t="str">
        <f>if('Point Intercept 1'!K887 = 'Point Intercept 2'!K887, 'Point Intercept 1'!K887, "ERROR")</f>
        <v>TH</v>
      </c>
      <c r="L887" s="9" t="str">
        <f>if('Point Intercept 1'!L887 = 'Point Intercept 2'!L887, 'Point Intercept 1'!L887, "ERROR")</f>
        <v>Thatch</v>
      </c>
    </row>
    <row r="888">
      <c r="A888" s="9">
        <f>if('Point Intercept 1'!A889 = 'Point Intercept 2'!A888, 'Point Intercept 1'!A889, "ERROR")</f>
        <v>10</v>
      </c>
      <c r="B888" s="9">
        <f>if('Point Intercept 1'!B889 = 'Point Intercept 2'!B888, 'Point Intercept 1'!B889, "ERROR")</f>
        <v>2025</v>
      </c>
      <c r="C888" s="13">
        <f>if('Point Intercept 1'!C889 = 'Point Intercept 2'!C888, 'Point Intercept 1'!C889, "ERROR")</f>
        <v>45777</v>
      </c>
      <c r="D888" s="9" t="str">
        <f>if('Point Intercept 1'!D889 = 'Point Intercept 2'!D888, 'Point Intercept 1'!D889, "ERROR")</f>
        <v>CG, JD</v>
      </c>
      <c r="E888" s="9" t="str">
        <f>if('Point Intercept 1'!E889 = 'Point Intercept 2'!E888, 'Point Intercept 1'!E889, "ERROR")</f>
        <v>CU</v>
      </c>
      <c r="F888" s="9">
        <f>if('Point Intercept 1'!F889 = 'Point Intercept 2'!F888, 'Point Intercept 1'!F889, "ERROR")</f>
        <v>1</v>
      </c>
      <c r="G888" s="9" t="str">
        <f>if('Point Intercept 1'!G888 = 'Point Intercept 2'!G888, 'Point Intercept 1'!G888, "ERROR")</f>
        <v>LU</v>
      </c>
      <c r="H888" s="9">
        <f>if('Point Intercept 1'!I888 = 'Point Intercept 2'!I888, 'Point Intercept 1'!I888, "ERROR")</f>
        <v>9</v>
      </c>
      <c r="I888" s="9">
        <f>if('Point Intercept 1'!H888 = 'Point Intercept 2'!H888, 'Point Intercept 1'!H888, "ERROR")</f>
        <v>1</v>
      </c>
      <c r="J888" s="9">
        <f>if('Point Intercept 1'!J888 = 'Point Intercept 2'!J888, 'Point Intercept 1'!J888, "ERROR")</f>
        <v>4</v>
      </c>
      <c r="K888" s="9" t="str">
        <f>if('Point Intercept 1'!K888 = 'Point Intercept 2'!K888, 'Point Intercept 1'!K888, "ERROR")</f>
        <v>FESMYU</v>
      </c>
      <c r="L888" s="9" t="str">
        <f>if('Point Intercept 1'!L888 = 'Point Intercept 2'!L888, 'Point Intercept 1'!L888, "ERROR")</f>
        <v>Festuca myuros</v>
      </c>
    </row>
    <row r="889">
      <c r="A889" s="9">
        <f>if('Point Intercept 1'!A890 = 'Point Intercept 2'!A889, 'Point Intercept 1'!A890, "ERROR")</f>
        <v>10</v>
      </c>
      <c r="B889" s="9">
        <f>if('Point Intercept 1'!B890 = 'Point Intercept 2'!B889, 'Point Intercept 1'!B890, "ERROR")</f>
        <v>2025</v>
      </c>
      <c r="C889" s="13">
        <f>if('Point Intercept 1'!C890 = 'Point Intercept 2'!C889, 'Point Intercept 1'!C890, "ERROR")</f>
        <v>45777</v>
      </c>
      <c r="D889" s="9" t="str">
        <f>if('Point Intercept 1'!D890 = 'Point Intercept 2'!D889, 'Point Intercept 1'!D890, "ERROR")</f>
        <v>CG, JD</v>
      </c>
      <c r="E889" s="9" t="str">
        <f>if('Point Intercept 1'!E890 = 'Point Intercept 2'!E889, 'Point Intercept 1'!E890, "ERROR")</f>
        <v>CU</v>
      </c>
      <c r="F889" s="9">
        <f>if('Point Intercept 1'!F890 = 'Point Intercept 2'!F889, 'Point Intercept 1'!F890, "ERROR")</f>
        <v>1</v>
      </c>
      <c r="G889" s="9" t="str">
        <f>if('Point Intercept 1'!G889 = 'Point Intercept 2'!G889, 'Point Intercept 1'!G889, "ERROR")</f>
        <v>LU</v>
      </c>
      <c r="H889" s="9">
        <f>if('Point Intercept 1'!I889 = 'Point Intercept 2'!I889, 'Point Intercept 1'!I889, "ERROR")</f>
        <v>9</v>
      </c>
      <c r="I889" s="9">
        <f>if('Point Intercept 1'!H889 = 'Point Intercept 2'!H889, 'Point Intercept 1'!H889, "ERROR")</f>
        <v>1</v>
      </c>
      <c r="J889" s="9">
        <f>if('Point Intercept 1'!J889 = 'Point Intercept 2'!J889, 'Point Intercept 1'!J889, "ERROR")</f>
        <v>4</v>
      </c>
      <c r="K889" s="9" t="str">
        <f>if('Point Intercept 1'!K889 = 'Point Intercept 2'!K889, 'Point Intercept 1'!K889, "ERROR")</f>
        <v>BROMAD</v>
      </c>
      <c r="L889" s="9" t="str">
        <f>if('Point Intercept 1'!L889 = 'Point Intercept 2'!L889, 'Point Intercept 1'!L889, "ERROR")</f>
        <v>Bromus madritensis</v>
      </c>
    </row>
    <row r="890">
      <c r="A890" s="9">
        <f>if('Point Intercept 1'!A891 = 'Point Intercept 2'!A890, 'Point Intercept 1'!A891, "ERROR")</f>
        <v>10</v>
      </c>
      <c r="B890" s="9">
        <f>if('Point Intercept 1'!B891 = 'Point Intercept 2'!B890, 'Point Intercept 1'!B891, "ERROR")</f>
        <v>2025</v>
      </c>
      <c r="C890" s="13">
        <f>if('Point Intercept 1'!C891 = 'Point Intercept 2'!C890, 'Point Intercept 1'!C891, "ERROR")</f>
        <v>45777</v>
      </c>
      <c r="D890" s="9" t="str">
        <f>if('Point Intercept 1'!D891 = 'Point Intercept 2'!D890, 'Point Intercept 1'!D891, "ERROR")</f>
        <v>CG, JD</v>
      </c>
      <c r="E890" s="9" t="str">
        <f>if('Point Intercept 1'!E891 = 'Point Intercept 2'!E890, 'Point Intercept 1'!E891, "ERROR")</f>
        <v>CU</v>
      </c>
      <c r="F890" s="9">
        <f>if('Point Intercept 1'!F891 = 'Point Intercept 2'!F890, 'Point Intercept 1'!F891, "ERROR")</f>
        <v>1</v>
      </c>
      <c r="G890" s="9" t="str">
        <f>if('Point Intercept 1'!G890 = 'Point Intercept 2'!G890, 'Point Intercept 1'!G890, "ERROR")</f>
        <v>LU</v>
      </c>
      <c r="H890" s="9">
        <f>if('Point Intercept 1'!I890 = 'Point Intercept 2'!I890, 'Point Intercept 1'!I890, "ERROR")</f>
        <v>10</v>
      </c>
      <c r="I890" s="9">
        <f>if('Point Intercept 1'!H890 = 'Point Intercept 2'!H890, 'Point Intercept 1'!H890, "ERROR")</f>
        <v>1</v>
      </c>
      <c r="J890" s="9">
        <f>if('Point Intercept 1'!J890 = 'Point Intercept 2'!J890, 'Point Intercept 1'!J890, "ERROR")</f>
        <v>4.5</v>
      </c>
      <c r="K890" s="9" t="str">
        <f>if('Point Intercept 1'!K890 = 'Point Intercept 2'!K890, 'Point Intercept 1'!K890, "ERROR")</f>
        <v>TH</v>
      </c>
      <c r="L890" s="9" t="str">
        <f>if('Point Intercept 1'!L890 = 'Point Intercept 2'!L890, 'Point Intercept 1'!L890, "ERROR")</f>
        <v>Thatch</v>
      </c>
    </row>
    <row r="891">
      <c r="A891" s="9">
        <f>if('Point Intercept 1'!A892 = 'Point Intercept 2'!A891, 'Point Intercept 1'!A892, "ERROR")</f>
        <v>10</v>
      </c>
      <c r="B891" s="9">
        <f>if('Point Intercept 1'!B892 = 'Point Intercept 2'!B891, 'Point Intercept 1'!B892, "ERROR")</f>
        <v>2025</v>
      </c>
      <c r="C891" s="13">
        <f>if('Point Intercept 1'!C892 = 'Point Intercept 2'!C891, 'Point Intercept 1'!C892, "ERROR")</f>
        <v>45777</v>
      </c>
      <c r="D891" s="9" t="str">
        <f>if('Point Intercept 1'!D892 = 'Point Intercept 2'!D891, 'Point Intercept 1'!D892, "ERROR")</f>
        <v>CG, JD</v>
      </c>
      <c r="E891" s="9" t="str">
        <f>if('Point Intercept 1'!E892 = 'Point Intercept 2'!E891, 'Point Intercept 1'!E892, "ERROR")</f>
        <v>CU</v>
      </c>
      <c r="F891" s="9">
        <f>if('Point Intercept 1'!F892 = 'Point Intercept 2'!F891, 'Point Intercept 1'!F892, "ERROR")</f>
        <v>1</v>
      </c>
      <c r="G891" s="9" t="str">
        <f>if('Point Intercept 1'!G891 = 'Point Intercept 2'!G891, 'Point Intercept 1'!G891, "ERROR")</f>
        <v>LU</v>
      </c>
      <c r="H891" s="9">
        <f>if('Point Intercept 1'!I891 = 'Point Intercept 2'!I891, 'Point Intercept 1'!I891, "ERROR")</f>
        <v>10</v>
      </c>
      <c r="I891" s="9">
        <f>if('Point Intercept 1'!H891 = 'Point Intercept 2'!H891, 'Point Intercept 1'!H891, "ERROR")</f>
        <v>1</v>
      </c>
      <c r="J891" s="9">
        <f>if('Point Intercept 1'!J891 = 'Point Intercept 2'!J891, 'Point Intercept 1'!J891, "ERROR")</f>
        <v>4.5</v>
      </c>
      <c r="K891" s="9" t="str">
        <f>if('Point Intercept 1'!K891 = 'Point Intercept 2'!K891, 'Point Intercept 1'!K891, "ERROR")</f>
        <v>AVEFAT</v>
      </c>
      <c r="L891" s="9" t="str">
        <f>if('Point Intercept 1'!L891 = 'Point Intercept 2'!L891, 'Point Intercept 1'!L891, "ERROR")</f>
        <v>Avena fatua</v>
      </c>
    </row>
    <row r="892">
      <c r="A892" s="9">
        <f>if('Point Intercept 1'!A893 = 'Point Intercept 2'!A892, 'Point Intercept 1'!A893, "ERROR")</f>
        <v>10</v>
      </c>
      <c r="B892" s="9">
        <f>if('Point Intercept 1'!B893 = 'Point Intercept 2'!B892, 'Point Intercept 1'!B893, "ERROR")</f>
        <v>2025</v>
      </c>
      <c r="C892" s="13">
        <f>if('Point Intercept 1'!C893 = 'Point Intercept 2'!C892, 'Point Intercept 1'!C893, "ERROR")</f>
        <v>45777</v>
      </c>
      <c r="D892" s="9" t="str">
        <f>if('Point Intercept 1'!D893 = 'Point Intercept 2'!D892, 'Point Intercept 1'!D893, "ERROR")</f>
        <v>CG, JD</v>
      </c>
      <c r="E892" s="9" t="str">
        <f>if('Point Intercept 1'!E893 = 'Point Intercept 2'!E892, 'Point Intercept 1'!E893, "ERROR")</f>
        <v>CU</v>
      </c>
      <c r="F892" s="9">
        <f>if('Point Intercept 1'!F893 = 'Point Intercept 2'!F892, 'Point Intercept 1'!F893, "ERROR")</f>
        <v>1</v>
      </c>
      <c r="G892" s="9" t="str">
        <f>if('Point Intercept 1'!G892 = 'Point Intercept 2'!G892, 'Point Intercept 1'!G892, "ERROR")</f>
        <v>LU</v>
      </c>
      <c r="H892" s="9">
        <f>if('Point Intercept 1'!I892 = 'Point Intercept 2'!I892, 'Point Intercept 1'!I892, "ERROR")</f>
        <v>10</v>
      </c>
      <c r="I892" s="9">
        <f>if('Point Intercept 1'!H892 = 'Point Intercept 2'!H892, 'Point Intercept 1'!H892, "ERROR")</f>
        <v>1</v>
      </c>
      <c r="J892" s="9">
        <f>if('Point Intercept 1'!J892 = 'Point Intercept 2'!J892, 'Point Intercept 1'!J892, "ERROR")</f>
        <v>4.5</v>
      </c>
      <c r="K892" s="9" t="str">
        <f>if('Point Intercept 1'!K892 = 'Point Intercept 2'!K892, 'Point Intercept 1'!K892, "ERROR")</f>
        <v>FESMYU</v>
      </c>
      <c r="L892" s="9" t="str">
        <f>if('Point Intercept 1'!L892 = 'Point Intercept 2'!L892, 'Point Intercept 1'!L892, "ERROR")</f>
        <v>Festuca myuros</v>
      </c>
    </row>
    <row r="893">
      <c r="A893" s="9">
        <f>if('Point Intercept 1'!A894 = 'Point Intercept 2'!A893, 'Point Intercept 1'!A894, "ERROR")</f>
        <v>10</v>
      </c>
      <c r="B893" s="9">
        <f>if('Point Intercept 1'!B894 = 'Point Intercept 2'!B893, 'Point Intercept 1'!B894, "ERROR")</f>
        <v>2025</v>
      </c>
      <c r="C893" s="13">
        <f>if('Point Intercept 1'!C894 = 'Point Intercept 2'!C893, 'Point Intercept 1'!C894, "ERROR")</f>
        <v>45777</v>
      </c>
      <c r="D893" s="9" t="str">
        <f>if('Point Intercept 1'!D894 = 'Point Intercept 2'!D893, 'Point Intercept 1'!D894, "ERROR")</f>
        <v>CG, JD</v>
      </c>
      <c r="E893" s="9" t="str">
        <f>if('Point Intercept 1'!E894 = 'Point Intercept 2'!E893, 'Point Intercept 1'!E894, "ERROR")</f>
        <v>CU</v>
      </c>
      <c r="F893" s="9">
        <f>if('Point Intercept 1'!F894 = 'Point Intercept 2'!F893, 'Point Intercept 1'!F894, "ERROR")</f>
        <v>1</v>
      </c>
      <c r="G893" s="9" t="str">
        <f>if('Point Intercept 1'!G893 = 'Point Intercept 2'!G893, 'Point Intercept 1'!G893, "ERROR")</f>
        <v>LU</v>
      </c>
      <c r="H893" s="9">
        <f>if('Point Intercept 1'!I893 = 'Point Intercept 2'!I893, 'Point Intercept 1'!I893, "ERROR")</f>
        <v>10</v>
      </c>
      <c r="I893" s="9">
        <f>if('Point Intercept 1'!H893 = 'Point Intercept 2'!H893, 'Point Intercept 1'!H893, "ERROR")</f>
        <v>1</v>
      </c>
      <c r="J893" s="9">
        <f>if('Point Intercept 1'!J893 = 'Point Intercept 2'!J893, 'Point Intercept 1'!J893, "ERROR")</f>
        <v>4.5</v>
      </c>
      <c r="K893" s="9" t="str">
        <f>if('Point Intercept 1'!K893 = 'Point Intercept 2'!K893, 'Point Intercept 1'!K893, "ERROR")</f>
        <v>OPULIT</v>
      </c>
      <c r="L893" s="9" t="str">
        <f>if('Point Intercept 1'!L893 = 'Point Intercept 2'!L893, 'Point Intercept 1'!L893, "ERROR")</f>
        <v>Opuntia littoralis</v>
      </c>
    </row>
    <row r="894">
      <c r="A894" s="9">
        <f>if('Point Intercept 1'!A895 = 'Point Intercept 2'!A894, 'Point Intercept 1'!A895, "ERROR")</f>
        <v>10</v>
      </c>
      <c r="B894" s="9">
        <f>if('Point Intercept 1'!B895 = 'Point Intercept 2'!B894, 'Point Intercept 1'!B895, "ERROR")</f>
        <v>2025</v>
      </c>
      <c r="C894" s="13">
        <f>if('Point Intercept 1'!C895 = 'Point Intercept 2'!C894, 'Point Intercept 1'!C895, "ERROR")</f>
        <v>45777</v>
      </c>
      <c r="D894" s="9" t="str">
        <f>if('Point Intercept 1'!D895 = 'Point Intercept 2'!D894, 'Point Intercept 1'!D895, "ERROR")</f>
        <v>CG, JD</v>
      </c>
      <c r="E894" s="9" t="str">
        <f>if('Point Intercept 1'!E895 = 'Point Intercept 2'!E894, 'Point Intercept 1'!E895, "ERROR")</f>
        <v>CU</v>
      </c>
      <c r="F894" s="9">
        <f>if('Point Intercept 1'!F895 = 'Point Intercept 2'!F894, 'Point Intercept 1'!F895, "ERROR")</f>
        <v>1</v>
      </c>
      <c r="G894" s="9" t="str">
        <f>if('Point Intercept 1'!G894 = 'Point Intercept 2'!G894, 'Point Intercept 1'!G894, "ERROR")</f>
        <v>LU</v>
      </c>
      <c r="H894" s="9">
        <f>if('Point Intercept 1'!I894 = 'Point Intercept 2'!I894, 'Point Intercept 1'!I894, "ERROR")</f>
        <v>11</v>
      </c>
      <c r="I894" s="9">
        <f>if('Point Intercept 1'!H894 = 'Point Intercept 2'!H894, 'Point Intercept 1'!H894, "ERROR")</f>
        <v>1</v>
      </c>
      <c r="J894" s="9">
        <f>if('Point Intercept 1'!J894 = 'Point Intercept 2'!J894, 'Point Intercept 1'!J894, "ERROR")</f>
        <v>5</v>
      </c>
      <c r="K894" s="9" t="str">
        <f>if('Point Intercept 1'!K894 = 'Point Intercept 2'!K894, 'Point Intercept 1'!K894, "ERROR")</f>
        <v>L</v>
      </c>
      <c r="L894" s="9" t="str">
        <f>if('Point Intercept 1'!L894 = 'Point Intercept 2'!L894, 'Point Intercept 1'!L894, "ERROR")</f>
        <v>Litter</v>
      </c>
    </row>
    <row r="895">
      <c r="A895" s="9">
        <f>if('Point Intercept 1'!A896 = 'Point Intercept 2'!A895, 'Point Intercept 1'!A896, "ERROR")</f>
        <v>10</v>
      </c>
      <c r="B895" s="9">
        <f>if('Point Intercept 1'!B896 = 'Point Intercept 2'!B895, 'Point Intercept 1'!B896, "ERROR")</f>
        <v>2025</v>
      </c>
      <c r="C895" s="13">
        <f>if('Point Intercept 1'!C896 = 'Point Intercept 2'!C895, 'Point Intercept 1'!C896, "ERROR")</f>
        <v>45777</v>
      </c>
      <c r="D895" s="9" t="str">
        <f>if('Point Intercept 1'!D896 = 'Point Intercept 2'!D895, 'Point Intercept 1'!D896, "ERROR")</f>
        <v>CG, JD</v>
      </c>
      <c r="E895" s="9" t="str">
        <f>if('Point Intercept 1'!E896 = 'Point Intercept 2'!E895, 'Point Intercept 1'!E896, "ERROR")</f>
        <v>CU</v>
      </c>
      <c r="F895" s="9">
        <f>if('Point Intercept 1'!F896 = 'Point Intercept 2'!F895, 'Point Intercept 1'!F896, "ERROR")</f>
        <v>1</v>
      </c>
      <c r="G895" s="9" t="str">
        <f>if('Point Intercept 1'!G895 = 'Point Intercept 2'!G895, 'Point Intercept 1'!G895, "ERROR")</f>
        <v>LU</v>
      </c>
      <c r="H895" s="9">
        <f>if('Point Intercept 1'!I895 = 'Point Intercept 2'!I895, 'Point Intercept 1'!I895, "ERROR")</f>
        <v>11</v>
      </c>
      <c r="I895" s="9">
        <f>if('Point Intercept 1'!H895 = 'Point Intercept 2'!H895, 'Point Intercept 1'!H895, "ERROR")</f>
        <v>1</v>
      </c>
      <c r="J895" s="9">
        <f>if('Point Intercept 1'!J895 = 'Point Intercept 2'!J895, 'Point Intercept 1'!J895, "ERROR")</f>
        <v>5</v>
      </c>
      <c r="K895" s="9" t="str">
        <f>if('Point Intercept 1'!K895 = 'Point Intercept 2'!K895, 'Point Intercept 1'!K895, "ERROR")</f>
        <v>SONOLE</v>
      </c>
      <c r="L895" s="9" t="str">
        <f>if('Point Intercept 1'!L895 = 'Point Intercept 2'!L895, 'Point Intercept 1'!L895, "ERROR")</f>
        <v>Sonchus oleraceus</v>
      </c>
    </row>
    <row r="896">
      <c r="A896" s="9">
        <f>if('Point Intercept 1'!A897 = 'Point Intercept 2'!A896, 'Point Intercept 1'!A897, "ERROR")</f>
        <v>10</v>
      </c>
      <c r="B896" s="9">
        <f>if('Point Intercept 1'!B897 = 'Point Intercept 2'!B896, 'Point Intercept 1'!B897, "ERROR")</f>
        <v>2025</v>
      </c>
      <c r="C896" s="13">
        <f>if('Point Intercept 1'!C897 = 'Point Intercept 2'!C896, 'Point Intercept 1'!C897, "ERROR")</f>
        <v>45777</v>
      </c>
      <c r="D896" s="9" t="str">
        <f>if('Point Intercept 1'!D897 = 'Point Intercept 2'!D896, 'Point Intercept 1'!D897, "ERROR")</f>
        <v>CG, JD</v>
      </c>
      <c r="E896" s="9" t="str">
        <f>if('Point Intercept 1'!E897 = 'Point Intercept 2'!E896, 'Point Intercept 1'!E897, "ERROR")</f>
        <v>CU</v>
      </c>
      <c r="F896" s="9">
        <f>if('Point Intercept 1'!F897 = 'Point Intercept 2'!F896, 'Point Intercept 1'!F897, "ERROR")</f>
        <v>1</v>
      </c>
      <c r="G896" s="9" t="str">
        <f>if('Point Intercept 1'!G896 = 'Point Intercept 2'!G896, 'Point Intercept 1'!G896, "ERROR")</f>
        <v>LU</v>
      </c>
      <c r="H896" s="9">
        <f>if('Point Intercept 1'!I896 = 'Point Intercept 2'!I896, 'Point Intercept 1'!I896, "ERROR")</f>
        <v>12</v>
      </c>
      <c r="I896" s="9">
        <f>if('Point Intercept 1'!H896 = 'Point Intercept 2'!H896, 'Point Intercept 1'!H896, "ERROR")</f>
        <v>1</v>
      </c>
      <c r="J896" s="9">
        <f>if('Point Intercept 1'!J896 = 'Point Intercept 2'!J896, 'Point Intercept 1'!J896, "ERROR")</f>
        <v>5.5</v>
      </c>
      <c r="K896" s="9" t="str">
        <f>if('Point Intercept 1'!K896 = 'Point Intercept 2'!K896, 'Point Intercept 1'!K896, "ERROR")</f>
        <v>L</v>
      </c>
      <c r="L896" s="9" t="str">
        <f>if('Point Intercept 1'!L896 = 'Point Intercept 2'!L896, 'Point Intercept 1'!L896, "ERROR")</f>
        <v>Litter</v>
      </c>
    </row>
  </sheetData>
  <conditionalFormatting sqref="A1:Z1000">
    <cfRule type="containsText" dxfId="0" priority="1" operator="containsText" text="ERROR">
      <formula>NOT(ISERROR(SEARCH(("ERROR"),(A1))))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94</v>
      </c>
      <c r="B1" s="15" t="s">
        <v>95</v>
      </c>
      <c r="C1" s="16" t="s">
        <v>12</v>
      </c>
      <c r="D1" s="15" t="s">
        <v>96</v>
      </c>
      <c r="E1" s="17" t="s">
        <v>97</v>
      </c>
      <c r="F1" s="15" t="s">
        <v>98</v>
      </c>
    </row>
    <row r="2">
      <c r="A2" s="18" t="s">
        <v>99</v>
      </c>
      <c r="B2" s="18" t="s">
        <v>99</v>
      </c>
      <c r="C2" s="19" t="s">
        <v>99</v>
      </c>
      <c r="D2" s="18" t="s">
        <v>99</v>
      </c>
      <c r="E2" s="20" t="s">
        <v>99</v>
      </c>
      <c r="F2" s="18" t="s">
        <v>99</v>
      </c>
    </row>
    <row r="3">
      <c r="A3" s="21" t="s">
        <v>100</v>
      </c>
      <c r="B3" s="21" t="s">
        <v>101</v>
      </c>
      <c r="C3" s="22" t="s">
        <v>102</v>
      </c>
      <c r="D3" s="21" t="s">
        <v>103</v>
      </c>
      <c r="E3" s="22" t="s">
        <v>99</v>
      </c>
      <c r="F3" s="21" t="s">
        <v>104</v>
      </c>
    </row>
    <row r="4">
      <c r="A4" s="21" t="s">
        <v>105</v>
      </c>
      <c r="B4" s="21" t="s">
        <v>106</v>
      </c>
      <c r="C4" s="22" t="s">
        <v>102</v>
      </c>
      <c r="D4" s="21" t="s">
        <v>107</v>
      </c>
      <c r="E4" s="22" t="s">
        <v>108</v>
      </c>
      <c r="F4" s="21" t="s">
        <v>109</v>
      </c>
    </row>
    <row r="5">
      <c r="A5" s="21" t="s">
        <v>110</v>
      </c>
      <c r="B5" s="21" t="s">
        <v>111</v>
      </c>
      <c r="C5" s="22" t="s">
        <v>102</v>
      </c>
      <c r="D5" s="21" t="s">
        <v>112</v>
      </c>
      <c r="E5" s="22" t="s">
        <v>113</v>
      </c>
      <c r="F5" s="21" t="s">
        <v>109</v>
      </c>
    </row>
    <row r="6">
      <c r="A6" s="21" t="s">
        <v>114</v>
      </c>
      <c r="B6" s="21" t="s">
        <v>115</v>
      </c>
      <c r="C6" s="22" t="s">
        <v>102</v>
      </c>
      <c r="D6" s="21" t="s">
        <v>116</v>
      </c>
      <c r="E6" s="22" t="s">
        <v>117</v>
      </c>
      <c r="F6" s="21" t="s">
        <v>109</v>
      </c>
    </row>
    <row r="7">
      <c r="A7" s="21" t="s">
        <v>118</v>
      </c>
      <c r="B7" s="21" t="s">
        <v>119</v>
      </c>
      <c r="C7" s="22" t="s">
        <v>102</v>
      </c>
      <c r="D7" s="21" t="s">
        <v>120</v>
      </c>
      <c r="E7" s="22" t="s">
        <v>121</v>
      </c>
      <c r="F7" s="21" t="s">
        <v>109</v>
      </c>
    </row>
    <row r="8">
      <c r="A8" s="21" t="s">
        <v>122</v>
      </c>
      <c r="B8" s="21" t="s">
        <v>123</v>
      </c>
      <c r="C8" s="22" t="s">
        <v>102</v>
      </c>
      <c r="D8" s="21" t="s">
        <v>124</v>
      </c>
      <c r="E8" s="23"/>
      <c r="F8" s="21" t="s">
        <v>109</v>
      </c>
    </row>
    <row r="9">
      <c r="A9" s="21" t="s">
        <v>125</v>
      </c>
      <c r="B9" s="21" t="s">
        <v>126</v>
      </c>
      <c r="C9" s="22" t="s">
        <v>102</v>
      </c>
      <c r="D9" s="21" t="s">
        <v>127</v>
      </c>
      <c r="E9" s="22" t="s">
        <v>99</v>
      </c>
      <c r="F9" s="21" t="s">
        <v>109</v>
      </c>
    </row>
    <row r="10">
      <c r="A10" s="21" t="s">
        <v>128</v>
      </c>
      <c r="B10" s="21" t="s">
        <v>129</v>
      </c>
      <c r="C10" s="22" t="s">
        <v>102</v>
      </c>
      <c r="D10" s="21" t="s">
        <v>130</v>
      </c>
      <c r="E10" s="22" t="s">
        <v>131</v>
      </c>
      <c r="F10" s="21" t="s">
        <v>109</v>
      </c>
    </row>
    <row r="11">
      <c r="A11" s="21" t="s">
        <v>132</v>
      </c>
      <c r="B11" s="21" t="s">
        <v>133</v>
      </c>
      <c r="C11" s="22" t="s">
        <v>102</v>
      </c>
      <c r="D11" s="23"/>
      <c r="E11" s="23"/>
      <c r="F11" s="21" t="s">
        <v>109</v>
      </c>
    </row>
    <row r="12">
      <c r="A12" s="21" t="s">
        <v>134</v>
      </c>
      <c r="B12" s="21" t="s">
        <v>135</v>
      </c>
      <c r="C12" s="22" t="s">
        <v>102</v>
      </c>
      <c r="D12" s="21" t="s">
        <v>136</v>
      </c>
      <c r="E12" s="22" t="s">
        <v>99</v>
      </c>
      <c r="F12" s="21" t="s">
        <v>104</v>
      </c>
    </row>
    <row r="13">
      <c r="A13" s="21" t="s">
        <v>137</v>
      </c>
      <c r="B13" s="21" t="s">
        <v>138</v>
      </c>
      <c r="C13" s="22" t="s">
        <v>102</v>
      </c>
      <c r="D13" s="21" t="s">
        <v>139</v>
      </c>
      <c r="E13" s="22" t="s">
        <v>99</v>
      </c>
      <c r="F13" s="21" t="s">
        <v>140</v>
      </c>
    </row>
    <row r="14">
      <c r="A14" s="21" t="s">
        <v>141</v>
      </c>
      <c r="B14" s="21" t="s">
        <v>142</v>
      </c>
      <c r="C14" s="22" t="s">
        <v>102</v>
      </c>
      <c r="D14" s="21" t="s">
        <v>143</v>
      </c>
      <c r="E14" s="23"/>
      <c r="F14" s="21" t="s">
        <v>104</v>
      </c>
    </row>
    <row r="15">
      <c r="A15" s="21" t="s">
        <v>144</v>
      </c>
      <c r="B15" s="21" t="s">
        <v>145</v>
      </c>
      <c r="C15" s="22" t="s">
        <v>102</v>
      </c>
      <c r="D15" s="23"/>
      <c r="E15" s="23"/>
      <c r="F15" s="21" t="s">
        <v>104</v>
      </c>
    </row>
    <row r="16">
      <c r="A16" s="21" t="s">
        <v>146</v>
      </c>
      <c r="B16" s="21" t="s">
        <v>147</v>
      </c>
      <c r="C16" s="22" t="s">
        <v>102</v>
      </c>
      <c r="D16" s="21" t="s">
        <v>148</v>
      </c>
      <c r="E16" s="22" t="s">
        <v>99</v>
      </c>
      <c r="F16" s="21" t="s">
        <v>149</v>
      </c>
    </row>
    <row r="17">
      <c r="A17" s="21" t="s">
        <v>150</v>
      </c>
      <c r="B17" s="21" t="s">
        <v>151</v>
      </c>
      <c r="C17" s="22" t="s">
        <v>102</v>
      </c>
      <c r="D17" s="21" t="s">
        <v>152</v>
      </c>
      <c r="E17" s="23"/>
      <c r="F17" s="21" t="s">
        <v>153</v>
      </c>
    </row>
    <row r="18">
      <c r="A18" s="21" t="s">
        <v>154</v>
      </c>
      <c r="B18" s="21" t="s">
        <v>155</v>
      </c>
      <c r="C18" s="22" t="s">
        <v>102</v>
      </c>
      <c r="D18" s="21" t="s">
        <v>156</v>
      </c>
      <c r="E18" s="23"/>
      <c r="F18" s="21" t="s">
        <v>157</v>
      </c>
    </row>
    <row r="19">
      <c r="A19" s="21" t="s">
        <v>158</v>
      </c>
      <c r="B19" s="21" t="s">
        <v>159</v>
      </c>
      <c r="C19" s="22" t="s">
        <v>102</v>
      </c>
      <c r="D19" s="21" t="s">
        <v>152</v>
      </c>
      <c r="E19" s="23"/>
      <c r="F19" s="21" t="s">
        <v>153</v>
      </c>
    </row>
    <row r="20">
      <c r="A20" s="21" t="s">
        <v>160</v>
      </c>
      <c r="B20" s="21" t="s">
        <v>161</v>
      </c>
      <c r="C20" s="22" t="s">
        <v>102</v>
      </c>
      <c r="D20" s="21" t="s">
        <v>152</v>
      </c>
      <c r="E20" s="23"/>
      <c r="F20" s="21" t="s">
        <v>153</v>
      </c>
    </row>
    <row r="21">
      <c r="A21" s="21" t="s">
        <v>162</v>
      </c>
      <c r="B21" s="21" t="s">
        <v>163</v>
      </c>
      <c r="C21" s="22" t="s">
        <v>102</v>
      </c>
      <c r="D21" s="21" t="s">
        <v>152</v>
      </c>
      <c r="E21" s="23"/>
      <c r="F21" s="21" t="s">
        <v>153</v>
      </c>
    </row>
    <row r="22">
      <c r="A22" s="18" t="s">
        <v>164</v>
      </c>
      <c r="B22" s="18" t="s">
        <v>165</v>
      </c>
      <c r="C22" s="20" t="s">
        <v>166</v>
      </c>
      <c r="D22" s="18" t="s">
        <v>167</v>
      </c>
      <c r="E22" s="20" t="s">
        <v>99</v>
      </c>
      <c r="F22" s="18" t="s">
        <v>168</v>
      </c>
    </row>
    <row r="23">
      <c r="A23" s="21" t="s">
        <v>169</v>
      </c>
      <c r="B23" s="21" t="s">
        <v>170</v>
      </c>
      <c r="C23" s="22" t="s">
        <v>102</v>
      </c>
      <c r="D23" s="21" t="s">
        <v>171</v>
      </c>
      <c r="E23" s="22" t="s">
        <v>99</v>
      </c>
      <c r="F23" s="21" t="s">
        <v>104</v>
      </c>
    </row>
    <row r="24">
      <c r="A24" s="21" t="s">
        <v>172</v>
      </c>
      <c r="B24" s="21" t="s">
        <v>173</v>
      </c>
      <c r="C24" s="22" t="s">
        <v>102</v>
      </c>
      <c r="D24" s="21" t="s">
        <v>174</v>
      </c>
      <c r="E24" s="23"/>
      <c r="F24" s="21" t="s">
        <v>104</v>
      </c>
    </row>
    <row r="25">
      <c r="A25" s="21" t="s">
        <v>175</v>
      </c>
      <c r="B25" s="21" t="s">
        <v>176</v>
      </c>
      <c r="C25" s="22" t="s">
        <v>102</v>
      </c>
      <c r="D25" s="21" t="s">
        <v>171</v>
      </c>
      <c r="E25" s="22" t="s">
        <v>99</v>
      </c>
      <c r="F25" s="21" t="s">
        <v>104</v>
      </c>
    </row>
    <row r="26">
      <c r="A26" s="21" t="s">
        <v>177</v>
      </c>
      <c r="B26" s="21" t="s">
        <v>178</v>
      </c>
      <c r="C26" s="22" t="s">
        <v>102</v>
      </c>
      <c r="D26" s="21" t="s">
        <v>179</v>
      </c>
      <c r="E26" s="22" t="s">
        <v>99</v>
      </c>
      <c r="F26" s="21" t="s">
        <v>109</v>
      </c>
    </row>
    <row r="27">
      <c r="A27" s="21" t="s">
        <v>180</v>
      </c>
      <c r="B27" s="21" t="s">
        <v>181</v>
      </c>
      <c r="C27" s="22" t="s">
        <v>102</v>
      </c>
      <c r="D27" s="21" t="s">
        <v>182</v>
      </c>
      <c r="E27" s="22" t="s">
        <v>99</v>
      </c>
      <c r="F27" s="21" t="s">
        <v>109</v>
      </c>
    </row>
    <row r="28">
      <c r="A28" s="21" t="s">
        <v>183</v>
      </c>
      <c r="B28" s="21" t="s">
        <v>184</v>
      </c>
      <c r="C28" s="22" t="s">
        <v>102</v>
      </c>
      <c r="D28" s="21" t="s">
        <v>185</v>
      </c>
      <c r="E28" s="22" t="s">
        <v>99</v>
      </c>
      <c r="F28" s="21" t="s">
        <v>186</v>
      </c>
    </row>
    <row r="29">
      <c r="A29" s="21" t="s">
        <v>44</v>
      </c>
      <c r="B29" s="21" t="s">
        <v>187</v>
      </c>
      <c r="C29" s="22" t="s">
        <v>102</v>
      </c>
      <c r="D29" s="21" t="s">
        <v>188</v>
      </c>
      <c r="E29" s="22" t="s">
        <v>99</v>
      </c>
      <c r="F29" s="21" t="s">
        <v>186</v>
      </c>
    </row>
    <row r="30">
      <c r="A30" s="21" t="s">
        <v>189</v>
      </c>
      <c r="B30" s="21" t="s">
        <v>190</v>
      </c>
      <c r="C30" s="22" t="s">
        <v>102</v>
      </c>
      <c r="D30" s="21" t="s">
        <v>191</v>
      </c>
      <c r="E30" s="23"/>
      <c r="F30" s="21" t="s">
        <v>186</v>
      </c>
    </row>
    <row r="31">
      <c r="A31" s="18" t="s">
        <v>49</v>
      </c>
      <c r="B31" s="18" t="s">
        <v>192</v>
      </c>
      <c r="C31" s="20" t="s">
        <v>166</v>
      </c>
      <c r="D31" s="18" t="s">
        <v>193</v>
      </c>
      <c r="E31" s="20" t="s">
        <v>99</v>
      </c>
      <c r="F31" s="18" t="s">
        <v>194</v>
      </c>
    </row>
    <row r="32">
      <c r="A32" s="21" t="s">
        <v>195</v>
      </c>
      <c r="B32" s="21" t="s">
        <v>196</v>
      </c>
      <c r="C32" s="22" t="s">
        <v>102</v>
      </c>
      <c r="D32" s="21" t="s">
        <v>197</v>
      </c>
      <c r="E32" s="22" t="s">
        <v>99</v>
      </c>
      <c r="F32" s="21" t="s">
        <v>198</v>
      </c>
    </row>
    <row r="33">
      <c r="A33" s="18" t="s">
        <v>199</v>
      </c>
      <c r="B33" s="18" t="s">
        <v>200</v>
      </c>
      <c r="C33" s="20" t="s">
        <v>166</v>
      </c>
      <c r="D33" s="18" t="s">
        <v>201</v>
      </c>
      <c r="E33" s="20" t="s">
        <v>99</v>
      </c>
      <c r="F33" s="18" t="s">
        <v>202</v>
      </c>
    </row>
    <row r="34">
      <c r="A34" s="21" t="s">
        <v>203</v>
      </c>
      <c r="B34" s="21" t="s">
        <v>204</v>
      </c>
      <c r="C34" s="22" t="s">
        <v>102</v>
      </c>
      <c r="D34" s="21" t="s">
        <v>205</v>
      </c>
      <c r="E34" s="22" t="s">
        <v>99</v>
      </c>
      <c r="F34" s="21" t="s">
        <v>206</v>
      </c>
    </row>
    <row r="35">
      <c r="A35" s="21" t="s">
        <v>207</v>
      </c>
      <c r="B35" s="21" t="s">
        <v>208</v>
      </c>
      <c r="C35" s="22" t="s">
        <v>102</v>
      </c>
      <c r="D35" s="21" t="s">
        <v>209</v>
      </c>
      <c r="E35" s="22" t="s">
        <v>99</v>
      </c>
      <c r="F35" s="21" t="s">
        <v>206</v>
      </c>
    </row>
    <row r="36">
      <c r="A36" s="21" t="s">
        <v>210</v>
      </c>
      <c r="B36" s="21" t="s">
        <v>211</v>
      </c>
      <c r="C36" s="22" t="s">
        <v>102</v>
      </c>
      <c r="D36" s="21" t="s">
        <v>212</v>
      </c>
      <c r="E36" s="22" t="s">
        <v>99</v>
      </c>
      <c r="F36" s="21" t="s">
        <v>206</v>
      </c>
    </row>
    <row r="37">
      <c r="A37" s="21" t="s">
        <v>213</v>
      </c>
      <c r="B37" s="21" t="s">
        <v>214</v>
      </c>
      <c r="C37" s="22" t="s">
        <v>102</v>
      </c>
      <c r="D37" s="21" t="s">
        <v>215</v>
      </c>
      <c r="E37" s="22" t="s">
        <v>99</v>
      </c>
      <c r="F37" s="21" t="s">
        <v>202</v>
      </c>
    </row>
    <row r="38">
      <c r="A38" s="18" t="s">
        <v>216</v>
      </c>
      <c r="B38" s="18" t="s">
        <v>217</v>
      </c>
      <c r="C38" s="20" t="s">
        <v>166</v>
      </c>
      <c r="D38" s="18" t="s">
        <v>218</v>
      </c>
      <c r="E38" s="20" t="s">
        <v>99</v>
      </c>
      <c r="F38" s="18" t="s">
        <v>202</v>
      </c>
    </row>
    <row r="39">
      <c r="A39" s="21" t="s">
        <v>219</v>
      </c>
      <c r="B39" s="21" t="s">
        <v>220</v>
      </c>
      <c r="C39" s="22" t="s">
        <v>102</v>
      </c>
      <c r="D39" s="21" t="s">
        <v>221</v>
      </c>
      <c r="E39" s="22" t="s">
        <v>99</v>
      </c>
      <c r="F39" s="21" t="s">
        <v>222</v>
      </c>
    </row>
    <row r="40">
      <c r="A40" s="18" t="s">
        <v>223</v>
      </c>
      <c r="B40" s="18" t="s">
        <v>224</v>
      </c>
      <c r="C40" s="20" t="s">
        <v>166</v>
      </c>
      <c r="D40" s="18" t="s">
        <v>225</v>
      </c>
      <c r="E40" s="20" t="s">
        <v>99</v>
      </c>
      <c r="F40" s="18" t="s">
        <v>222</v>
      </c>
    </row>
    <row r="41">
      <c r="A41" s="21" t="s">
        <v>226</v>
      </c>
      <c r="B41" s="21" t="s">
        <v>227</v>
      </c>
      <c r="C41" s="22" t="s">
        <v>102</v>
      </c>
      <c r="D41" s="21" t="s">
        <v>228</v>
      </c>
      <c r="E41" s="23"/>
      <c r="F41" s="21" t="s">
        <v>149</v>
      </c>
    </row>
    <row r="42">
      <c r="A42" s="21" t="s">
        <v>229</v>
      </c>
      <c r="B42" s="21" t="s">
        <v>230</v>
      </c>
      <c r="C42" s="22" t="s">
        <v>102</v>
      </c>
      <c r="D42" s="21" t="s">
        <v>228</v>
      </c>
      <c r="E42" s="23"/>
      <c r="F42" s="21" t="s">
        <v>149</v>
      </c>
    </row>
    <row r="43">
      <c r="A43" s="21" t="s">
        <v>231</v>
      </c>
      <c r="B43" s="21" t="s">
        <v>232</v>
      </c>
      <c r="C43" s="22" t="s">
        <v>102</v>
      </c>
      <c r="D43" s="21" t="s">
        <v>228</v>
      </c>
      <c r="E43" s="23"/>
      <c r="F43" s="21" t="s">
        <v>149</v>
      </c>
    </row>
    <row r="44">
      <c r="A44" s="21" t="s">
        <v>86</v>
      </c>
      <c r="B44" s="21" t="s">
        <v>233</v>
      </c>
      <c r="C44" s="22" t="s">
        <v>102</v>
      </c>
      <c r="D44" s="21" t="s">
        <v>234</v>
      </c>
      <c r="E44" s="22" t="s">
        <v>99</v>
      </c>
      <c r="F44" s="21" t="s">
        <v>104</v>
      </c>
    </row>
    <row r="45">
      <c r="A45" s="21" t="s">
        <v>235</v>
      </c>
      <c r="B45" s="21" t="s">
        <v>236</v>
      </c>
      <c r="C45" s="22" t="s">
        <v>102</v>
      </c>
      <c r="D45" s="21" t="s">
        <v>234</v>
      </c>
      <c r="E45" s="22" t="s">
        <v>99</v>
      </c>
      <c r="F45" s="21" t="s">
        <v>104</v>
      </c>
    </row>
    <row r="46">
      <c r="A46" s="21" t="s">
        <v>237</v>
      </c>
      <c r="B46" s="21" t="s">
        <v>238</v>
      </c>
      <c r="C46" s="22" t="s">
        <v>102</v>
      </c>
      <c r="D46" s="21" t="s">
        <v>234</v>
      </c>
      <c r="E46" s="22" t="s">
        <v>99</v>
      </c>
      <c r="F46" s="21" t="s">
        <v>104</v>
      </c>
    </row>
    <row r="47">
      <c r="A47" s="21" t="s">
        <v>239</v>
      </c>
      <c r="B47" s="21" t="s">
        <v>240</v>
      </c>
      <c r="C47" s="22" t="s">
        <v>102</v>
      </c>
      <c r="D47" s="21" t="s">
        <v>241</v>
      </c>
      <c r="E47" s="22" t="s">
        <v>99</v>
      </c>
      <c r="F47" s="21" t="s">
        <v>104</v>
      </c>
    </row>
    <row r="48">
      <c r="A48" s="21" t="s">
        <v>242</v>
      </c>
      <c r="B48" s="21" t="s">
        <v>243</v>
      </c>
      <c r="C48" s="22" t="s">
        <v>102</v>
      </c>
      <c r="D48" s="21" t="s">
        <v>244</v>
      </c>
      <c r="E48" s="22" t="s">
        <v>99</v>
      </c>
      <c r="F48" s="21" t="s">
        <v>104</v>
      </c>
    </row>
    <row r="49">
      <c r="A49" s="21" t="s">
        <v>245</v>
      </c>
      <c r="B49" s="21" t="s">
        <v>246</v>
      </c>
      <c r="C49" s="22" t="s">
        <v>102</v>
      </c>
      <c r="D49" s="23"/>
      <c r="E49" s="23"/>
      <c r="F49" s="21" t="s">
        <v>104</v>
      </c>
    </row>
    <row r="50">
      <c r="A50" s="24" t="s">
        <v>247</v>
      </c>
      <c r="B50" s="24" t="s">
        <v>248</v>
      </c>
      <c r="C50" s="20" t="s">
        <v>166</v>
      </c>
      <c r="D50" s="24" t="s">
        <v>249</v>
      </c>
      <c r="E50" s="25" t="s">
        <v>99</v>
      </c>
      <c r="F50" s="24" t="s">
        <v>149</v>
      </c>
    </row>
    <row r="51">
      <c r="A51" s="21" t="s">
        <v>250</v>
      </c>
      <c r="B51" s="21" t="s">
        <v>251</v>
      </c>
      <c r="C51" s="22" t="s">
        <v>102</v>
      </c>
      <c r="D51" s="21" t="s">
        <v>252</v>
      </c>
      <c r="E51" s="22" t="s">
        <v>99</v>
      </c>
      <c r="F51" s="21" t="s">
        <v>222</v>
      </c>
    </row>
    <row r="52">
      <c r="A52" s="21" t="s">
        <v>253</v>
      </c>
      <c r="B52" s="21" t="s">
        <v>254</v>
      </c>
      <c r="C52" s="22" t="s">
        <v>102</v>
      </c>
      <c r="D52" s="21" t="s">
        <v>255</v>
      </c>
      <c r="E52" s="22" t="s">
        <v>99</v>
      </c>
      <c r="F52" s="21" t="s">
        <v>222</v>
      </c>
    </row>
    <row r="53">
      <c r="A53" s="21" t="s">
        <v>256</v>
      </c>
      <c r="B53" s="21" t="s">
        <v>257</v>
      </c>
      <c r="C53" s="22" t="s">
        <v>102</v>
      </c>
      <c r="D53" s="21" t="s">
        <v>258</v>
      </c>
      <c r="E53" s="22" t="s">
        <v>99</v>
      </c>
      <c r="F53" s="21" t="s">
        <v>109</v>
      </c>
    </row>
    <row r="54">
      <c r="A54" s="21" t="s">
        <v>259</v>
      </c>
      <c r="B54" s="21" t="s">
        <v>260</v>
      </c>
      <c r="C54" s="22" t="s">
        <v>102</v>
      </c>
      <c r="D54" s="21" t="s">
        <v>261</v>
      </c>
      <c r="E54" s="22" t="s">
        <v>99</v>
      </c>
      <c r="F54" s="21" t="s">
        <v>109</v>
      </c>
    </row>
    <row r="55">
      <c r="A55" s="21" t="s">
        <v>262</v>
      </c>
      <c r="B55" s="21" t="s">
        <v>263</v>
      </c>
      <c r="C55" s="22" t="s">
        <v>102</v>
      </c>
      <c r="D55" s="21" t="s">
        <v>264</v>
      </c>
      <c r="E55" s="22" t="s">
        <v>99</v>
      </c>
      <c r="F55" s="21" t="s">
        <v>265</v>
      </c>
    </row>
    <row r="56">
      <c r="A56" s="21" t="s">
        <v>266</v>
      </c>
      <c r="B56" s="21" t="s">
        <v>267</v>
      </c>
      <c r="C56" s="22" t="s">
        <v>102</v>
      </c>
      <c r="D56" s="21" t="s">
        <v>268</v>
      </c>
      <c r="E56" s="22" t="s">
        <v>99</v>
      </c>
      <c r="F56" s="21" t="s">
        <v>269</v>
      </c>
    </row>
    <row r="57">
      <c r="A57" s="21" t="s">
        <v>270</v>
      </c>
      <c r="B57" s="21" t="s">
        <v>271</v>
      </c>
      <c r="C57" s="22" t="s">
        <v>102</v>
      </c>
      <c r="D57" s="21" t="s">
        <v>272</v>
      </c>
      <c r="E57" s="22" t="s">
        <v>99</v>
      </c>
      <c r="F57" s="21" t="s">
        <v>269</v>
      </c>
    </row>
    <row r="58">
      <c r="A58" s="18" t="s">
        <v>273</v>
      </c>
      <c r="B58" s="18" t="s">
        <v>274</v>
      </c>
      <c r="C58" s="20" t="s">
        <v>166</v>
      </c>
      <c r="D58" s="18" t="s">
        <v>275</v>
      </c>
      <c r="E58" s="20" t="s">
        <v>99</v>
      </c>
      <c r="F58" s="18" t="s">
        <v>269</v>
      </c>
    </row>
    <row r="59">
      <c r="A59" s="18" t="s">
        <v>276</v>
      </c>
      <c r="B59" s="25" t="s">
        <v>277</v>
      </c>
      <c r="C59" s="20" t="s">
        <v>166</v>
      </c>
      <c r="D59" s="18" t="s">
        <v>278</v>
      </c>
      <c r="E59" s="20" t="s">
        <v>99</v>
      </c>
      <c r="F59" s="18" t="s">
        <v>149</v>
      </c>
    </row>
    <row r="60">
      <c r="A60" s="18" t="s">
        <v>76</v>
      </c>
      <c r="B60" s="25" t="s">
        <v>279</v>
      </c>
      <c r="C60" s="20" t="s">
        <v>166</v>
      </c>
      <c r="D60" s="18" t="s">
        <v>278</v>
      </c>
      <c r="E60" s="20" t="s">
        <v>99</v>
      </c>
      <c r="F60" s="18" t="s">
        <v>149</v>
      </c>
    </row>
    <row r="61">
      <c r="A61" s="18" t="s">
        <v>280</v>
      </c>
      <c r="B61" s="18" t="s">
        <v>281</v>
      </c>
      <c r="C61" s="20" t="s">
        <v>166</v>
      </c>
      <c r="D61" s="18" t="s">
        <v>278</v>
      </c>
      <c r="E61" s="20" t="s">
        <v>282</v>
      </c>
      <c r="F61" s="18" t="s">
        <v>149</v>
      </c>
    </row>
    <row r="62">
      <c r="A62" s="18" t="s">
        <v>51</v>
      </c>
      <c r="B62" s="18" t="s">
        <v>283</v>
      </c>
      <c r="C62" s="20" t="s">
        <v>284</v>
      </c>
      <c r="D62" s="18" t="s">
        <v>99</v>
      </c>
      <c r="E62" s="20" t="s">
        <v>99</v>
      </c>
      <c r="F62" s="18" t="s">
        <v>99</v>
      </c>
    </row>
    <row r="63">
      <c r="A63" s="21" t="s">
        <v>285</v>
      </c>
      <c r="B63" s="21" t="s">
        <v>286</v>
      </c>
      <c r="C63" s="22" t="s">
        <v>102</v>
      </c>
      <c r="D63" s="21" t="s">
        <v>287</v>
      </c>
      <c r="E63" s="22" t="s">
        <v>99</v>
      </c>
      <c r="F63" s="21" t="s">
        <v>104</v>
      </c>
    </row>
    <row r="64">
      <c r="A64" s="21" t="s">
        <v>288</v>
      </c>
      <c r="B64" s="21" t="s">
        <v>289</v>
      </c>
      <c r="C64" s="22" t="s">
        <v>102</v>
      </c>
      <c r="D64" s="21" t="s">
        <v>290</v>
      </c>
      <c r="E64" s="22" t="s">
        <v>99</v>
      </c>
      <c r="F64" s="21" t="s">
        <v>104</v>
      </c>
    </row>
    <row r="65">
      <c r="A65" s="21" t="s">
        <v>291</v>
      </c>
      <c r="B65" s="21" t="s">
        <v>292</v>
      </c>
      <c r="C65" s="22" t="s">
        <v>102</v>
      </c>
      <c r="D65" s="21" t="s">
        <v>293</v>
      </c>
      <c r="E65" s="22" t="s">
        <v>99</v>
      </c>
      <c r="F65" s="21" t="s">
        <v>104</v>
      </c>
    </row>
    <row r="66">
      <c r="A66" s="21" t="s">
        <v>294</v>
      </c>
      <c r="B66" s="21" t="s">
        <v>295</v>
      </c>
      <c r="C66" s="22" t="s">
        <v>102</v>
      </c>
      <c r="D66" s="21" t="s">
        <v>296</v>
      </c>
      <c r="E66" s="22" t="s">
        <v>99</v>
      </c>
      <c r="F66" s="21" t="s">
        <v>104</v>
      </c>
    </row>
    <row r="67">
      <c r="A67" s="21" t="s">
        <v>297</v>
      </c>
      <c r="B67" s="21" t="s">
        <v>298</v>
      </c>
      <c r="C67" s="22" t="s">
        <v>102</v>
      </c>
      <c r="D67" s="23"/>
      <c r="E67" s="23"/>
      <c r="F67" s="21" t="s">
        <v>104</v>
      </c>
    </row>
    <row r="68">
      <c r="A68" s="21" t="s">
        <v>299</v>
      </c>
      <c r="B68" s="21" t="s">
        <v>300</v>
      </c>
      <c r="C68" s="22" t="s">
        <v>102</v>
      </c>
      <c r="D68" s="21" t="s">
        <v>301</v>
      </c>
      <c r="E68" s="22" t="s">
        <v>99</v>
      </c>
      <c r="F68" s="21" t="s">
        <v>104</v>
      </c>
    </row>
    <row r="69">
      <c r="A69" s="21" t="s">
        <v>302</v>
      </c>
      <c r="B69" s="21" t="s">
        <v>303</v>
      </c>
      <c r="C69" s="22" t="s">
        <v>102</v>
      </c>
      <c r="D69" s="21" t="s">
        <v>304</v>
      </c>
      <c r="E69" s="22" t="s">
        <v>99</v>
      </c>
      <c r="F69" s="21" t="s">
        <v>305</v>
      </c>
    </row>
    <row r="70">
      <c r="A70" s="21" t="s">
        <v>306</v>
      </c>
      <c r="B70" s="21" t="s">
        <v>307</v>
      </c>
      <c r="C70" s="22" t="s">
        <v>102</v>
      </c>
      <c r="D70" s="23"/>
      <c r="E70" s="23"/>
      <c r="F70" s="21" t="s">
        <v>265</v>
      </c>
    </row>
    <row r="71">
      <c r="A71" s="21" t="s">
        <v>308</v>
      </c>
      <c r="B71" s="21" t="s">
        <v>309</v>
      </c>
      <c r="C71" s="22" t="s">
        <v>102</v>
      </c>
      <c r="D71" s="21" t="s">
        <v>310</v>
      </c>
      <c r="E71" s="23"/>
      <c r="F71" s="21" t="s">
        <v>202</v>
      </c>
    </row>
    <row r="72">
      <c r="A72" s="18" t="s">
        <v>81</v>
      </c>
      <c r="B72" s="18" t="s">
        <v>311</v>
      </c>
      <c r="C72" s="20" t="s">
        <v>166</v>
      </c>
      <c r="D72" s="18" t="s">
        <v>312</v>
      </c>
      <c r="E72" s="20" t="s">
        <v>99</v>
      </c>
      <c r="F72" s="18" t="s">
        <v>149</v>
      </c>
    </row>
    <row r="73">
      <c r="A73" s="18" t="s">
        <v>313</v>
      </c>
      <c r="B73" s="18" t="s">
        <v>314</v>
      </c>
      <c r="C73" s="20" t="s">
        <v>166</v>
      </c>
      <c r="D73" s="18" t="s">
        <v>315</v>
      </c>
      <c r="E73" s="20" t="s">
        <v>313</v>
      </c>
      <c r="F73" s="18" t="s">
        <v>265</v>
      </c>
    </row>
    <row r="74">
      <c r="A74" s="18" t="s">
        <v>64</v>
      </c>
      <c r="B74" s="18" t="s">
        <v>316</v>
      </c>
      <c r="C74" s="20" t="s">
        <v>166</v>
      </c>
      <c r="D74" s="18" t="s">
        <v>317</v>
      </c>
      <c r="E74" s="20" t="s">
        <v>99</v>
      </c>
      <c r="F74" s="18" t="s">
        <v>265</v>
      </c>
    </row>
    <row r="75">
      <c r="A75" s="18" t="s">
        <v>318</v>
      </c>
      <c r="B75" s="18" t="s">
        <v>319</v>
      </c>
      <c r="C75" s="20" t="s">
        <v>166</v>
      </c>
      <c r="D75" s="19"/>
      <c r="E75" s="19"/>
      <c r="F75" s="18" t="s">
        <v>265</v>
      </c>
    </row>
    <row r="76">
      <c r="A76" s="18" t="s">
        <v>320</v>
      </c>
      <c r="B76" s="18" t="s">
        <v>321</v>
      </c>
      <c r="C76" s="20" t="s">
        <v>166</v>
      </c>
      <c r="D76" s="18" t="s">
        <v>322</v>
      </c>
      <c r="E76" s="20" t="s">
        <v>99</v>
      </c>
      <c r="F76" s="18" t="s">
        <v>265</v>
      </c>
    </row>
    <row r="77">
      <c r="A77" s="21" t="s">
        <v>323</v>
      </c>
      <c r="B77" s="21" t="s">
        <v>324</v>
      </c>
      <c r="C77" s="22" t="s">
        <v>102</v>
      </c>
      <c r="D77" s="21" t="s">
        <v>325</v>
      </c>
      <c r="E77" s="22" t="s">
        <v>99</v>
      </c>
      <c r="F77" s="21" t="s">
        <v>104</v>
      </c>
    </row>
    <row r="78">
      <c r="A78" s="21" t="s">
        <v>326</v>
      </c>
      <c r="B78" s="21" t="s">
        <v>327</v>
      </c>
      <c r="C78" s="22" t="s">
        <v>102</v>
      </c>
      <c r="D78" s="21" t="s">
        <v>328</v>
      </c>
      <c r="E78" s="22" t="s">
        <v>99</v>
      </c>
      <c r="F78" s="21" t="s">
        <v>149</v>
      </c>
    </row>
    <row r="79">
      <c r="A79" s="18" t="s">
        <v>329</v>
      </c>
      <c r="B79" s="18" t="s">
        <v>330</v>
      </c>
      <c r="C79" s="20" t="s">
        <v>166</v>
      </c>
      <c r="D79" s="18" t="s">
        <v>331</v>
      </c>
      <c r="E79" s="20" t="s">
        <v>99</v>
      </c>
      <c r="F79" s="18" t="s">
        <v>149</v>
      </c>
    </row>
    <row r="80">
      <c r="A80" s="18" t="s">
        <v>84</v>
      </c>
      <c r="B80" s="18" t="s">
        <v>332</v>
      </c>
      <c r="C80" s="20" t="s">
        <v>166</v>
      </c>
      <c r="D80" s="18" t="s">
        <v>333</v>
      </c>
      <c r="E80" s="20" t="s">
        <v>99</v>
      </c>
      <c r="F80" s="18" t="s">
        <v>149</v>
      </c>
    </row>
    <row r="81">
      <c r="A81" s="18" t="s">
        <v>88</v>
      </c>
      <c r="B81" s="18" t="s">
        <v>334</v>
      </c>
      <c r="C81" s="20" t="s">
        <v>166</v>
      </c>
      <c r="D81" s="18" t="s">
        <v>335</v>
      </c>
      <c r="E81" s="20" t="s">
        <v>99</v>
      </c>
      <c r="F81" s="18" t="s">
        <v>149</v>
      </c>
    </row>
    <row r="82">
      <c r="A82" s="18" t="s">
        <v>36</v>
      </c>
      <c r="B82" s="18" t="s">
        <v>336</v>
      </c>
      <c r="C82" s="20" t="s">
        <v>166</v>
      </c>
      <c r="D82" s="18" t="s">
        <v>337</v>
      </c>
      <c r="E82" s="20" t="s">
        <v>338</v>
      </c>
      <c r="F82" s="18" t="s">
        <v>149</v>
      </c>
    </row>
    <row r="83">
      <c r="A83" s="18" t="s">
        <v>339</v>
      </c>
      <c r="B83" s="18" t="s">
        <v>340</v>
      </c>
      <c r="C83" s="20" t="s">
        <v>166</v>
      </c>
      <c r="D83" s="18" t="s">
        <v>341</v>
      </c>
      <c r="E83" s="19"/>
      <c r="F83" s="18" t="s">
        <v>149</v>
      </c>
    </row>
    <row r="84">
      <c r="A84" s="18" t="s">
        <v>342</v>
      </c>
      <c r="B84" s="18" t="s">
        <v>343</v>
      </c>
      <c r="C84" s="20" t="s">
        <v>166</v>
      </c>
      <c r="D84" s="19"/>
      <c r="E84" s="19"/>
      <c r="F84" s="19"/>
    </row>
    <row r="85">
      <c r="A85" s="18" t="s">
        <v>344</v>
      </c>
      <c r="B85" s="18" t="s">
        <v>345</v>
      </c>
      <c r="C85" s="20" t="s">
        <v>284</v>
      </c>
      <c r="D85" s="18" t="s">
        <v>99</v>
      </c>
      <c r="E85" s="20" t="s">
        <v>99</v>
      </c>
      <c r="F85" s="18" t="s">
        <v>99</v>
      </c>
    </row>
    <row r="86">
      <c r="A86" s="21" t="s">
        <v>346</v>
      </c>
      <c r="B86" s="21" t="s">
        <v>347</v>
      </c>
      <c r="C86" s="22" t="s">
        <v>102</v>
      </c>
      <c r="D86" s="21" t="s">
        <v>348</v>
      </c>
      <c r="E86" s="23"/>
      <c r="F86" s="21" t="s">
        <v>349</v>
      </c>
    </row>
    <row r="87">
      <c r="A87" s="21" t="s">
        <v>350</v>
      </c>
      <c r="B87" s="21" t="s">
        <v>351</v>
      </c>
      <c r="C87" s="22" t="s">
        <v>102</v>
      </c>
      <c r="D87" s="21" t="s">
        <v>352</v>
      </c>
      <c r="E87" s="22" t="s">
        <v>99</v>
      </c>
      <c r="F87" s="21" t="s">
        <v>353</v>
      </c>
    </row>
    <row r="88">
      <c r="A88" s="21" t="s">
        <v>354</v>
      </c>
      <c r="B88" s="21" t="s">
        <v>355</v>
      </c>
      <c r="C88" s="22" t="s">
        <v>102</v>
      </c>
      <c r="D88" s="21" t="s">
        <v>356</v>
      </c>
      <c r="E88" s="22" t="s">
        <v>99</v>
      </c>
      <c r="F88" s="21" t="s">
        <v>349</v>
      </c>
    </row>
    <row r="89">
      <c r="A89" s="21" t="s">
        <v>357</v>
      </c>
      <c r="B89" s="21" t="s">
        <v>358</v>
      </c>
      <c r="C89" s="22" t="s">
        <v>102</v>
      </c>
      <c r="D89" s="21" t="s">
        <v>359</v>
      </c>
      <c r="E89" s="22" t="s">
        <v>99</v>
      </c>
      <c r="F89" s="21" t="s">
        <v>360</v>
      </c>
    </row>
    <row r="90">
      <c r="A90" s="21" t="s">
        <v>361</v>
      </c>
      <c r="B90" s="21" t="s">
        <v>362</v>
      </c>
      <c r="C90" s="22" t="s">
        <v>102</v>
      </c>
      <c r="D90" s="21" t="s">
        <v>363</v>
      </c>
      <c r="E90" s="23"/>
      <c r="F90" s="21" t="s">
        <v>360</v>
      </c>
    </row>
    <row r="91">
      <c r="A91" s="21" t="s">
        <v>364</v>
      </c>
      <c r="B91" s="21" t="s">
        <v>365</v>
      </c>
      <c r="C91" s="22" t="s">
        <v>102</v>
      </c>
      <c r="D91" s="21" t="s">
        <v>352</v>
      </c>
      <c r="E91" s="22" t="s">
        <v>99</v>
      </c>
      <c r="F91" s="21" t="s">
        <v>353</v>
      </c>
    </row>
    <row r="92">
      <c r="A92" s="21" t="s">
        <v>366</v>
      </c>
      <c r="B92" s="21" t="s">
        <v>367</v>
      </c>
      <c r="C92" s="22" t="s">
        <v>102</v>
      </c>
      <c r="D92" s="23"/>
      <c r="E92" s="23"/>
      <c r="F92" s="23"/>
    </row>
    <row r="93">
      <c r="A93" s="21" t="s">
        <v>368</v>
      </c>
      <c r="B93" s="21" t="s">
        <v>369</v>
      </c>
      <c r="C93" s="22" t="s">
        <v>102</v>
      </c>
      <c r="D93" s="23"/>
      <c r="E93" s="23"/>
      <c r="F93" s="23"/>
    </row>
    <row r="94">
      <c r="A94" s="21" t="s">
        <v>370</v>
      </c>
      <c r="B94" s="21" t="s">
        <v>371</v>
      </c>
      <c r="C94" s="22" t="s">
        <v>102</v>
      </c>
      <c r="D94" s="21" t="s">
        <v>352</v>
      </c>
      <c r="E94" s="22" t="s">
        <v>99</v>
      </c>
      <c r="F94" s="21" t="s">
        <v>353</v>
      </c>
    </row>
    <row r="95">
      <c r="A95" s="21" t="s">
        <v>372</v>
      </c>
      <c r="B95" s="21" t="s">
        <v>369</v>
      </c>
      <c r="C95" s="22" t="s">
        <v>102</v>
      </c>
      <c r="D95" s="21" t="s">
        <v>352</v>
      </c>
      <c r="E95" s="22" t="s">
        <v>99</v>
      </c>
      <c r="F95" s="21" t="s">
        <v>353</v>
      </c>
    </row>
    <row r="96">
      <c r="A96" s="21" t="s">
        <v>373</v>
      </c>
      <c r="B96" s="21" t="s">
        <v>374</v>
      </c>
      <c r="C96" s="22" t="s">
        <v>102</v>
      </c>
      <c r="D96" s="21" t="s">
        <v>375</v>
      </c>
      <c r="E96" s="22" t="s">
        <v>99</v>
      </c>
      <c r="F96" s="21" t="s">
        <v>376</v>
      </c>
    </row>
    <row r="97">
      <c r="A97" s="21" t="s">
        <v>377</v>
      </c>
      <c r="B97" s="21" t="s">
        <v>374</v>
      </c>
      <c r="C97" s="22" t="s">
        <v>102</v>
      </c>
      <c r="D97" s="21" t="s">
        <v>375</v>
      </c>
      <c r="E97" s="22" t="s">
        <v>99</v>
      </c>
      <c r="F97" s="21" t="s">
        <v>376</v>
      </c>
    </row>
    <row r="98">
      <c r="A98" s="21" t="s">
        <v>378</v>
      </c>
      <c r="B98" s="21" t="s">
        <v>379</v>
      </c>
      <c r="C98" s="22" t="s">
        <v>102</v>
      </c>
      <c r="D98" s="23"/>
      <c r="E98" s="23"/>
      <c r="F98" s="21" t="s">
        <v>376</v>
      </c>
    </row>
    <row r="99">
      <c r="A99" s="21" t="s">
        <v>380</v>
      </c>
      <c r="B99" s="21" t="s">
        <v>381</v>
      </c>
      <c r="C99" s="22" t="s">
        <v>102</v>
      </c>
      <c r="D99" s="21" t="s">
        <v>382</v>
      </c>
      <c r="E99" s="23"/>
      <c r="F99" s="21" t="s">
        <v>376</v>
      </c>
    </row>
    <row r="100">
      <c r="A100" s="21" t="s">
        <v>383</v>
      </c>
      <c r="B100" s="21" t="s">
        <v>384</v>
      </c>
      <c r="C100" s="22" t="s">
        <v>102</v>
      </c>
      <c r="D100" s="21" t="s">
        <v>375</v>
      </c>
      <c r="E100" s="22" t="s">
        <v>99</v>
      </c>
      <c r="F100" s="21" t="s">
        <v>376</v>
      </c>
    </row>
    <row r="101">
      <c r="A101" s="21" t="s">
        <v>385</v>
      </c>
      <c r="B101" s="21" t="s">
        <v>386</v>
      </c>
      <c r="C101" s="22" t="s">
        <v>102</v>
      </c>
      <c r="D101" s="21" t="s">
        <v>375</v>
      </c>
      <c r="E101" s="22" t="s">
        <v>99</v>
      </c>
      <c r="F101" s="21" t="s">
        <v>376</v>
      </c>
    </row>
    <row r="102">
      <c r="A102" s="18" t="s">
        <v>387</v>
      </c>
      <c r="B102" s="18" t="s">
        <v>388</v>
      </c>
      <c r="C102" s="20" t="s">
        <v>166</v>
      </c>
      <c r="D102" s="18" t="s">
        <v>389</v>
      </c>
      <c r="E102" s="20" t="s">
        <v>99</v>
      </c>
      <c r="F102" s="18" t="s">
        <v>265</v>
      </c>
    </row>
    <row r="103">
      <c r="A103" s="21" t="s">
        <v>390</v>
      </c>
      <c r="B103" s="21" t="s">
        <v>391</v>
      </c>
      <c r="C103" s="22" t="s">
        <v>102</v>
      </c>
      <c r="D103" s="21" t="s">
        <v>392</v>
      </c>
      <c r="E103" s="22" t="s">
        <v>99</v>
      </c>
      <c r="F103" s="21" t="s">
        <v>265</v>
      </c>
    </row>
    <row r="104">
      <c r="A104" s="18" t="s">
        <v>393</v>
      </c>
      <c r="B104" s="18" t="s">
        <v>394</v>
      </c>
      <c r="C104" s="20" t="s">
        <v>166</v>
      </c>
      <c r="D104" s="18" t="s">
        <v>395</v>
      </c>
      <c r="E104" s="20" t="s">
        <v>396</v>
      </c>
      <c r="F104" s="18" t="s">
        <v>397</v>
      </c>
    </row>
    <row r="105">
      <c r="A105" s="21" t="s">
        <v>398</v>
      </c>
      <c r="B105" s="21" t="s">
        <v>399</v>
      </c>
      <c r="C105" s="22" t="s">
        <v>102</v>
      </c>
      <c r="D105" s="21" t="s">
        <v>400</v>
      </c>
      <c r="E105" s="22" t="s">
        <v>99</v>
      </c>
      <c r="F105" s="21" t="s">
        <v>401</v>
      </c>
    </row>
    <row r="106">
      <c r="A106" s="18" t="s">
        <v>402</v>
      </c>
      <c r="B106" s="18" t="s">
        <v>403</v>
      </c>
      <c r="C106" s="20" t="s">
        <v>166</v>
      </c>
      <c r="D106" s="18" t="s">
        <v>404</v>
      </c>
      <c r="E106" s="20" t="s">
        <v>99</v>
      </c>
      <c r="F106" s="18" t="s">
        <v>104</v>
      </c>
    </row>
    <row r="107">
      <c r="A107" s="21" t="s">
        <v>405</v>
      </c>
      <c r="B107" s="21" t="s">
        <v>406</v>
      </c>
      <c r="C107" s="22" t="s">
        <v>102</v>
      </c>
      <c r="D107" s="21" t="s">
        <v>407</v>
      </c>
      <c r="E107" s="23"/>
      <c r="F107" s="21" t="s">
        <v>408</v>
      </c>
    </row>
    <row r="108">
      <c r="A108" s="21" t="s">
        <v>409</v>
      </c>
      <c r="B108" s="21" t="s">
        <v>410</v>
      </c>
      <c r="C108" s="22" t="s">
        <v>102</v>
      </c>
      <c r="D108" s="21" t="s">
        <v>411</v>
      </c>
      <c r="E108" s="22" t="s">
        <v>99</v>
      </c>
      <c r="F108" s="21" t="s">
        <v>401</v>
      </c>
    </row>
    <row r="109">
      <c r="A109" s="21" t="s">
        <v>412</v>
      </c>
      <c r="B109" s="21" t="s">
        <v>413</v>
      </c>
      <c r="C109" s="22" t="s">
        <v>102</v>
      </c>
      <c r="D109" s="21" t="s">
        <v>414</v>
      </c>
      <c r="E109" s="23"/>
      <c r="F109" s="21" t="s">
        <v>401</v>
      </c>
    </row>
    <row r="110">
      <c r="A110" s="21" t="s">
        <v>415</v>
      </c>
      <c r="B110" s="21" t="s">
        <v>416</v>
      </c>
      <c r="C110" s="22" t="s">
        <v>102</v>
      </c>
      <c r="D110" s="21" t="s">
        <v>417</v>
      </c>
      <c r="E110" s="22" t="s">
        <v>99</v>
      </c>
      <c r="F110" s="21" t="s">
        <v>418</v>
      </c>
    </row>
    <row r="111">
      <c r="A111" s="21" t="s">
        <v>419</v>
      </c>
      <c r="B111" s="21" t="s">
        <v>420</v>
      </c>
      <c r="C111" s="22" t="s">
        <v>102</v>
      </c>
      <c r="D111" s="23"/>
      <c r="E111" s="23"/>
      <c r="F111" s="21" t="s">
        <v>418</v>
      </c>
    </row>
    <row r="112">
      <c r="A112" s="21" t="s">
        <v>421</v>
      </c>
      <c r="B112" s="21" t="s">
        <v>422</v>
      </c>
      <c r="C112" s="22" t="s">
        <v>102</v>
      </c>
      <c r="D112" s="21" t="s">
        <v>423</v>
      </c>
      <c r="E112" s="22" t="s">
        <v>99</v>
      </c>
      <c r="F112" s="21" t="s">
        <v>418</v>
      </c>
    </row>
    <row r="113">
      <c r="A113" s="21" t="s">
        <v>424</v>
      </c>
      <c r="B113" s="21" t="s">
        <v>425</v>
      </c>
      <c r="C113" s="22" t="s">
        <v>102</v>
      </c>
      <c r="D113" s="21" t="s">
        <v>426</v>
      </c>
      <c r="E113" s="22" t="s">
        <v>99</v>
      </c>
      <c r="F113" s="21" t="s">
        <v>418</v>
      </c>
    </row>
    <row r="114">
      <c r="A114" s="21" t="s">
        <v>427</v>
      </c>
      <c r="B114" s="21" t="s">
        <v>428</v>
      </c>
      <c r="C114" s="22" t="s">
        <v>102</v>
      </c>
      <c r="D114" s="21" t="s">
        <v>429</v>
      </c>
      <c r="E114" s="26" t="s">
        <v>99</v>
      </c>
      <c r="F114" s="21" t="s">
        <v>265</v>
      </c>
    </row>
    <row r="115">
      <c r="A115" s="21" t="s">
        <v>430</v>
      </c>
      <c r="B115" s="21" t="s">
        <v>431</v>
      </c>
      <c r="C115" s="22" t="s">
        <v>102</v>
      </c>
      <c r="D115" s="21" t="s">
        <v>432</v>
      </c>
      <c r="E115" s="22" t="s">
        <v>99</v>
      </c>
      <c r="F115" s="21" t="s">
        <v>433</v>
      </c>
    </row>
    <row r="116">
      <c r="A116" s="21" t="s">
        <v>434</v>
      </c>
      <c r="B116" s="21" t="s">
        <v>435</v>
      </c>
      <c r="C116" s="22" t="s">
        <v>102</v>
      </c>
      <c r="D116" s="23"/>
      <c r="E116" s="23"/>
      <c r="F116" s="21" t="s">
        <v>433</v>
      </c>
    </row>
    <row r="117">
      <c r="A117" s="21" t="s">
        <v>436</v>
      </c>
      <c r="B117" s="21" t="s">
        <v>437</v>
      </c>
      <c r="C117" s="22" t="s">
        <v>102</v>
      </c>
      <c r="D117" s="23"/>
      <c r="E117" s="23"/>
      <c r="F117" s="21" t="s">
        <v>433</v>
      </c>
    </row>
    <row r="118">
      <c r="A118" s="21" t="s">
        <v>438</v>
      </c>
      <c r="B118" s="21" t="s">
        <v>439</v>
      </c>
      <c r="C118" s="22" t="s">
        <v>102</v>
      </c>
      <c r="D118" s="21" t="s">
        <v>440</v>
      </c>
      <c r="E118" s="22" t="s">
        <v>99</v>
      </c>
      <c r="F118" s="21" t="s">
        <v>433</v>
      </c>
    </row>
    <row r="119">
      <c r="A119" s="21" t="s">
        <v>441</v>
      </c>
      <c r="B119" s="21" t="s">
        <v>442</v>
      </c>
      <c r="C119" s="22" t="s">
        <v>102</v>
      </c>
      <c r="D119" s="21" t="s">
        <v>443</v>
      </c>
      <c r="E119" s="22" t="s">
        <v>99</v>
      </c>
      <c r="F119" s="21" t="s">
        <v>433</v>
      </c>
    </row>
    <row r="120">
      <c r="A120" s="21" t="s">
        <v>444</v>
      </c>
      <c r="B120" s="21" t="s">
        <v>445</v>
      </c>
      <c r="C120" s="22" t="s">
        <v>102</v>
      </c>
      <c r="D120" s="23"/>
      <c r="E120" s="27"/>
      <c r="F120" s="21" t="s">
        <v>433</v>
      </c>
    </row>
    <row r="121">
      <c r="A121" s="21" t="s">
        <v>446</v>
      </c>
      <c r="B121" s="21" t="s">
        <v>447</v>
      </c>
      <c r="C121" s="22" t="s">
        <v>102</v>
      </c>
      <c r="D121" s="23"/>
      <c r="E121" s="22" t="s">
        <v>99</v>
      </c>
      <c r="F121" s="21" t="s">
        <v>433</v>
      </c>
    </row>
    <row r="122">
      <c r="A122" s="21" t="s">
        <v>448</v>
      </c>
      <c r="B122" s="21" t="s">
        <v>449</v>
      </c>
      <c r="C122" s="22" t="s">
        <v>102</v>
      </c>
      <c r="D122" s="23"/>
      <c r="E122" s="23"/>
      <c r="F122" s="21" t="s">
        <v>433</v>
      </c>
    </row>
    <row r="123">
      <c r="A123" s="18" t="s">
        <v>450</v>
      </c>
      <c r="B123" s="18" t="s">
        <v>451</v>
      </c>
      <c r="C123" s="20" t="s">
        <v>166</v>
      </c>
      <c r="D123" s="19"/>
      <c r="E123" s="19"/>
      <c r="F123" s="18" t="s">
        <v>104</v>
      </c>
    </row>
    <row r="124">
      <c r="A124" s="18" t="s">
        <v>42</v>
      </c>
      <c r="B124" s="18" t="s">
        <v>452</v>
      </c>
      <c r="C124" s="20" t="s">
        <v>166</v>
      </c>
      <c r="D124" s="18" t="s">
        <v>453</v>
      </c>
      <c r="E124" s="20" t="s">
        <v>99</v>
      </c>
      <c r="F124" s="18" t="s">
        <v>104</v>
      </c>
    </row>
    <row r="125">
      <c r="A125" s="21" t="s">
        <v>454</v>
      </c>
      <c r="B125" s="21" t="s">
        <v>455</v>
      </c>
      <c r="C125" s="22" t="s">
        <v>102</v>
      </c>
      <c r="D125" s="21" t="s">
        <v>456</v>
      </c>
      <c r="E125" s="22" t="s">
        <v>99</v>
      </c>
      <c r="F125" s="21" t="s">
        <v>140</v>
      </c>
    </row>
    <row r="126">
      <c r="A126" s="18" t="s">
        <v>457</v>
      </c>
      <c r="B126" s="18" t="s">
        <v>458</v>
      </c>
      <c r="C126" s="20" t="s">
        <v>166</v>
      </c>
      <c r="D126" s="18" t="s">
        <v>459</v>
      </c>
      <c r="E126" s="19"/>
      <c r="F126" s="18" t="s">
        <v>408</v>
      </c>
    </row>
    <row r="127">
      <c r="A127" s="21" t="s">
        <v>460</v>
      </c>
      <c r="B127" s="21" t="s">
        <v>461</v>
      </c>
      <c r="C127" s="22" t="s">
        <v>102</v>
      </c>
      <c r="D127" s="21" t="s">
        <v>462</v>
      </c>
      <c r="E127" s="22" t="s">
        <v>99</v>
      </c>
      <c r="F127" s="21" t="s">
        <v>463</v>
      </c>
    </row>
    <row r="128">
      <c r="A128" s="21" t="s">
        <v>464</v>
      </c>
      <c r="B128" s="21" t="s">
        <v>465</v>
      </c>
      <c r="C128" s="22" t="s">
        <v>102</v>
      </c>
      <c r="D128" s="21" t="s">
        <v>466</v>
      </c>
      <c r="E128" s="22" t="s">
        <v>99</v>
      </c>
      <c r="F128" s="21" t="s">
        <v>104</v>
      </c>
    </row>
    <row r="129">
      <c r="A129" s="21" t="s">
        <v>467</v>
      </c>
      <c r="B129" s="21" t="s">
        <v>468</v>
      </c>
      <c r="C129" s="22" t="s">
        <v>102</v>
      </c>
      <c r="D129" s="21" t="s">
        <v>469</v>
      </c>
      <c r="E129" s="22" t="s">
        <v>99</v>
      </c>
      <c r="F129" s="21" t="s">
        <v>104</v>
      </c>
    </row>
    <row r="130">
      <c r="A130" s="21" t="s">
        <v>470</v>
      </c>
      <c r="B130" s="21" t="s">
        <v>471</v>
      </c>
      <c r="C130" s="22" t="s">
        <v>102</v>
      </c>
      <c r="D130" s="21" t="s">
        <v>472</v>
      </c>
      <c r="E130" s="22" t="s">
        <v>99</v>
      </c>
      <c r="F130" s="21" t="s">
        <v>463</v>
      </c>
    </row>
    <row r="131">
      <c r="A131" s="18" t="s">
        <v>473</v>
      </c>
      <c r="B131" s="18" t="s">
        <v>474</v>
      </c>
      <c r="C131" s="20" t="s">
        <v>166</v>
      </c>
      <c r="D131" s="18" t="s">
        <v>475</v>
      </c>
      <c r="E131" s="20" t="s">
        <v>99</v>
      </c>
      <c r="F131" s="18" t="s">
        <v>269</v>
      </c>
    </row>
    <row r="132">
      <c r="A132" s="21" t="s">
        <v>476</v>
      </c>
      <c r="B132" s="21" t="s">
        <v>477</v>
      </c>
      <c r="C132" s="22" t="s">
        <v>102</v>
      </c>
      <c r="D132" s="21" t="s">
        <v>478</v>
      </c>
      <c r="E132" s="22" t="s">
        <v>99</v>
      </c>
      <c r="F132" s="21" t="s">
        <v>269</v>
      </c>
    </row>
    <row r="133">
      <c r="A133" s="18" t="s">
        <v>479</v>
      </c>
      <c r="B133" s="18" t="s">
        <v>480</v>
      </c>
      <c r="C133" s="20" t="s">
        <v>166</v>
      </c>
      <c r="D133" s="19"/>
      <c r="E133" s="19"/>
      <c r="F133" s="18" t="s">
        <v>269</v>
      </c>
    </row>
    <row r="134">
      <c r="A134" s="18" t="s">
        <v>481</v>
      </c>
      <c r="B134" s="18" t="s">
        <v>482</v>
      </c>
      <c r="C134" s="20" t="s">
        <v>166</v>
      </c>
      <c r="D134" s="19"/>
      <c r="E134" s="19"/>
      <c r="F134" s="18" t="s">
        <v>269</v>
      </c>
    </row>
    <row r="135">
      <c r="A135" s="18" t="s">
        <v>483</v>
      </c>
      <c r="B135" s="18" t="s">
        <v>484</v>
      </c>
      <c r="C135" s="20" t="s">
        <v>166</v>
      </c>
      <c r="D135" s="18" t="s">
        <v>485</v>
      </c>
      <c r="E135" s="20" t="s">
        <v>99</v>
      </c>
      <c r="F135" s="18" t="s">
        <v>269</v>
      </c>
    </row>
    <row r="136">
      <c r="A136" s="21" t="s">
        <v>486</v>
      </c>
      <c r="B136" s="21" t="s">
        <v>487</v>
      </c>
      <c r="C136" s="22" t="s">
        <v>102</v>
      </c>
      <c r="D136" s="23"/>
      <c r="E136" s="23"/>
      <c r="F136" s="21" t="s">
        <v>488</v>
      </c>
    </row>
    <row r="137">
      <c r="A137" s="21" t="s">
        <v>489</v>
      </c>
      <c r="B137" s="21" t="s">
        <v>490</v>
      </c>
      <c r="C137" s="22" t="s">
        <v>102</v>
      </c>
      <c r="D137" s="21" t="s">
        <v>491</v>
      </c>
      <c r="E137" s="23"/>
      <c r="F137" s="21" t="s">
        <v>492</v>
      </c>
    </row>
    <row r="138">
      <c r="A138" s="21" t="s">
        <v>493</v>
      </c>
      <c r="B138" s="21" t="s">
        <v>494</v>
      </c>
      <c r="C138" s="22" t="s">
        <v>102</v>
      </c>
      <c r="D138" s="21" t="s">
        <v>495</v>
      </c>
      <c r="E138" s="22" t="s">
        <v>99</v>
      </c>
      <c r="F138" s="21" t="s">
        <v>492</v>
      </c>
    </row>
    <row r="139">
      <c r="A139" s="21" t="s">
        <v>496</v>
      </c>
      <c r="B139" s="21" t="s">
        <v>497</v>
      </c>
      <c r="C139" s="22" t="s">
        <v>102</v>
      </c>
      <c r="D139" s="21" t="s">
        <v>498</v>
      </c>
      <c r="E139" s="23"/>
      <c r="F139" s="21" t="s">
        <v>499</v>
      </c>
    </row>
    <row r="140">
      <c r="A140" s="21" t="s">
        <v>500</v>
      </c>
      <c r="B140" s="21" t="s">
        <v>501</v>
      </c>
      <c r="C140" s="22" t="s">
        <v>102</v>
      </c>
      <c r="D140" s="21" t="s">
        <v>498</v>
      </c>
      <c r="E140" s="23"/>
      <c r="F140" s="21" t="s">
        <v>499</v>
      </c>
    </row>
    <row r="141">
      <c r="A141" s="21" t="s">
        <v>502</v>
      </c>
      <c r="B141" s="21" t="s">
        <v>503</v>
      </c>
      <c r="C141" s="22" t="s">
        <v>102</v>
      </c>
      <c r="D141" s="21" t="s">
        <v>498</v>
      </c>
      <c r="E141" s="23"/>
      <c r="F141" s="21" t="s">
        <v>499</v>
      </c>
    </row>
    <row r="142">
      <c r="A142" s="21" t="s">
        <v>504</v>
      </c>
      <c r="B142" s="21" t="s">
        <v>505</v>
      </c>
      <c r="C142" s="22" t="s">
        <v>102</v>
      </c>
      <c r="D142" s="21" t="s">
        <v>506</v>
      </c>
      <c r="E142" s="22" t="s">
        <v>99</v>
      </c>
      <c r="F142" s="21" t="s">
        <v>104</v>
      </c>
    </row>
    <row r="143">
      <c r="A143" s="21" t="s">
        <v>507</v>
      </c>
      <c r="B143" s="21" t="s">
        <v>508</v>
      </c>
      <c r="C143" s="22" t="s">
        <v>102</v>
      </c>
      <c r="D143" s="21" t="s">
        <v>506</v>
      </c>
      <c r="E143" s="22" t="s">
        <v>99</v>
      </c>
      <c r="F143" s="21" t="s">
        <v>104</v>
      </c>
    </row>
    <row r="144">
      <c r="A144" s="21" t="s">
        <v>509</v>
      </c>
      <c r="B144" s="21" t="s">
        <v>510</v>
      </c>
      <c r="C144" s="22" t="s">
        <v>102</v>
      </c>
      <c r="D144" s="21" t="s">
        <v>506</v>
      </c>
      <c r="E144" s="22" t="s">
        <v>99</v>
      </c>
      <c r="F144" s="21" t="s">
        <v>104</v>
      </c>
    </row>
    <row r="145">
      <c r="A145" s="18" t="s">
        <v>511</v>
      </c>
      <c r="B145" s="25" t="s">
        <v>512</v>
      </c>
      <c r="C145" s="20" t="s">
        <v>166</v>
      </c>
      <c r="D145" s="18" t="s">
        <v>513</v>
      </c>
      <c r="E145" s="25" t="s">
        <v>99</v>
      </c>
      <c r="F145" s="18" t="s">
        <v>104</v>
      </c>
    </row>
    <row r="146">
      <c r="A146" s="21" t="s">
        <v>514</v>
      </c>
      <c r="B146" s="21" t="s">
        <v>515</v>
      </c>
      <c r="C146" s="22" t="s">
        <v>102</v>
      </c>
      <c r="D146" s="21" t="s">
        <v>516</v>
      </c>
      <c r="E146" s="22" t="s">
        <v>99</v>
      </c>
      <c r="F146" s="21" t="s">
        <v>376</v>
      </c>
    </row>
    <row r="147">
      <c r="A147" s="21" t="s">
        <v>517</v>
      </c>
      <c r="B147" s="21" t="s">
        <v>518</v>
      </c>
      <c r="C147" s="22" t="s">
        <v>102</v>
      </c>
      <c r="D147" s="21" t="s">
        <v>519</v>
      </c>
      <c r="E147" s="22" t="s">
        <v>99</v>
      </c>
      <c r="F147" s="21" t="s">
        <v>349</v>
      </c>
    </row>
    <row r="148">
      <c r="A148" s="21" t="s">
        <v>520</v>
      </c>
      <c r="B148" s="21" t="s">
        <v>521</v>
      </c>
      <c r="C148" s="22" t="s">
        <v>102</v>
      </c>
      <c r="D148" s="21" t="s">
        <v>522</v>
      </c>
      <c r="E148" s="22" t="s">
        <v>99</v>
      </c>
      <c r="F148" s="21" t="s">
        <v>349</v>
      </c>
    </row>
    <row r="149">
      <c r="A149" s="22" t="s">
        <v>523</v>
      </c>
      <c r="B149" s="21" t="s">
        <v>524</v>
      </c>
      <c r="C149" s="22" t="s">
        <v>102</v>
      </c>
      <c r="D149" s="21" t="s">
        <v>525</v>
      </c>
      <c r="E149" s="22" t="s">
        <v>99</v>
      </c>
      <c r="F149" s="21" t="s">
        <v>376</v>
      </c>
    </row>
    <row r="150">
      <c r="A150" s="22" t="s">
        <v>526</v>
      </c>
      <c r="B150" s="21" t="s">
        <v>527</v>
      </c>
      <c r="C150" s="22" t="s">
        <v>102</v>
      </c>
      <c r="D150" s="21" t="s">
        <v>528</v>
      </c>
      <c r="E150" s="22" t="s">
        <v>99</v>
      </c>
      <c r="F150" s="21" t="s">
        <v>529</v>
      </c>
    </row>
    <row r="151">
      <c r="A151" s="22" t="s">
        <v>530</v>
      </c>
      <c r="B151" s="21" t="s">
        <v>531</v>
      </c>
      <c r="C151" s="22" t="s">
        <v>102</v>
      </c>
      <c r="D151" s="21" t="s">
        <v>528</v>
      </c>
      <c r="E151" s="22" t="s">
        <v>99</v>
      </c>
      <c r="F151" s="21" t="s">
        <v>529</v>
      </c>
    </row>
    <row r="152">
      <c r="A152" s="22" t="s">
        <v>532</v>
      </c>
      <c r="B152" s="21" t="s">
        <v>533</v>
      </c>
      <c r="C152" s="22" t="s">
        <v>102</v>
      </c>
      <c r="D152" s="21" t="s">
        <v>534</v>
      </c>
      <c r="E152" s="23"/>
      <c r="F152" s="21" t="s">
        <v>535</v>
      </c>
    </row>
    <row r="153">
      <c r="A153" s="20" t="s">
        <v>536</v>
      </c>
      <c r="B153" s="18" t="s">
        <v>537</v>
      </c>
      <c r="C153" s="20" t="s">
        <v>99</v>
      </c>
      <c r="D153" s="18" t="s">
        <v>99</v>
      </c>
      <c r="E153" s="25" t="s">
        <v>99</v>
      </c>
      <c r="F153" s="18" t="s">
        <v>99</v>
      </c>
    </row>
    <row r="154">
      <c r="A154" s="22" t="s">
        <v>538</v>
      </c>
      <c r="B154" s="21" t="s">
        <v>539</v>
      </c>
      <c r="C154" s="22" t="s">
        <v>102</v>
      </c>
      <c r="D154" s="21" t="s">
        <v>540</v>
      </c>
      <c r="E154" s="22" t="s">
        <v>99</v>
      </c>
      <c r="F154" s="21" t="s">
        <v>206</v>
      </c>
    </row>
    <row r="155">
      <c r="A155" s="24" t="s">
        <v>541</v>
      </c>
      <c r="B155" s="25" t="s">
        <v>542</v>
      </c>
      <c r="C155" s="20" t="s">
        <v>166</v>
      </c>
      <c r="D155" s="25" t="s">
        <v>543</v>
      </c>
      <c r="E155" s="25" t="s">
        <v>99</v>
      </c>
      <c r="F155" s="24" t="s">
        <v>360</v>
      </c>
    </row>
    <row r="156">
      <c r="A156" s="28" t="s">
        <v>544</v>
      </c>
      <c r="B156" s="26" t="s">
        <v>545</v>
      </c>
      <c r="C156" s="22" t="s">
        <v>102</v>
      </c>
      <c r="D156" s="21" t="s">
        <v>546</v>
      </c>
      <c r="E156" s="26" t="s">
        <v>99</v>
      </c>
      <c r="F156" s="28" t="s">
        <v>104</v>
      </c>
    </row>
    <row r="157">
      <c r="A157" s="24" t="s">
        <v>547</v>
      </c>
      <c r="B157" s="25" t="s">
        <v>548</v>
      </c>
      <c r="C157" s="20" t="s">
        <v>166</v>
      </c>
      <c r="D157" s="18" t="s">
        <v>549</v>
      </c>
      <c r="E157" s="25" t="s">
        <v>99</v>
      </c>
      <c r="F157" s="24" t="s">
        <v>202</v>
      </c>
    </row>
    <row r="158">
      <c r="A158" s="21" t="s">
        <v>550</v>
      </c>
      <c r="B158" s="21" t="s">
        <v>551</v>
      </c>
      <c r="C158" s="22" t="s">
        <v>102</v>
      </c>
      <c r="D158" s="21" t="s">
        <v>552</v>
      </c>
      <c r="E158" s="22" t="s">
        <v>99</v>
      </c>
      <c r="F158" s="21" t="s">
        <v>360</v>
      </c>
    </row>
    <row r="159">
      <c r="A159" s="18" t="s">
        <v>553</v>
      </c>
      <c r="B159" s="18" t="s">
        <v>554</v>
      </c>
      <c r="C159" s="20" t="s">
        <v>166</v>
      </c>
      <c r="D159" s="18" t="s">
        <v>555</v>
      </c>
      <c r="E159" s="20" t="s">
        <v>556</v>
      </c>
      <c r="F159" s="18" t="s">
        <v>104</v>
      </c>
    </row>
    <row r="160">
      <c r="A160" s="21" t="s">
        <v>557</v>
      </c>
      <c r="B160" s="21" t="s">
        <v>558</v>
      </c>
      <c r="C160" s="22" t="s">
        <v>102</v>
      </c>
      <c r="D160" s="21" t="s">
        <v>559</v>
      </c>
      <c r="E160" s="22" t="s">
        <v>560</v>
      </c>
      <c r="F160" s="21" t="s">
        <v>104</v>
      </c>
    </row>
    <row r="161">
      <c r="A161" s="21" t="s">
        <v>561</v>
      </c>
      <c r="B161" s="21" t="s">
        <v>562</v>
      </c>
      <c r="C161" s="22" t="s">
        <v>102</v>
      </c>
      <c r="D161" s="21" t="s">
        <v>563</v>
      </c>
      <c r="E161" s="22" t="s">
        <v>99</v>
      </c>
      <c r="F161" s="21" t="s">
        <v>418</v>
      </c>
    </row>
    <row r="162">
      <c r="A162" s="24" t="s">
        <v>564</v>
      </c>
      <c r="B162" s="24" t="s">
        <v>565</v>
      </c>
      <c r="C162" s="20" t="s">
        <v>166</v>
      </c>
      <c r="D162" s="24" t="s">
        <v>566</v>
      </c>
      <c r="E162" s="25" t="s">
        <v>99</v>
      </c>
      <c r="F162" s="18" t="s">
        <v>149</v>
      </c>
    </row>
    <row r="163">
      <c r="A163" s="24" t="s">
        <v>567</v>
      </c>
      <c r="B163" s="24" t="s">
        <v>568</v>
      </c>
      <c r="C163" s="20" t="s">
        <v>166</v>
      </c>
      <c r="D163" s="24" t="s">
        <v>569</v>
      </c>
      <c r="E163" s="29"/>
      <c r="F163" s="18" t="s">
        <v>104</v>
      </c>
    </row>
    <row r="164">
      <c r="A164" s="21" t="s">
        <v>58</v>
      </c>
      <c r="B164" s="21" t="s">
        <v>570</v>
      </c>
      <c r="C164" s="22" t="s">
        <v>102</v>
      </c>
      <c r="D164" s="21" t="s">
        <v>571</v>
      </c>
      <c r="E164" s="22" t="s">
        <v>99</v>
      </c>
      <c r="F164" s="21" t="s">
        <v>572</v>
      </c>
    </row>
    <row r="165">
      <c r="A165" s="21" t="s">
        <v>573</v>
      </c>
      <c r="B165" s="21" t="s">
        <v>574</v>
      </c>
      <c r="C165" s="22" t="s">
        <v>102</v>
      </c>
      <c r="D165" s="21" t="s">
        <v>575</v>
      </c>
      <c r="E165" s="22" t="s">
        <v>99</v>
      </c>
      <c r="F165" s="21" t="s">
        <v>463</v>
      </c>
    </row>
    <row r="166">
      <c r="A166" s="21" t="s">
        <v>576</v>
      </c>
      <c r="B166" s="21" t="s">
        <v>577</v>
      </c>
      <c r="C166" s="22" t="s">
        <v>102</v>
      </c>
      <c r="D166" s="21" t="s">
        <v>578</v>
      </c>
      <c r="E166" s="22" t="s">
        <v>99</v>
      </c>
      <c r="F166" s="21" t="s">
        <v>463</v>
      </c>
    </row>
    <row r="167">
      <c r="A167" s="21" t="s">
        <v>579</v>
      </c>
      <c r="B167" s="21" t="s">
        <v>580</v>
      </c>
      <c r="C167" s="22" t="s">
        <v>102</v>
      </c>
      <c r="D167" s="23"/>
      <c r="E167" s="23"/>
      <c r="F167" s="21" t="s">
        <v>186</v>
      </c>
    </row>
    <row r="168">
      <c r="A168" s="21" t="s">
        <v>65</v>
      </c>
      <c r="B168" s="21" t="s">
        <v>581</v>
      </c>
      <c r="C168" s="22" t="s">
        <v>102</v>
      </c>
      <c r="D168" s="21" t="s">
        <v>582</v>
      </c>
      <c r="E168" s="22" t="s">
        <v>99</v>
      </c>
      <c r="F168" s="21" t="s">
        <v>186</v>
      </c>
    </row>
    <row r="169">
      <c r="A169" s="21" t="s">
        <v>59</v>
      </c>
      <c r="B169" s="21" t="s">
        <v>583</v>
      </c>
      <c r="C169" s="22" t="s">
        <v>102</v>
      </c>
      <c r="D169" s="23"/>
      <c r="E169" s="23"/>
      <c r="F169" s="21" t="s">
        <v>186</v>
      </c>
    </row>
    <row r="170">
      <c r="A170" s="21" t="s">
        <v>584</v>
      </c>
      <c r="B170" s="21" t="s">
        <v>585</v>
      </c>
      <c r="C170" s="22" t="s">
        <v>102</v>
      </c>
      <c r="D170" s="21" t="s">
        <v>586</v>
      </c>
      <c r="E170" s="23"/>
      <c r="F170" s="21" t="s">
        <v>186</v>
      </c>
    </row>
    <row r="171">
      <c r="A171" s="30" t="s">
        <v>50</v>
      </c>
      <c r="B171" s="30" t="s">
        <v>587</v>
      </c>
      <c r="C171" s="31" t="s">
        <v>102</v>
      </c>
      <c r="D171" s="21"/>
      <c r="E171" s="22"/>
      <c r="F171" s="21"/>
    </row>
    <row r="172">
      <c r="A172" s="21" t="s">
        <v>588</v>
      </c>
      <c r="B172" s="21" t="s">
        <v>589</v>
      </c>
      <c r="C172" s="22" t="s">
        <v>102</v>
      </c>
      <c r="D172" s="21" t="s">
        <v>590</v>
      </c>
      <c r="E172" s="22" t="s">
        <v>99</v>
      </c>
      <c r="F172" s="21" t="s">
        <v>186</v>
      </c>
    </row>
    <row r="173">
      <c r="A173" s="21" t="s">
        <v>591</v>
      </c>
      <c r="B173" s="21" t="s">
        <v>592</v>
      </c>
      <c r="C173" s="22" t="s">
        <v>102</v>
      </c>
      <c r="D173" s="21" t="s">
        <v>139</v>
      </c>
      <c r="E173" s="23"/>
      <c r="F173" s="21" t="s">
        <v>140</v>
      </c>
    </row>
    <row r="174">
      <c r="A174" s="21" t="s">
        <v>593</v>
      </c>
      <c r="B174" s="21" t="s">
        <v>594</v>
      </c>
      <c r="C174" s="22" t="s">
        <v>102</v>
      </c>
      <c r="D174" s="21" t="s">
        <v>595</v>
      </c>
      <c r="E174" s="23"/>
      <c r="F174" s="21" t="s">
        <v>104</v>
      </c>
    </row>
    <row r="175">
      <c r="A175" s="21" t="s">
        <v>596</v>
      </c>
      <c r="B175" s="21" t="s">
        <v>597</v>
      </c>
      <c r="C175" s="22" t="s">
        <v>102</v>
      </c>
      <c r="D175" s="21" t="s">
        <v>598</v>
      </c>
      <c r="E175" s="23"/>
      <c r="F175" s="21" t="s">
        <v>499</v>
      </c>
    </row>
    <row r="176">
      <c r="A176" s="25" t="s">
        <v>599</v>
      </c>
      <c r="B176" s="21" t="s">
        <v>600</v>
      </c>
      <c r="C176" s="22" t="s">
        <v>102</v>
      </c>
      <c r="D176" s="23"/>
      <c r="E176" s="23"/>
      <c r="F176" s="23"/>
    </row>
    <row r="177">
      <c r="A177" s="25" t="s">
        <v>601</v>
      </c>
      <c r="B177" s="21" t="s">
        <v>602</v>
      </c>
      <c r="C177" s="22" t="s">
        <v>102</v>
      </c>
      <c r="D177" s="23"/>
      <c r="E177" s="23"/>
      <c r="F177" s="23"/>
    </row>
    <row r="178">
      <c r="A178" s="21" t="s">
        <v>603</v>
      </c>
      <c r="B178" s="21" t="s">
        <v>604</v>
      </c>
      <c r="C178" s="22" t="s">
        <v>102</v>
      </c>
      <c r="D178" s="23"/>
      <c r="E178" s="23"/>
      <c r="F178" s="23"/>
    </row>
    <row r="179">
      <c r="A179" s="21" t="s">
        <v>605</v>
      </c>
      <c r="B179" s="21" t="s">
        <v>606</v>
      </c>
      <c r="C179" s="22" t="s">
        <v>102</v>
      </c>
      <c r="D179" s="21" t="s">
        <v>607</v>
      </c>
      <c r="E179" s="23"/>
      <c r="F179" s="21" t="s">
        <v>608</v>
      </c>
    </row>
    <row r="180">
      <c r="A180" s="21" t="s">
        <v>609</v>
      </c>
      <c r="B180" s="21" t="s">
        <v>610</v>
      </c>
      <c r="C180" s="22" t="s">
        <v>102</v>
      </c>
      <c r="D180" s="21" t="s">
        <v>611</v>
      </c>
      <c r="E180" s="23"/>
      <c r="F180" s="21" t="s">
        <v>608</v>
      </c>
    </row>
    <row r="181">
      <c r="A181" s="21" t="s">
        <v>612</v>
      </c>
      <c r="B181" s="21" t="s">
        <v>613</v>
      </c>
      <c r="C181" s="22" t="s">
        <v>102</v>
      </c>
      <c r="D181" s="23"/>
      <c r="E181" s="23"/>
      <c r="F181" s="23"/>
    </row>
    <row r="182">
      <c r="A182" s="21" t="s">
        <v>614</v>
      </c>
      <c r="B182" s="21" t="s">
        <v>615</v>
      </c>
      <c r="C182" s="22" t="s">
        <v>102</v>
      </c>
      <c r="D182" s="21" t="s">
        <v>616</v>
      </c>
      <c r="E182" s="22" t="s">
        <v>99</v>
      </c>
      <c r="F182" s="21" t="s">
        <v>617</v>
      </c>
    </row>
    <row r="183">
      <c r="A183" s="32" t="s">
        <v>618</v>
      </c>
      <c r="B183" s="25" t="s">
        <v>619</v>
      </c>
      <c r="C183" s="33"/>
      <c r="D183" s="33"/>
      <c r="E183" s="33"/>
      <c r="F183" s="33"/>
    </row>
    <row r="184">
      <c r="A184" s="21" t="s">
        <v>620</v>
      </c>
      <c r="B184" s="34" t="s">
        <v>621</v>
      </c>
      <c r="C184" s="22" t="s">
        <v>102</v>
      </c>
      <c r="D184" s="23"/>
      <c r="E184" s="23"/>
      <c r="F184" s="23"/>
    </row>
    <row r="185">
      <c r="A185" s="21" t="s">
        <v>622</v>
      </c>
      <c r="B185" s="21" t="s">
        <v>623</v>
      </c>
      <c r="C185" s="22" t="s">
        <v>102</v>
      </c>
      <c r="D185" s="21" t="s">
        <v>624</v>
      </c>
      <c r="E185" s="22" t="s">
        <v>99</v>
      </c>
      <c r="F185" s="21" t="s">
        <v>360</v>
      </c>
    </row>
    <row r="186">
      <c r="A186" s="35" t="s">
        <v>625</v>
      </c>
      <c r="B186" s="21" t="s">
        <v>626</v>
      </c>
      <c r="C186" s="22" t="s">
        <v>102</v>
      </c>
      <c r="D186" s="21" t="s">
        <v>627</v>
      </c>
      <c r="E186" s="22" t="s">
        <v>628</v>
      </c>
      <c r="F186" s="21" t="s">
        <v>360</v>
      </c>
    </row>
    <row r="187">
      <c r="A187" s="35" t="s">
        <v>629</v>
      </c>
      <c r="B187" s="21" t="s">
        <v>630</v>
      </c>
      <c r="C187" s="22" t="s">
        <v>102</v>
      </c>
      <c r="D187" s="21" t="s">
        <v>631</v>
      </c>
      <c r="E187" s="22" t="s">
        <v>99</v>
      </c>
      <c r="F187" s="21" t="s">
        <v>360</v>
      </c>
    </row>
    <row r="188">
      <c r="A188" s="21" t="s">
        <v>632</v>
      </c>
      <c r="B188" s="21" t="s">
        <v>633</v>
      </c>
      <c r="C188" s="22" t="s">
        <v>102</v>
      </c>
      <c r="D188" s="21" t="s">
        <v>634</v>
      </c>
      <c r="E188" s="23"/>
      <c r="F188" s="21" t="s">
        <v>635</v>
      </c>
    </row>
    <row r="189">
      <c r="A189" s="21" t="s">
        <v>636</v>
      </c>
      <c r="B189" s="21" t="s">
        <v>637</v>
      </c>
      <c r="C189" s="22" t="s">
        <v>102</v>
      </c>
      <c r="D189" s="21" t="s">
        <v>638</v>
      </c>
      <c r="E189" s="23"/>
      <c r="F189" s="21" t="s">
        <v>635</v>
      </c>
    </row>
    <row r="190">
      <c r="A190" s="36" t="s">
        <v>40</v>
      </c>
      <c r="B190" s="36" t="s">
        <v>639</v>
      </c>
      <c r="C190" s="37" t="s">
        <v>102</v>
      </c>
      <c r="D190" s="36" t="s">
        <v>640</v>
      </c>
      <c r="E190" s="37" t="s">
        <v>99</v>
      </c>
      <c r="F190" s="36" t="s">
        <v>635</v>
      </c>
    </row>
    <row r="191">
      <c r="A191" s="18" t="s">
        <v>641</v>
      </c>
      <c r="B191" s="18" t="s">
        <v>642</v>
      </c>
      <c r="C191" s="20" t="s">
        <v>166</v>
      </c>
      <c r="D191" s="18" t="s">
        <v>643</v>
      </c>
      <c r="E191" s="20" t="s">
        <v>99</v>
      </c>
      <c r="F191" s="18" t="s">
        <v>104</v>
      </c>
    </row>
    <row r="192">
      <c r="A192" s="18" t="s">
        <v>644</v>
      </c>
      <c r="B192" s="18" t="s">
        <v>645</v>
      </c>
      <c r="C192" s="20" t="s">
        <v>166</v>
      </c>
      <c r="D192" s="18" t="s">
        <v>646</v>
      </c>
      <c r="E192" s="20" t="s">
        <v>99</v>
      </c>
      <c r="F192" s="18" t="s">
        <v>149</v>
      </c>
    </row>
    <row r="193">
      <c r="A193" s="32" t="s">
        <v>647</v>
      </c>
      <c r="B193" s="32" t="s">
        <v>648</v>
      </c>
      <c r="C193" s="38" t="s">
        <v>166</v>
      </c>
      <c r="D193" s="32" t="s">
        <v>649</v>
      </c>
      <c r="E193" s="38" t="s">
        <v>99</v>
      </c>
      <c r="F193" s="32" t="s">
        <v>401</v>
      </c>
    </row>
    <row r="194">
      <c r="A194" s="39" t="s">
        <v>650</v>
      </c>
      <c r="B194" s="39" t="s">
        <v>651</v>
      </c>
      <c r="C194" s="40" t="s">
        <v>652</v>
      </c>
      <c r="D194" s="39" t="s">
        <v>653</v>
      </c>
      <c r="E194" s="40" t="s">
        <v>99</v>
      </c>
      <c r="F194" s="39" t="s">
        <v>104</v>
      </c>
    </row>
    <row r="195">
      <c r="A195" s="39" t="s">
        <v>654</v>
      </c>
      <c r="B195" s="39" t="s">
        <v>655</v>
      </c>
      <c r="C195" s="40" t="s">
        <v>652</v>
      </c>
      <c r="D195" s="39" t="s">
        <v>99</v>
      </c>
      <c r="E195" s="40" t="s">
        <v>108</v>
      </c>
      <c r="F195" s="39" t="s">
        <v>109</v>
      </c>
    </row>
    <row r="196">
      <c r="A196" s="39" t="s">
        <v>656</v>
      </c>
      <c r="B196" s="39" t="s">
        <v>657</v>
      </c>
      <c r="C196" s="40" t="s">
        <v>652</v>
      </c>
      <c r="D196" s="39" t="s">
        <v>112</v>
      </c>
      <c r="E196" s="40" t="s">
        <v>113</v>
      </c>
      <c r="F196" s="39" t="s">
        <v>109</v>
      </c>
    </row>
    <row r="197">
      <c r="A197" s="39" t="s">
        <v>658</v>
      </c>
      <c r="B197" s="39" t="s">
        <v>659</v>
      </c>
      <c r="C197" s="40" t="s">
        <v>652</v>
      </c>
      <c r="D197" s="39" t="s">
        <v>660</v>
      </c>
      <c r="E197" s="40" t="s">
        <v>121</v>
      </c>
      <c r="F197" s="39" t="s">
        <v>109</v>
      </c>
    </row>
    <row r="198">
      <c r="A198" s="39" t="s">
        <v>661</v>
      </c>
      <c r="B198" s="39" t="s">
        <v>662</v>
      </c>
      <c r="C198" s="40" t="s">
        <v>652</v>
      </c>
      <c r="D198" s="39" t="s">
        <v>99</v>
      </c>
      <c r="E198" s="40" t="s">
        <v>99</v>
      </c>
      <c r="F198" s="39" t="s">
        <v>109</v>
      </c>
    </row>
    <row r="199">
      <c r="A199" s="39" t="s">
        <v>663</v>
      </c>
      <c r="B199" s="39" t="s">
        <v>664</v>
      </c>
      <c r="C199" s="40" t="s">
        <v>652</v>
      </c>
      <c r="D199" s="39" t="s">
        <v>99</v>
      </c>
      <c r="E199" s="40" t="s">
        <v>131</v>
      </c>
      <c r="F199" s="39" t="s">
        <v>109</v>
      </c>
    </row>
    <row r="200">
      <c r="A200" s="41" t="s">
        <v>665</v>
      </c>
      <c r="B200" s="39" t="s">
        <v>666</v>
      </c>
      <c r="C200" s="40" t="s">
        <v>652</v>
      </c>
      <c r="D200" s="39" t="s">
        <v>139</v>
      </c>
      <c r="E200" s="40" t="s">
        <v>99</v>
      </c>
      <c r="F200" s="39" t="s">
        <v>140</v>
      </c>
    </row>
    <row r="201">
      <c r="A201" s="39" t="s">
        <v>667</v>
      </c>
      <c r="B201" s="39" t="s">
        <v>668</v>
      </c>
      <c r="C201" s="40" t="s">
        <v>652</v>
      </c>
      <c r="D201" s="39" t="s">
        <v>99</v>
      </c>
      <c r="E201" s="40" t="s">
        <v>99</v>
      </c>
      <c r="F201" s="39" t="s">
        <v>149</v>
      </c>
    </row>
    <row r="202">
      <c r="A202" s="39" t="s">
        <v>669</v>
      </c>
      <c r="B202" s="39" t="s">
        <v>670</v>
      </c>
      <c r="C202" s="40" t="s">
        <v>671</v>
      </c>
      <c r="D202" s="39" t="s">
        <v>167</v>
      </c>
      <c r="E202" s="40" t="s">
        <v>99</v>
      </c>
      <c r="F202" s="39" t="s">
        <v>168</v>
      </c>
    </row>
    <row r="203">
      <c r="A203" s="39" t="s">
        <v>672</v>
      </c>
      <c r="B203" s="39" t="s">
        <v>673</v>
      </c>
      <c r="C203" s="40" t="s">
        <v>652</v>
      </c>
      <c r="D203" s="39" t="s">
        <v>171</v>
      </c>
      <c r="E203" s="40" t="s">
        <v>99</v>
      </c>
      <c r="F203" s="39" t="s">
        <v>104</v>
      </c>
    </row>
    <row r="204">
      <c r="A204" s="39" t="s">
        <v>674</v>
      </c>
      <c r="B204" s="39" t="s">
        <v>675</v>
      </c>
      <c r="C204" s="40" t="s">
        <v>652</v>
      </c>
      <c r="D204" s="39" t="s">
        <v>171</v>
      </c>
      <c r="E204" s="40" t="s">
        <v>99</v>
      </c>
      <c r="F204" s="39" t="s">
        <v>104</v>
      </c>
    </row>
    <row r="205">
      <c r="A205" s="39" t="s">
        <v>676</v>
      </c>
      <c r="B205" s="39" t="s">
        <v>677</v>
      </c>
      <c r="C205" s="40" t="s">
        <v>652</v>
      </c>
      <c r="D205" s="39" t="s">
        <v>179</v>
      </c>
      <c r="E205" s="40" t="s">
        <v>99</v>
      </c>
      <c r="F205" s="39" t="s">
        <v>109</v>
      </c>
    </row>
    <row r="206">
      <c r="A206" s="39" t="s">
        <v>678</v>
      </c>
      <c r="B206" s="39" t="s">
        <v>679</v>
      </c>
      <c r="C206" s="40" t="s">
        <v>652</v>
      </c>
      <c r="D206" s="39" t="s">
        <v>182</v>
      </c>
      <c r="E206" s="40" t="s">
        <v>99</v>
      </c>
      <c r="F206" s="39" t="s">
        <v>109</v>
      </c>
    </row>
    <row r="207">
      <c r="A207" s="39" t="s">
        <v>680</v>
      </c>
      <c r="B207" s="39" t="s">
        <v>681</v>
      </c>
      <c r="C207" s="40" t="s">
        <v>652</v>
      </c>
      <c r="D207" s="39" t="s">
        <v>185</v>
      </c>
      <c r="E207" s="40" t="s">
        <v>99</v>
      </c>
      <c r="F207" s="39" t="s">
        <v>186</v>
      </c>
    </row>
    <row r="208">
      <c r="A208" s="39" t="s">
        <v>682</v>
      </c>
      <c r="B208" s="39" t="s">
        <v>683</v>
      </c>
      <c r="C208" s="40" t="s">
        <v>652</v>
      </c>
      <c r="D208" s="39" t="s">
        <v>188</v>
      </c>
      <c r="E208" s="40" t="s">
        <v>99</v>
      </c>
      <c r="F208" s="39" t="s">
        <v>186</v>
      </c>
    </row>
    <row r="209">
      <c r="A209" s="39" t="s">
        <v>684</v>
      </c>
      <c r="B209" s="39" t="s">
        <v>685</v>
      </c>
      <c r="C209" s="40" t="s">
        <v>671</v>
      </c>
      <c r="D209" s="39" t="s">
        <v>193</v>
      </c>
      <c r="E209" s="40" t="s">
        <v>99</v>
      </c>
      <c r="F209" s="39" t="s">
        <v>194</v>
      </c>
    </row>
    <row r="210">
      <c r="A210" s="39" t="s">
        <v>686</v>
      </c>
      <c r="B210" s="39" t="s">
        <v>687</v>
      </c>
      <c r="C210" s="40" t="s">
        <v>652</v>
      </c>
      <c r="D210" s="39" t="s">
        <v>197</v>
      </c>
      <c r="E210" s="40" t="s">
        <v>99</v>
      </c>
      <c r="F210" s="39" t="s">
        <v>198</v>
      </c>
    </row>
    <row r="211">
      <c r="A211" s="39" t="s">
        <v>688</v>
      </c>
      <c r="B211" s="39" t="s">
        <v>689</v>
      </c>
      <c r="C211" s="40" t="s">
        <v>671</v>
      </c>
      <c r="D211" s="39" t="s">
        <v>201</v>
      </c>
      <c r="E211" s="40" t="s">
        <v>99</v>
      </c>
      <c r="F211" s="39" t="s">
        <v>202</v>
      </c>
    </row>
    <row r="212">
      <c r="A212" s="39" t="s">
        <v>690</v>
      </c>
      <c r="B212" s="39" t="s">
        <v>691</v>
      </c>
      <c r="C212" s="40" t="s">
        <v>652</v>
      </c>
      <c r="D212" s="39" t="s">
        <v>205</v>
      </c>
      <c r="E212" s="40" t="s">
        <v>99</v>
      </c>
      <c r="F212" s="39" t="s">
        <v>692</v>
      </c>
    </row>
    <row r="213">
      <c r="A213" s="39" t="s">
        <v>693</v>
      </c>
      <c r="B213" s="39" t="s">
        <v>694</v>
      </c>
      <c r="C213" s="40" t="s">
        <v>652</v>
      </c>
      <c r="D213" s="39" t="s">
        <v>99</v>
      </c>
      <c r="E213" s="40" t="s">
        <v>99</v>
      </c>
      <c r="F213" s="39" t="s">
        <v>692</v>
      </c>
    </row>
    <row r="214">
      <c r="A214" s="39" t="s">
        <v>695</v>
      </c>
      <c r="B214" s="39" t="s">
        <v>696</v>
      </c>
      <c r="C214" s="40" t="s">
        <v>652</v>
      </c>
      <c r="D214" s="39" t="s">
        <v>99</v>
      </c>
      <c r="E214" s="40" t="s">
        <v>99</v>
      </c>
      <c r="F214" s="39" t="s">
        <v>692</v>
      </c>
    </row>
    <row r="215">
      <c r="A215" s="39" t="s">
        <v>697</v>
      </c>
      <c r="B215" s="39" t="s">
        <v>698</v>
      </c>
      <c r="C215" s="40" t="s">
        <v>652</v>
      </c>
      <c r="D215" s="39" t="s">
        <v>215</v>
      </c>
      <c r="E215" s="40" t="s">
        <v>99</v>
      </c>
      <c r="F215" s="39" t="s">
        <v>202</v>
      </c>
    </row>
    <row r="216">
      <c r="A216" s="39" t="s">
        <v>699</v>
      </c>
      <c r="B216" s="39" t="s">
        <v>700</v>
      </c>
      <c r="C216" s="40" t="s">
        <v>671</v>
      </c>
      <c r="D216" s="39" t="s">
        <v>218</v>
      </c>
      <c r="E216" s="40" t="s">
        <v>99</v>
      </c>
      <c r="F216" s="39" t="s">
        <v>202</v>
      </c>
    </row>
    <row r="217">
      <c r="A217" s="39" t="s">
        <v>701</v>
      </c>
      <c r="B217" s="39" t="s">
        <v>702</v>
      </c>
      <c r="C217" s="40" t="s">
        <v>652</v>
      </c>
      <c r="D217" s="39" t="s">
        <v>221</v>
      </c>
      <c r="E217" s="40" t="s">
        <v>99</v>
      </c>
      <c r="F217" s="39" t="s">
        <v>222</v>
      </c>
    </row>
    <row r="218">
      <c r="A218" s="39" t="s">
        <v>703</v>
      </c>
      <c r="B218" s="39" t="s">
        <v>704</v>
      </c>
      <c r="C218" s="40" t="s">
        <v>671</v>
      </c>
      <c r="D218" s="39" t="s">
        <v>225</v>
      </c>
      <c r="E218" s="40" t="s">
        <v>99</v>
      </c>
      <c r="F218" s="39" t="s">
        <v>222</v>
      </c>
    </row>
    <row r="219">
      <c r="A219" s="39" t="s">
        <v>705</v>
      </c>
      <c r="B219" s="39" t="s">
        <v>706</v>
      </c>
      <c r="C219" s="40" t="s">
        <v>652</v>
      </c>
      <c r="D219" s="39" t="s">
        <v>234</v>
      </c>
      <c r="E219" s="40" t="s">
        <v>99</v>
      </c>
      <c r="F219" s="39" t="s">
        <v>104</v>
      </c>
    </row>
    <row r="220">
      <c r="A220" s="39" t="s">
        <v>707</v>
      </c>
      <c r="B220" s="39" t="s">
        <v>708</v>
      </c>
      <c r="C220" s="40" t="s">
        <v>652</v>
      </c>
      <c r="D220" s="39" t="s">
        <v>241</v>
      </c>
      <c r="E220" s="40" t="s">
        <v>99</v>
      </c>
      <c r="F220" s="39" t="s">
        <v>104</v>
      </c>
    </row>
    <row r="221">
      <c r="A221" s="39" t="s">
        <v>709</v>
      </c>
      <c r="B221" s="39" t="s">
        <v>710</v>
      </c>
      <c r="C221" s="40" t="s">
        <v>652</v>
      </c>
      <c r="D221" s="39" t="s">
        <v>244</v>
      </c>
      <c r="E221" s="40" t="s">
        <v>99</v>
      </c>
      <c r="F221" s="39" t="s">
        <v>104</v>
      </c>
    </row>
    <row r="222">
      <c r="A222" s="42" t="s">
        <v>711</v>
      </c>
      <c r="B222" s="42" t="s">
        <v>712</v>
      </c>
      <c r="C222" s="40" t="s">
        <v>671</v>
      </c>
      <c r="D222" s="42" t="s">
        <v>249</v>
      </c>
      <c r="E222" s="43" t="s">
        <v>99</v>
      </c>
      <c r="F222" s="42" t="s">
        <v>149</v>
      </c>
    </row>
    <row r="223">
      <c r="A223" s="39" t="s">
        <v>713</v>
      </c>
      <c r="B223" s="39" t="s">
        <v>714</v>
      </c>
      <c r="C223" s="40" t="s">
        <v>652</v>
      </c>
      <c r="D223" s="39" t="s">
        <v>252</v>
      </c>
      <c r="E223" s="40" t="s">
        <v>99</v>
      </c>
      <c r="F223" s="39" t="s">
        <v>222</v>
      </c>
    </row>
    <row r="224">
      <c r="A224" s="39" t="s">
        <v>715</v>
      </c>
      <c r="B224" s="39" t="s">
        <v>716</v>
      </c>
      <c r="C224" s="40" t="s">
        <v>652</v>
      </c>
      <c r="D224" s="39" t="s">
        <v>255</v>
      </c>
      <c r="E224" s="40" t="s">
        <v>99</v>
      </c>
      <c r="F224" s="39" t="s">
        <v>222</v>
      </c>
    </row>
    <row r="225">
      <c r="A225" s="39" t="s">
        <v>717</v>
      </c>
      <c r="B225" s="39" t="s">
        <v>718</v>
      </c>
      <c r="C225" s="40" t="s">
        <v>652</v>
      </c>
      <c r="D225" s="39" t="s">
        <v>258</v>
      </c>
      <c r="E225" s="40" t="s">
        <v>99</v>
      </c>
      <c r="F225" s="39" t="s">
        <v>109</v>
      </c>
    </row>
    <row r="226">
      <c r="A226" s="39" t="s">
        <v>719</v>
      </c>
      <c r="B226" s="39" t="s">
        <v>720</v>
      </c>
      <c r="C226" s="40" t="s">
        <v>652</v>
      </c>
      <c r="D226" s="39" t="s">
        <v>261</v>
      </c>
      <c r="E226" s="40" t="s">
        <v>99</v>
      </c>
      <c r="F226" s="39" t="s">
        <v>109</v>
      </c>
    </row>
    <row r="227">
      <c r="A227" s="39" t="s">
        <v>721</v>
      </c>
      <c r="B227" s="39" t="s">
        <v>722</v>
      </c>
      <c r="C227" s="40" t="s">
        <v>652</v>
      </c>
      <c r="D227" s="39" t="s">
        <v>99</v>
      </c>
      <c r="E227" s="40" t="s">
        <v>99</v>
      </c>
      <c r="F227" s="39" t="s">
        <v>265</v>
      </c>
    </row>
    <row r="228">
      <c r="A228" s="39" t="s">
        <v>723</v>
      </c>
      <c r="B228" s="39" t="s">
        <v>724</v>
      </c>
      <c r="C228" s="40" t="s">
        <v>652</v>
      </c>
      <c r="D228" s="39" t="s">
        <v>268</v>
      </c>
      <c r="E228" s="40" t="s">
        <v>99</v>
      </c>
      <c r="F228" s="39" t="s">
        <v>725</v>
      </c>
    </row>
    <row r="229">
      <c r="A229" s="39" t="s">
        <v>726</v>
      </c>
      <c r="B229" s="39" t="s">
        <v>727</v>
      </c>
      <c r="C229" s="40" t="s">
        <v>652</v>
      </c>
      <c r="D229" s="39" t="s">
        <v>272</v>
      </c>
      <c r="E229" s="40" t="s">
        <v>99</v>
      </c>
      <c r="F229" s="39" t="s">
        <v>725</v>
      </c>
    </row>
    <row r="230">
      <c r="A230" s="39" t="s">
        <v>728</v>
      </c>
      <c r="B230" s="39" t="s">
        <v>729</v>
      </c>
      <c r="C230" s="40" t="s">
        <v>671</v>
      </c>
      <c r="D230" s="39" t="s">
        <v>275</v>
      </c>
      <c r="E230" s="40" t="s">
        <v>99</v>
      </c>
      <c r="F230" s="39" t="s">
        <v>269</v>
      </c>
    </row>
    <row r="231">
      <c r="A231" s="39" t="s">
        <v>730</v>
      </c>
      <c r="B231" s="43" t="s">
        <v>731</v>
      </c>
      <c r="C231" s="40" t="s">
        <v>671</v>
      </c>
      <c r="D231" s="39" t="s">
        <v>278</v>
      </c>
      <c r="E231" s="40" t="s">
        <v>99</v>
      </c>
      <c r="F231" s="39" t="s">
        <v>149</v>
      </c>
    </row>
    <row r="232">
      <c r="A232" s="39" t="s">
        <v>732</v>
      </c>
      <c r="B232" s="43" t="s">
        <v>733</v>
      </c>
      <c r="C232" s="40" t="s">
        <v>671</v>
      </c>
      <c r="D232" s="39" t="s">
        <v>278</v>
      </c>
      <c r="E232" s="40" t="s">
        <v>99</v>
      </c>
      <c r="F232" s="39" t="s">
        <v>149</v>
      </c>
    </row>
    <row r="233">
      <c r="A233" s="39" t="s">
        <v>734</v>
      </c>
      <c r="B233" s="39" t="s">
        <v>735</v>
      </c>
      <c r="C233" s="40" t="s">
        <v>671</v>
      </c>
      <c r="D233" s="39" t="s">
        <v>278</v>
      </c>
      <c r="E233" s="40" t="s">
        <v>282</v>
      </c>
      <c r="F233" s="39" t="s">
        <v>149</v>
      </c>
    </row>
    <row r="234">
      <c r="A234" s="39" t="s">
        <v>736</v>
      </c>
      <c r="B234" s="39" t="s">
        <v>737</v>
      </c>
      <c r="C234" s="40" t="s">
        <v>652</v>
      </c>
      <c r="D234" s="39" t="s">
        <v>287</v>
      </c>
      <c r="E234" s="40" t="s">
        <v>99</v>
      </c>
      <c r="F234" s="39" t="s">
        <v>104</v>
      </c>
    </row>
    <row r="235">
      <c r="A235" s="39" t="s">
        <v>738</v>
      </c>
      <c r="B235" s="39" t="s">
        <v>739</v>
      </c>
      <c r="C235" s="40" t="s">
        <v>652</v>
      </c>
      <c r="D235" s="39" t="s">
        <v>290</v>
      </c>
      <c r="E235" s="40" t="s">
        <v>99</v>
      </c>
      <c r="F235" s="39" t="s">
        <v>104</v>
      </c>
    </row>
    <row r="236">
      <c r="A236" s="39" t="s">
        <v>740</v>
      </c>
      <c r="B236" s="39" t="s">
        <v>741</v>
      </c>
      <c r="C236" s="40" t="s">
        <v>652</v>
      </c>
      <c r="D236" s="39" t="s">
        <v>293</v>
      </c>
      <c r="E236" s="40" t="s">
        <v>99</v>
      </c>
      <c r="F236" s="39" t="s">
        <v>104</v>
      </c>
    </row>
    <row r="237">
      <c r="A237" s="39" t="s">
        <v>742</v>
      </c>
      <c r="B237" s="39" t="s">
        <v>743</v>
      </c>
      <c r="C237" s="40" t="s">
        <v>652</v>
      </c>
      <c r="D237" s="39" t="s">
        <v>296</v>
      </c>
      <c r="E237" s="40" t="s">
        <v>99</v>
      </c>
      <c r="F237" s="39" t="s">
        <v>104</v>
      </c>
    </row>
    <row r="238">
      <c r="A238" s="39" t="s">
        <v>744</v>
      </c>
      <c r="B238" s="39" t="s">
        <v>745</v>
      </c>
      <c r="C238" s="40" t="s">
        <v>652</v>
      </c>
      <c r="D238" s="39" t="s">
        <v>301</v>
      </c>
      <c r="E238" s="40" t="s">
        <v>99</v>
      </c>
      <c r="F238" s="39" t="s">
        <v>104</v>
      </c>
    </row>
    <row r="239">
      <c r="A239" s="39" t="s">
        <v>746</v>
      </c>
      <c r="B239" s="39" t="s">
        <v>747</v>
      </c>
      <c r="C239" s="40" t="s">
        <v>652</v>
      </c>
      <c r="D239" s="39" t="s">
        <v>304</v>
      </c>
      <c r="E239" s="40" t="s">
        <v>99</v>
      </c>
      <c r="F239" s="39" t="s">
        <v>305</v>
      </c>
    </row>
    <row r="240">
      <c r="A240" s="39" t="s">
        <v>748</v>
      </c>
      <c r="B240" s="39" t="s">
        <v>749</v>
      </c>
      <c r="C240" s="40" t="s">
        <v>671</v>
      </c>
      <c r="D240" s="39" t="s">
        <v>312</v>
      </c>
      <c r="E240" s="40" t="s">
        <v>99</v>
      </c>
      <c r="F240" s="39" t="s">
        <v>149</v>
      </c>
    </row>
    <row r="241">
      <c r="A241" s="39" t="s">
        <v>750</v>
      </c>
      <c r="B241" s="39" t="s">
        <v>751</v>
      </c>
      <c r="C241" s="40" t="s">
        <v>671</v>
      </c>
      <c r="D241" s="39" t="s">
        <v>317</v>
      </c>
      <c r="E241" s="40" t="s">
        <v>99</v>
      </c>
      <c r="F241" s="39" t="s">
        <v>265</v>
      </c>
    </row>
    <row r="242">
      <c r="A242" s="39" t="s">
        <v>752</v>
      </c>
      <c r="B242" s="39" t="s">
        <v>753</v>
      </c>
      <c r="C242" s="40" t="s">
        <v>671</v>
      </c>
      <c r="D242" s="39" t="s">
        <v>322</v>
      </c>
      <c r="E242" s="40" t="s">
        <v>99</v>
      </c>
      <c r="F242" s="39" t="s">
        <v>265</v>
      </c>
    </row>
    <row r="243">
      <c r="A243" s="39" t="s">
        <v>754</v>
      </c>
      <c r="B243" s="39" t="s">
        <v>755</v>
      </c>
      <c r="C243" s="40" t="s">
        <v>652</v>
      </c>
      <c r="D243" s="39" t="s">
        <v>325</v>
      </c>
      <c r="E243" s="40" t="s">
        <v>99</v>
      </c>
      <c r="F243" s="39" t="s">
        <v>104</v>
      </c>
    </row>
    <row r="244">
      <c r="A244" s="39" t="s">
        <v>756</v>
      </c>
      <c r="B244" s="39" t="s">
        <v>757</v>
      </c>
      <c r="C244" s="40" t="s">
        <v>652</v>
      </c>
      <c r="D244" s="39" t="s">
        <v>328</v>
      </c>
      <c r="E244" s="40" t="s">
        <v>99</v>
      </c>
      <c r="F244" s="39" t="s">
        <v>149</v>
      </c>
    </row>
    <row r="245">
      <c r="A245" s="39" t="s">
        <v>758</v>
      </c>
      <c r="B245" s="39" t="s">
        <v>759</v>
      </c>
      <c r="C245" s="40" t="s">
        <v>671</v>
      </c>
      <c r="D245" s="39" t="s">
        <v>331</v>
      </c>
      <c r="E245" s="40" t="s">
        <v>99</v>
      </c>
      <c r="F245" s="39" t="s">
        <v>149</v>
      </c>
    </row>
    <row r="246">
      <c r="A246" s="39" t="s">
        <v>760</v>
      </c>
      <c r="B246" s="39" t="s">
        <v>761</v>
      </c>
      <c r="C246" s="40" t="s">
        <v>671</v>
      </c>
      <c r="D246" s="39" t="s">
        <v>333</v>
      </c>
      <c r="E246" s="40" t="s">
        <v>99</v>
      </c>
      <c r="F246" s="39" t="s">
        <v>149</v>
      </c>
    </row>
    <row r="247">
      <c r="A247" s="39" t="s">
        <v>762</v>
      </c>
      <c r="B247" s="39" t="s">
        <v>763</v>
      </c>
      <c r="C247" s="40" t="s">
        <v>671</v>
      </c>
      <c r="D247" s="39" t="s">
        <v>335</v>
      </c>
      <c r="E247" s="40" t="s">
        <v>99</v>
      </c>
      <c r="F247" s="39" t="s">
        <v>149</v>
      </c>
    </row>
    <row r="248">
      <c r="A248" s="39" t="s">
        <v>764</v>
      </c>
      <c r="B248" s="39" t="s">
        <v>765</v>
      </c>
      <c r="C248" s="40" t="s">
        <v>671</v>
      </c>
      <c r="D248" s="39" t="s">
        <v>337</v>
      </c>
      <c r="E248" s="40" t="s">
        <v>338</v>
      </c>
      <c r="F248" s="39" t="s">
        <v>149</v>
      </c>
    </row>
    <row r="249">
      <c r="A249" s="39" t="s">
        <v>766</v>
      </c>
      <c r="B249" s="39" t="s">
        <v>767</v>
      </c>
      <c r="C249" s="40" t="s">
        <v>652</v>
      </c>
      <c r="D249" s="39" t="s">
        <v>352</v>
      </c>
      <c r="E249" s="40" t="s">
        <v>99</v>
      </c>
      <c r="F249" s="39" t="s">
        <v>353</v>
      </c>
    </row>
    <row r="250">
      <c r="A250" s="39" t="s">
        <v>768</v>
      </c>
      <c r="B250" s="39" t="s">
        <v>769</v>
      </c>
      <c r="C250" s="40" t="s">
        <v>652</v>
      </c>
      <c r="D250" s="39" t="s">
        <v>356</v>
      </c>
      <c r="E250" s="40" t="s">
        <v>99</v>
      </c>
      <c r="F250" s="39" t="s">
        <v>349</v>
      </c>
    </row>
    <row r="251">
      <c r="A251" s="39" t="s">
        <v>770</v>
      </c>
      <c r="B251" s="39" t="s">
        <v>771</v>
      </c>
      <c r="C251" s="40" t="s">
        <v>652</v>
      </c>
      <c r="D251" s="39" t="s">
        <v>359</v>
      </c>
      <c r="E251" s="40" t="s">
        <v>99</v>
      </c>
      <c r="F251" s="39" t="s">
        <v>360</v>
      </c>
    </row>
    <row r="252">
      <c r="A252" s="39" t="s">
        <v>772</v>
      </c>
      <c r="B252" s="39" t="s">
        <v>773</v>
      </c>
      <c r="C252" s="40" t="s">
        <v>652</v>
      </c>
      <c r="D252" s="39" t="s">
        <v>352</v>
      </c>
      <c r="E252" s="40" t="s">
        <v>99</v>
      </c>
      <c r="F252" s="39" t="s">
        <v>353</v>
      </c>
    </row>
    <row r="253">
      <c r="A253" s="39" t="s">
        <v>774</v>
      </c>
      <c r="B253" s="39" t="s">
        <v>775</v>
      </c>
      <c r="C253" s="40" t="s">
        <v>652</v>
      </c>
      <c r="D253" s="39" t="s">
        <v>352</v>
      </c>
      <c r="E253" s="40" t="s">
        <v>99</v>
      </c>
      <c r="F253" s="39" t="s">
        <v>353</v>
      </c>
    </row>
    <row r="254">
      <c r="A254" s="39" t="s">
        <v>776</v>
      </c>
      <c r="B254" s="39" t="s">
        <v>777</v>
      </c>
      <c r="C254" s="40" t="s">
        <v>652</v>
      </c>
      <c r="D254" s="39" t="s">
        <v>352</v>
      </c>
      <c r="E254" s="40" t="s">
        <v>99</v>
      </c>
      <c r="F254" s="39" t="s">
        <v>353</v>
      </c>
    </row>
    <row r="255">
      <c r="A255" s="39" t="s">
        <v>778</v>
      </c>
      <c r="B255" s="39" t="s">
        <v>779</v>
      </c>
      <c r="C255" s="40" t="s">
        <v>652</v>
      </c>
      <c r="D255" s="39" t="s">
        <v>99</v>
      </c>
      <c r="E255" s="40" t="s">
        <v>99</v>
      </c>
      <c r="F255" s="39" t="s">
        <v>376</v>
      </c>
    </row>
    <row r="256">
      <c r="A256" s="39" t="s">
        <v>780</v>
      </c>
      <c r="B256" s="39" t="s">
        <v>781</v>
      </c>
      <c r="C256" s="40" t="s">
        <v>652</v>
      </c>
      <c r="D256" s="39" t="s">
        <v>99</v>
      </c>
      <c r="E256" s="40" t="s">
        <v>99</v>
      </c>
      <c r="F256" s="39" t="s">
        <v>376</v>
      </c>
    </row>
    <row r="257">
      <c r="A257" s="39" t="s">
        <v>782</v>
      </c>
      <c r="B257" s="39" t="s">
        <v>783</v>
      </c>
      <c r="C257" s="40" t="s">
        <v>652</v>
      </c>
      <c r="D257" s="39" t="s">
        <v>99</v>
      </c>
      <c r="E257" s="40" t="s">
        <v>99</v>
      </c>
      <c r="F257" s="39" t="s">
        <v>376</v>
      </c>
    </row>
    <row r="258">
      <c r="A258" s="39" t="s">
        <v>784</v>
      </c>
      <c r="B258" s="39" t="s">
        <v>785</v>
      </c>
      <c r="C258" s="40" t="s">
        <v>671</v>
      </c>
      <c r="D258" s="39" t="s">
        <v>389</v>
      </c>
      <c r="E258" s="40" t="s">
        <v>99</v>
      </c>
      <c r="F258" s="39" t="s">
        <v>265</v>
      </c>
    </row>
    <row r="259">
      <c r="A259" s="39" t="s">
        <v>786</v>
      </c>
      <c r="B259" s="39" t="s">
        <v>787</v>
      </c>
      <c r="C259" s="40" t="s">
        <v>652</v>
      </c>
      <c r="D259" s="39" t="s">
        <v>392</v>
      </c>
      <c r="E259" s="40" t="s">
        <v>99</v>
      </c>
      <c r="F259" s="39" t="s">
        <v>265</v>
      </c>
    </row>
    <row r="260">
      <c r="A260" s="39" t="s">
        <v>788</v>
      </c>
      <c r="B260" s="39" t="s">
        <v>789</v>
      </c>
      <c r="C260" s="40" t="s">
        <v>671</v>
      </c>
      <c r="D260" s="39" t="s">
        <v>395</v>
      </c>
      <c r="E260" s="40" t="s">
        <v>396</v>
      </c>
      <c r="F260" s="39" t="s">
        <v>397</v>
      </c>
    </row>
    <row r="261">
      <c r="A261" s="39" t="s">
        <v>790</v>
      </c>
      <c r="B261" s="39" t="s">
        <v>791</v>
      </c>
      <c r="C261" s="40" t="s">
        <v>671</v>
      </c>
      <c r="D261" s="39" t="s">
        <v>404</v>
      </c>
      <c r="E261" s="40" t="s">
        <v>99</v>
      </c>
      <c r="F261" s="39" t="s">
        <v>104</v>
      </c>
    </row>
    <row r="262">
      <c r="A262" s="39" t="s">
        <v>792</v>
      </c>
      <c r="B262" s="39" t="s">
        <v>793</v>
      </c>
      <c r="C262" s="40" t="s">
        <v>652</v>
      </c>
      <c r="D262" s="39" t="s">
        <v>417</v>
      </c>
      <c r="E262" s="40" t="s">
        <v>99</v>
      </c>
      <c r="F262" s="39" t="s">
        <v>418</v>
      </c>
    </row>
    <row r="263">
      <c r="A263" s="39" t="s">
        <v>794</v>
      </c>
      <c r="B263" s="39" t="s">
        <v>795</v>
      </c>
      <c r="C263" s="40" t="s">
        <v>652</v>
      </c>
      <c r="D263" s="39" t="s">
        <v>423</v>
      </c>
      <c r="E263" s="40" t="s">
        <v>99</v>
      </c>
      <c r="F263" s="39" t="s">
        <v>418</v>
      </c>
    </row>
    <row r="264">
      <c r="A264" s="39" t="s">
        <v>796</v>
      </c>
      <c r="B264" s="39" t="s">
        <v>797</v>
      </c>
      <c r="C264" s="40" t="s">
        <v>652</v>
      </c>
      <c r="D264" s="39" t="s">
        <v>426</v>
      </c>
      <c r="E264" s="40" t="s">
        <v>99</v>
      </c>
      <c r="F264" s="39" t="s">
        <v>418</v>
      </c>
    </row>
    <row r="265">
      <c r="A265" s="39" t="s">
        <v>798</v>
      </c>
      <c r="B265" s="39" t="s">
        <v>799</v>
      </c>
      <c r="C265" s="40" t="s">
        <v>652</v>
      </c>
      <c r="D265" s="39" t="s">
        <v>99</v>
      </c>
      <c r="E265" s="40" t="s">
        <v>99</v>
      </c>
      <c r="F265" s="39" t="s">
        <v>433</v>
      </c>
    </row>
    <row r="266">
      <c r="A266" s="39" t="s">
        <v>800</v>
      </c>
      <c r="B266" s="39" t="s">
        <v>801</v>
      </c>
      <c r="C266" s="40" t="s">
        <v>652</v>
      </c>
      <c r="D266" s="39" t="s">
        <v>440</v>
      </c>
      <c r="E266" s="40" t="s">
        <v>99</v>
      </c>
      <c r="F266" s="39" t="s">
        <v>433</v>
      </c>
    </row>
    <row r="267">
      <c r="A267" s="39" t="s">
        <v>802</v>
      </c>
      <c r="B267" s="39" t="s">
        <v>803</v>
      </c>
      <c r="C267" s="40" t="s">
        <v>652</v>
      </c>
      <c r="D267" s="39" t="s">
        <v>99</v>
      </c>
      <c r="E267" s="40" t="s">
        <v>99</v>
      </c>
      <c r="F267" s="39" t="s">
        <v>433</v>
      </c>
    </row>
    <row r="268">
      <c r="A268" s="39" t="s">
        <v>804</v>
      </c>
      <c r="B268" s="39" t="s">
        <v>805</v>
      </c>
      <c r="C268" s="40" t="s">
        <v>671</v>
      </c>
      <c r="D268" s="39" t="s">
        <v>453</v>
      </c>
      <c r="E268" s="40" t="s">
        <v>99</v>
      </c>
      <c r="F268" s="39" t="s">
        <v>104</v>
      </c>
    </row>
    <row r="269">
      <c r="A269" s="39" t="s">
        <v>806</v>
      </c>
      <c r="B269" s="39" t="s">
        <v>807</v>
      </c>
      <c r="C269" s="40" t="s">
        <v>652</v>
      </c>
      <c r="D269" s="39" t="s">
        <v>456</v>
      </c>
      <c r="E269" s="40" t="s">
        <v>99</v>
      </c>
      <c r="F269" s="39" t="s">
        <v>140</v>
      </c>
    </row>
    <row r="270">
      <c r="A270" s="39" t="s">
        <v>808</v>
      </c>
      <c r="B270" s="39" t="s">
        <v>809</v>
      </c>
      <c r="C270" s="40" t="s">
        <v>652</v>
      </c>
      <c r="D270" s="39" t="s">
        <v>462</v>
      </c>
      <c r="E270" s="40" t="s">
        <v>99</v>
      </c>
      <c r="F270" s="39" t="s">
        <v>810</v>
      </c>
    </row>
    <row r="271">
      <c r="A271" s="39" t="s">
        <v>811</v>
      </c>
      <c r="B271" s="39" t="s">
        <v>812</v>
      </c>
      <c r="C271" s="40" t="s">
        <v>652</v>
      </c>
      <c r="D271" s="39" t="s">
        <v>466</v>
      </c>
      <c r="E271" s="40" t="s">
        <v>99</v>
      </c>
      <c r="F271" s="39" t="s">
        <v>104</v>
      </c>
    </row>
    <row r="272">
      <c r="A272" s="39" t="s">
        <v>813</v>
      </c>
      <c r="B272" s="39" t="s">
        <v>814</v>
      </c>
      <c r="C272" s="40" t="s">
        <v>652</v>
      </c>
      <c r="D272" s="39" t="s">
        <v>469</v>
      </c>
      <c r="E272" s="40" t="s">
        <v>99</v>
      </c>
      <c r="F272" s="39" t="s">
        <v>104</v>
      </c>
    </row>
    <row r="273">
      <c r="A273" s="39" t="s">
        <v>815</v>
      </c>
      <c r="B273" s="39" t="s">
        <v>816</v>
      </c>
      <c r="C273" s="40" t="s">
        <v>652</v>
      </c>
      <c r="D273" s="39" t="s">
        <v>472</v>
      </c>
      <c r="E273" s="40" t="s">
        <v>99</v>
      </c>
      <c r="F273" s="39" t="s">
        <v>810</v>
      </c>
    </row>
    <row r="274">
      <c r="A274" s="39" t="s">
        <v>817</v>
      </c>
      <c r="B274" s="39" t="s">
        <v>818</v>
      </c>
      <c r="C274" s="40" t="s">
        <v>652</v>
      </c>
      <c r="D274" s="39" t="s">
        <v>478</v>
      </c>
      <c r="E274" s="40" t="s">
        <v>99</v>
      </c>
      <c r="F274" s="39" t="s">
        <v>269</v>
      </c>
    </row>
    <row r="275">
      <c r="A275" s="39" t="s">
        <v>819</v>
      </c>
      <c r="B275" s="39" t="s">
        <v>820</v>
      </c>
      <c r="C275" s="40" t="s">
        <v>652</v>
      </c>
      <c r="D275" s="39" t="s">
        <v>495</v>
      </c>
      <c r="E275" s="40" t="s">
        <v>99</v>
      </c>
      <c r="F275" s="39" t="s">
        <v>492</v>
      </c>
    </row>
    <row r="276">
      <c r="A276" s="39" t="s">
        <v>821</v>
      </c>
      <c r="B276" s="39" t="s">
        <v>822</v>
      </c>
      <c r="C276" s="40" t="s">
        <v>652</v>
      </c>
      <c r="D276" s="39" t="s">
        <v>506</v>
      </c>
      <c r="E276" s="40" t="s">
        <v>99</v>
      </c>
      <c r="F276" s="39" t="s">
        <v>104</v>
      </c>
    </row>
    <row r="277">
      <c r="A277" s="39" t="s">
        <v>823</v>
      </c>
      <c r="B277" s="39" t="s">
        <v>824</v>
      </c>
      <c r="C277" s="40" t="s">
        <v>652</v>
      </c>
      <c r="D277" s="39" t="s">
        <v>506</v>
      </c>
      <c r="E277" s="40" t="s">
        <v>99</v>
      </c>
      <c r="F277" s="39" t="s">
        <v>104</v>
      </c>
    </row>
    <row r="278">
      <c r="A278" s="39" t="s">
        <v>825</v>
      </c>
      <c r="B278" s="39" t="s">
        <v>826</v>
      </c>
      <c r="C278" s="40" t="s">
        <v>652</v>
      </c>
      <c r="D278" s="39" t="s">
        <v>506</v>
      </c>
      <c r="E278" s="40" t="s">
        <v>99</v>
      </c>
      <c r="F278" s="39" t="s">
        <v>104</v>
      </c>
    </row>
    <row r="279">
      <c r="A279" s="39" t="s">
        <v>827</v>
      </c>
      <c r="B279" s="43" t="s">
        <v>828</v>
      </c>
      <c r="C279" s="40" t="s">
        <v>671</v>
      </c>
      <c r="D279" s="39" t="s">
        <v>513</v>
      </c>
      <c r="E279" s="43" t="s">
        <v>99</v>
      </c>
      <c r="F279" s="39" t="s">
        <v>104</v>
      </c>
    </row>
    <row r="280">
      <c r="A280" s="39" t="s">
        <v>829</v>
      </c>
      <c r="B280" s="39" t="s">
        <v>830</v>
      </c>
      <c r="C280" s="40" t="s">
        <v>652</v>
      </c>
      <c r="D280" s="39" t="s">
        <v>516</v>
      </c>
      <c r="E280" s="40" t="s">
        <v>99</v>
      </c>
      <c r="F280" s="39" t="s">
        <v>376</v>
      </c>
    </row>
    <row r="281">
      <c r="A281" s="40" t="s">
        <v>831</v>
      </c>
      <c r="B281" s="39" t="s">
        <v>832</v>
      </c>
      <c r="C281" s="40" t="s">
        <v>652</v>
      </c>
      <c r="D281" s="39" t="s">
        <v>99</v>
      </c>
      <c r="E281" s="40" t="s">
        <v>99</v>
      </c>
      <c r="F281" s="39" t="s">
        <v>529</v>
      </c>
    </row>
    <row r="282">
      <c r="A282" s="39" t="s">
        <v>833</v>
      </c>
      <c r="B282" s="39" t="s">
        <v>834</v>
      </c>
      <c r="C282" s="40" t="s">
        <v>652</v>
      </c>
      <c r="D282" s="39" t="s">
        <v>519</v>
      </c>
      <c r="E282" s="40" t="s">
        <v>99</v>
      </c>
      <c r="F282" s="39" t="s">
        <v>349</v>
      </c>
    </row>
    <row r="283">
      <c r="A283" s="39" t="s">
        <v>835</v>
      </c>
      <c r="B283" s="39" t="s">
        <v>836</v>
      </c>
      <c r="C283" s="40" t="s">
        <v>652</v>
      </c>
      <c r="D283" s="39" t="s">
        <v>522</v>
      </c>
      <c r="E283" s="40" t="s">
        <v>99</v>
      </c>
      <c r="F283" s="39" t="s">
        <v>349</v>
      </c>
    </row>
    <row r="284">
      <c r="A284" s="40" t="s">
        <v>837</v>
      </c>
      <c r="B284" s="39" t="s">
        <v>838</v>
      </c>
      <c r="C284" s="40" t="s">
        <v>652</v>
      </c>
      <c r="D284" s="39" t="s">
        <v>525</v>
      </c>
      <c r="E284" s="40" t="s">
        <v>99</v>
      </c>
      <c r="F284" s="39" t="s">
        <v>376</v>
      </c>
    </row>
    <row r="285">
      <c r="A285" s="40" t="s">
        <v>839</v>
      </c>
      <c r="B285" s="39" t="s">
        <v>840</v>
      </c>
      <c r="C285" s="40" t="s">
        <v>652</v>
      </c>
      <c r="D285" s="39" t="s">
        <v>99</v>
      </c>
      <c r="E285" s="40" t="s">
        <v>99</v>
      </c>
      <c r="F285" s="39" t="s">
        <v>529</v>
      </c>
    </row>
    <row r="286">
      <c r="A286" s="40" t="s">
        <v>841</v>
      </c>
      <c r="B286" s="39" t="s">
        <v>842</v>
      </c>
      <c r="C286" s="40" t="s">
        <v>652</v>
      </c>
      <c r="D286" s="39" t="s">
        <v>540</v>
      </c>
      <c r="E286" s="40" t="s">
        <v>99</v>
      </c>
      <c r="F286" s="39" t="s">
        <v>206</v>
      </c>
    </row>
    <row r="287">
      <c r="A287" s="42" t="s">
        <v>843</v>
      </c>
      <c r="B287" s="43" t="s">
        <v>844</v>
      </c>
      <c r="C287" s="40" t="s">
        <v>671</v>
      </c>
      <c r="D287" s="43" t="s">
        <v>543</v>
      </c>
      <c r="E287" s="43" t="s">
        <v>99</v>
      </c>
      <c r="F287" s="42" t="s">
        <v>360</v>
      </c>
    </row>
    <row r="288">
      <c r="A288" s="42" t="s">
        <v>845</v>
      </c>
      <c r="B288" s="43" t="s">
        <v>846</v>
      </c>
      <c r="C288" s="40" t="s">
        <v>671</v>
      </c>
      <c r="D288" s="39" t="s">
        <v>546</v>
      </c>
      <c r="E288" s="43" t="s">
        <v>99</v>
      </c>
      <c r="F288" s="42" t="s">
        <v>104</v>
      </c>
    </row>
    <row r="289">
      <c r="A289" s="42" t="s">
        <v>847</v>
      </c>
      <c r="B289" s="43" t="s">
        <v>848</v>
      </c>
      <c r="C289" s="40" t="s">
        <v>671</v>
      </c>
      <c r="D289" s="39" t="s">
        <v>549</v>
      </c>
      <c r="E289" s="43" t="s">
        <v>99</v>
      </c>
      <c r="F289" s="42" t="s">
        <v>202</v>
      </c>
    </row>
    <row r="290">
      <c r="A290" s="39" t="s">
        <v>849</v>
      </c>
      <c r="B290" s="39" t="s">
        <v>850</v>
      </c>
      <c r="C290" s="40" t="s">
        <v>652</v>
      </c>
      <c r="D290" s="39" t="s">
        <v>552</v>
      </c>
      <c r="E290" s="40" t="s">
        <v>99</v>
      </c>
      <c r="F290" s="39" t="s">
        <v>360</v>
      </c>
    </row>
    <row r="291">
      <c r="A291" s="39" t="s">
        <v>851</v>
      </c>
      <c r="B291" s="39" t="s">
        <v>852</v>
      </c>
      <c r="C291" s="40" t="s">
        <v>671</v>
      </c>
      <c r="D291" s="39" t="s">
        <v>555</v>
      </c>
      <c r="E291" s="40" t="s">
        <v>556</v>
      </c>
      <c r="F291" s="39" t="s">
        <v>104</v>
      </c>
    </row>
    <row r="292">
      <c r="A292" s="39" t="s">
        <v>853</v>
      </c>
      <c r="B292" s="39" t="s">
        <v>854</v>
      </c>
      <c r="C292" s="40" t="s">
        <v>652</v>
      </c>
      <c r="D292" s="39" t="s">
        <v>559</v>
      </c>
      <c r="E292" s="40" t="s">
        <v>560</v>
      </c>
      <c r="F292" s="39" t="s">
        <v>104</v>
      </c>
    </row>
    <row r="293">
      <c r="A293" s="39" t="s">
        <v>855</v>
      </c>
      <c r="B293" s="39" t="s">
        <v>856</v>
      </c>
      <c r="C293" s="40" t="s">
        <v>652</v>
      </c>
      <c r="D293" s="39" t="s">
        <v>563</v>
      </c>
      <c r="E293" s="40" t="s">
        <v>99</v>
      </c>
      <c r="F293" s="39" t="s">
        <v>418</v>
      </c>
    </row>
    <row r="294">
      <c r="A294" s="42" t="s">
        <v>857</v>
      </c>
      <c r="B294" s="42" t="s">
        <v>858</v>
      </c>
      <c r="C294" s="40" t="s">
        <v>671</v>
      </c>
      <c r="D294" s="42" t="s">
        <v>566</v>
      </c>
      <c r="E294" s="43" t="s">
        <v>99</v>
      </c>
      <c r="F294" s="39" t="s">
        <v>149</v>
      </c>
    </row>
    <row r="295">
      <c r="A295" s="39" t="s">
        <v>859</v>
      </c>
      <c r="B295" s="39" t="s">
        <v>860</v>
      </c>
      <c r="C295" s="40" t="s">
        <v>652</v>
      </c>
      <c r="D295" s="39" t="s">
        <v>571</v>
      </c>
      <c r="E295" s="40" t="s">
        <v>99</v>
      </c>
      <c r="F295" s="39" t="s">
        <v>572</v>
      </c>
    </row>
    <row r="296">
      <c r="A296" s="39" t="s">
        <v>861</v>
      </c>
      <c r="B296" s="39" t="s">
        <v>862</v>
      </c>
      <c r="C296" s="40" t="s">
        <v>652</v>
      </c>
      <c r="D296" s="39" t="s">
        <v>99</v>
      </c>
      <c r="E296" s="40" t="s">
        <v>99</v>
      </c>
      <c r="F296" s="39" t="s">
        <v>810</v>
      </c>
    </row>
    <row r="297">
      <c r="A297" s="39" t="s">
        <v>863</v>
      </c>
      <c r="B297" s="39" t="s">
        <v>864</v>
      </c>
      <c r="C297" s="40" t="s">
        <v>652</v>
      </c>
      <c r="D297" s="39" t="s">
        <v>865</v>
      </c>
      <c r="E297" s="40" t="s">
        <v>99</v>
      </c>
      <c r="F297" s="39" t="s">
        <v>810</v>
      </c>
    </row>
    <row r="298">
      <c r="A298" s="39" t="s">
        <v>866</v>
      </c>
      <c r="B298" s="39" t="s">
        <v>867</v>
      </c>
      <c r="C298" s="40" t="s">
        <v>652</v>
      </c>
      <c r="D298" s="39" t="s">
        <v>582</v>
      </c>
      <c r="E298" s="40" t="s">
        <v>99</v>
      </c>
      <c r="F298" s="39" t="s">
        <v>186</v>
      </c>
    </row>
    <row r="299">
      <c r="A299" s="39" t="s">
        <v>868</v>
      </c>
      <c r="B299" s="39" t="s">
        <v>869</v>
      </c>
      <c r="C299" s="40" t="s">
        <v>652</v>
      </c>
      <c r="D299" s="39" t="s">
        <v>99</v>
      </c>
      <c r="E299" s="40" t="s">
        <v>99</v>
      </c>
      <c r="F299" s="39" t="s">
        <v>186</v>
      </c>
    </row>
    <row r="300">
      <c r="A300" s="39" t="s">
        <v>870</v>
      </c>
      <c r="B300" s="39" t="s">
        <v>871</v>
      </c>
      <c r="C300" s="40" t="s">
        <v>652</v>
      </c>
      <c r="D300" s="39" t="s">
        <v>616</v>
      </c>
      <c r="E300" s="40" t="s">
        <v>99</v>
      </c>
      <c r="F300" s="39" t="s">
        <v>617</v>
      </c>
    </row>
    <row r="301">
      <c r="A301" s="39" t="s">
        <v>872</v>
      </c>
      <c r="B301" s="39" t="s">
        <v>873</v>
      </c>
      <c r="C301" s="40" t="s">
        <v>652</v>
      </c>
      <c r="D301" s="39" t="s">
        <v>624</v>
      </c>
      <c r="E301" s="40" t="s">
        <v>99</v>
      </c>
      <c r="F301" s="39" t="s">
        <v>360</v>
      </c>
    </row>
    <row r="302">
      <c r="A302" s="39" t="s">
        <v>874</v>
      </c>
      <c r="B302" s="39" t="s">
        <v>875</v>
      </c>
      <c r="C302" s="40" t="s">
        <v>652</v>
      </c>
      <c r="D302" s="39" t="s">
        <v>627</v>
      </c>
      <c r="E302" s="40" t="s">
        <v>628</v>
      </c>
      <c r="F302" s="39" t="s">
        <v>360</v>
      </c>
    </row>
    <row r="303">
      <c r="A303" s="39" t="s">
        <v>876</v>
      </c>
      <c r="B303" s="39" t="s">
        <v>877</v>
      </c>
      <c r="C303" s="40" t="s">
        <v>652</v>
      </c>
      <c r="D303" s="39" t="s">
        <v>631</v>
      </c>
      <c r="E303" s="40" t="s">
        <v>99</v>
      </c>
      <c r="F303" s="39" t="s">
        <v>360</v>
      </c>
    </row>
    <row r="304">
      <c r="A304" s="39" t="s">
        <v>878</v>
      </c>
      <c r="B304" s="39" t="s">
        <v>879</v>
      </c>
      <c r="C304" s="40" t="s">
        <v>652</v>
      </c>
      <c r="D304" s="39" t="s">
        <v>640</v>
      </c>
      <c r="E304" s="40" t="s">
        <v>99</v>
      </c>
      <c r="F304" s="39" t="s">
        <v>635</v>
      </c>
    </row>
    <row r="305">
      <c r="A305" s="39" t="s">
        <v>880</v>
      </c>
      <c r="B305" s="39" t="s">
        <v>881</v>
      </c>
      <c r="C305" s="40" t="s">
        <v>671</v>
      </c>
      <c r="D305" s="39" t="s">
        <v>643</v>
      </c>
      <c r="E305" s="40" t="s">
        <v>99</v>
      </c>
      <c r="F305" s="39" t="s">
        <v>104</v>
      </c>
    </row>
    <row r="306">
      <c r="A306" s="39" t="s">
        <v>882</v>
      </c>
      <c r="B306" s="39" t="s">
        <v>883</v>
      </c>
      <c r="C306" s="40" t="s">
        <v>671</v>
      </c>
      <c r="D306" s="39" t="s">
        <v>646</v>
      </c>
      <c r="E306" s="40" t="s">
        <v>99</v>
      </c>
      <c r="F306" s="39" t="s">
        <v>149</v>
      </c>
    </row>
    <row r="307">
      <c r="A307" s="39" t="s">
        <v>884</v>
      </c>
      <c r="B307" s="39" t="s">
        <v>885</v>
      </c>
      <c r="C307" s="40" t="s">
        <v>671</v>
      </c>
      <c r="D307" s="39" t="s">
        <v>649</v>
      </c>
      <c r="E307" s="40" t="s">
        <v>99</v>
      </c>
      <c r="F307" s="39" t="s">
        <v>401</v>
      </c>
    </row>
    <row r="308">
      <c r="A308" s="39" t="s">
        <v>886</v>
      </c>
      <c r="B308" s="39" t="s">
        <v>887</v>
      </c>
      <c r="C308" s="40" t="s">
        <v>671</v>
      </c>
      <c r="D308" s="39" t="s">
        <v>888</v>
      </c>
      <c r="E308" s="40" t="s">
        <v>99</v>
      </c>
      <c r="F308" s="39" t="s">
        <v>889</v>
      </c>
    </row>
    <row r="309">
      <c r="A309" s="39" t="s">
        <v>890</v>
      </c>
      <c r="B309" s="39" t="s">
        <v>891</v>
      </c>
      <c r="C309" s="40" t="s">
        <v>652</v>
      </c>
      <c r="D309" s="39" t="s">
        <v>888</v>
      </c>
      <c r="E309" s="40" t="s">
        <v>99</v>
      </c>
      <c r="F309" s="39" t="s">
        <v>889</v>
      </c>
    </row>
    <row r="310">
      <c r="A310" s="39" t="s">
        <v>892</v>
      </c>
      <c r="B310" s="39" t="s">
        <v>893</v>
      </c>
      <c r="C310" s="40" t="s">
        <v>652</v>
      </c>
      <c r="D310" s="39" t="s">
        <v>894</v>
      </c>
      <c r="E310" s="40" t="s">
        <v>99</v>
      </c>
      <c r="F310" s="39" t="s">
        <v>202</v>
      </c>
    </row>
    <row r="311">
      <c r="A311" s="39" t="s">
        <v>895</v>
      </c>
      <c r="B311" s="39" t="s">
        <v>896</v>
      </c>
      <c r="C311" s="40" t="s">
        <v>652</v>
      </c>
      <c r="D311" s="39" t="s">
        <v>897</v>
      </c>
      <c r="E311" s="40" t="s">
        <v>898</v>
      </c>
      <c r="F311" s="39" t="s">
        <v>104</v>
      </c>
    </row>
    <row r="312">
      <c r="A312" s="39" t="s">
        <v>899</v>
      </c>
      <c r="B312" s="39" t="s">
        <v>900</v>
      </c>
      <c r="C312" s="40" t="s">
        <v>652</v>
      </c>
      <c r="D312" s="39" t="s">
        <v>901</v>
      </c>
      <c r="E312" s="40" t="s">
        <v>99</v>
      </c>
      <c r="F312" s="39" t="s">
        <v>104</v>
      </c>
    </row>
    <row r="313">
      <c r="A313" s="39" t="s">
        <v>902</v>
      </c>
      <c r="B313" s="39" t="s">
        <v>903</v>
      </c>
      <c r="C313" s="40" t="s">
        <v>652</v>
      </c>
      <c r="D313" s="39" t="s">
        <v>904</v>
      </c>
      <c r="E313" s="40" t="s">
        <v>99</v>
      </c>
      <c r="F313" s="39" t="s">
        <v>104</v>
      </c>
    </row>
    <row r="314">
      <c r="A314" s="39" t="s">
        <v>905</v>
      </c>
      <c r="B314" s="39" t="s">
        <v>906</v>
      </c>
      <c r="C314" s="40" t="s">
        <v>652</v>
      </c>
      <c r="D314" s="39" t="s">
        <v>901</v>
      </c>
      <c r="E314" s="40" t="s">
        <v>99</v>
      </c>
      <c r="F314" s="39" t="s">
        <v>104</v>
      </c>
    </row>
    <row r="315">
      <c r="A315" s="39" t="s">
        <v>907</v>
      </c>
      <c r="B315" s="39" t="s">
        <v>908</v>
      </c>
      <c r="C315" s="40" t="s">
        <v>652</v>
      </c>
      <c r="D315" s="39" t="s">
        <v>909</v>
      </c>
      <c r="E315" s="40" t="s">
        <v>99</v>
      </c>
      <c r="F315" s="39" t="s">
        <v>529</v>
      </c>
    </row>
    <row r="316">
      <c r="A316" s="44" t="s">
        <v>910</v>
      </c>
      <c r="B316" s="44" t="s">
        <v>911</v>
      </c>
      <c r="C316" s="45" t="s">
        <v>652</v>
      </c>
      <c r="D316" s="44" t="s">
        <v>912</v>
      </c>
      <c r="E316" s="45" t="s">
        <v>99</v>
      </c>
      <c r="F316" s="44" t="s">
        <v>529</v>
      </c>
    </row>
    <row r="317">
      <c r="A317" s="32" t="s">
        <v>913</v>
      </c>
      <c r="B317" s="32" t="s">
        <v>914</v>
      </c>
      <c r="C317" s="38" t="s">
        <v>102</v>
      </c>
      <c r="D317" s="33"/>
      <c r="E317" s="33"/>
      <c r="F317" s="33"/>
    </row>
    <row r="318">
      <c r="A318" s="39" t="s">
        <v>915</v>
      </c>
      <c r="B318" s="39" t="s">
        <v>916</v>
      </c>
      <c r="C318" s="40" t="s">
        <v>652</v>
      </c>
      <c r="D318" s="39" t="s">
        <v>917</v>
      </c>
      <c r="E318" s="40" t="s">
        <v>99</v>
      </c>
      <c r="F318" s="39" t="s">
        <v>353</v>
      </c>
    </row>
    <row r="319">
      <c r="A319" s="39" t="s">
        <v>918</v>
      </c>
      <c r="B319" s="39" t="s">
        <v>919</v>
      </c>
      <c r="C319" s="40" t="s">
        <v>652</v>
      </c>
      <c r="D319" s="39" t="s">
        <v>920</v>
      </c>
      <c r="E319" s="40" t="s">
        <v>99</v>
      </c>
      <c r="F319" s="39" t="s">
        <v>149</v>
      </c>
    </row>
    <row r="320">
      <c r="A320" s="39" t="s">
        <v>921</v>
      </c>
      <c r="B320" s="39" t="s">
        <v>922</v>
      </c>
      <c r="C320" s="40" t="s">
        <v>652</v>
      </c>
      <c r="D320" s="39" t="s">
        <v>923</v>
      </c>
      <c r="E320" s="40" t="s">
        <v>99</v>
      </c>
      <c r="F320" s="39" t="s">
        <v>572</v>
      </c>
    </row>
    <row r="321">
      <c r="A321" s="39" t="s">
        <v>924</v>
      </c>
      <c r="B321" s="39" t="s">
        <v>925</v>
      </c>
      <c r="C321" s="40" t="s">
        <v>652</v>
      </c>
      <c r="D321" s="39" t="s">
        <v>99</v>
      </c>
      <c r="E321" s="40" t="s">
        <v>99</v>
      </c>
      <c r="F321" s="39" t="s">
        <v>572</v>
      </c>
    </row>
    <row r="322">
      <c r="A322" s="39" t="s">
        <v>926</v>
      </c>
      <c r="B322" s="39" t="s">
        <v>927</v>
      </c>
      <c r="C322" s="40" t="s">
        <v>652</v>
      </c>
      <c r="D322" s="39" t="s">
        <v>928</v>
      </c>
      <c r="E322" s="40" t="s">
        <v>99</v>
      </c>
      <c r="F322" s="39" t="s">
        <v>572</v>
      </c>
    </row>
    <row r="323">
      <c r="A323" s="39" t="s">
        <v>929</v>
      </c>
      <c r="B323" s="39" t="s">
        <v>930</v>
      </c>
      <c r="C323" s="40" t="s">
        <v>652</v>
      </c>
      <c r="D323" s="39" t="s">
        <v>931</v>
      </c>
      <c r="E323" s="40" t="s">
        <v>932</v>
      </c>
      <c r="F323" s="39" t="s">
        <v>149</v>
      </c>
    </row>
    <row r="324">
      <c r="A324" s="39" t="s">
        <v>933</v>
      </c>
      <c r="B324" s="39" t="s">
        <v>934</v>
      </c>
      <c r="C324" s="40" t="s">
        <v>652</v>
      </c>
      <c r="D324" s="39" t="s">
        <v>935</v>
      </c>
      <c r="E324" s="40" t="s">
        <v>99</v>
      </c>
      <c r="F324" s="39" t="s">
        <v>149</v>
      </c>
    </row>
    <row r="325">
      <c r="A325" s="39" t="s">
        <v>936</v>
      </c>
      <c r="B325" s="39" t="s">
        <v>937</v>
      </c>
      <c r="C325" s="40" t="s">
        <v>652</v>
      </c>
      <c r="D325" s="39" t="s">
        <v>938</v>
      </c>
      <c r="E325" s="40" t="s">
        <v>99</v>
      </c>
      <c r="F325" s="39" t="s">
        <v>186</v>
      </c>
    </row>
    <row r="326">
      <c r="A326" s="39" t="s">
        <v>939</v>
      </c>
      <c r="B326" s="39" t="s">
        <v>940</v>
      </c>
      <c r="C326" s="40" t="s">
        <v>652</v>
      </c>
      <c r="D326" s="39" t="s">
        <v>941</v>
      </c>
      <c r="E326" s="40" t="s">
        <v>99</v>
      </c>
      <c r="F326" s="39" t="s">
        <v>104</v>
      </c>
    </row>
    <row r="327">
      <c r="A327" s="39" t="s">
        <v>942</v>
      </c>
      <c r="B327" s="39" t="s">
        <v>943</v>
      </c>
      <c r="C327" s="40" t="s">
        <v>652</v>
      </c>
      <c r="D327" s="39" t="s">
        <v>944</v>
      </c>
      <c r="E327" s="40" t="s">
        <v>99</v>
      </c>
      <c r="F327" s="39" t="s">
        <v>104</v>
      </c>
    </row>
    <row r="328">
      <c r="A328" s="39" t="s">
        <v>945</v>
      </c>
      <c r="B328" s="39" t="s">
        <v>946</v>
      </c>
      <c r="C328" s="40" t="s">
        <v>652</v>
      </c>
      <c r="D328" s="39" t="s">
        <v>947</v>
      </c>
      <c r="E328" s="40" t="s">
        <v>99</v>
      </c>
      <c r="F328" s="39" t="s">
        <v>376</v>
      </c>
    </row>
    <row r="329">
      <c r="A329" s="39" t="s">
        <v>948</v>
      </c>
      <c r="B329" s="39" t="s">
        <v>949</v>
      </c>
      <c r="C329" s="40" t="s">
        <v>652</v>
      </c>
      <c r="D329" s="39" t="s">
        <v>947</v>
      </c>
      <c r="E329" s="40" t="s">
        <v>99</v>
      </c>
      <c r="F329" s="39" t="s">
        <v>376</v>
      </c>
    </row>
    <row r="330">
      <c r="A330" s="39" t="s">
        <v>950</v>
      </c>
      <c r="B330" s="39" t="s">
        <v>951</v>
      </c>
      <c r="C330" s="40" t="s">
        <v>652</v>
      </c>
      <c r="D330" s="39" t="s">
        <v>947</v>
      </c>
      <c r="E330" s="40" t="s">
        <v>99</v>
      </c>
      <c r="F330" s="39" t="s">
        <v>376</v>
      </c>
    </row>
    <row r="331">
      <c r="A331" s="39" t="s">
        <v>952</v>
      </c>
      <c r="B331" s="39" t="s">
        <v>953</v>
      </c>
      <c r="C331" s="40" t="s">
        <v>652</v>
      </c>
      <c r="D331" s="39" t="s">
        <v>954</v>
      </c>
      <c r="E331" s="40" t="s">
        <v>99</v>
      </c>
      <c r="F331" s="39" t="s">
        <v>376</v>
      </c>
    </row>
    <row r="332">
      <c r="A332" s="39" t="s">
        <v>955</v>
      </c>
      <c r="B332" s="39" t="s">
        <v>956</v>
      </c>
      <c r="C332" s="40" t="s">
        <v>652</v>
      </c>
      <c r="D332" s="39" t="s">
        <v>957</v>
      </c>
      <c r="E332" s="40" t="s">
        <v>99</v>
      </c>
      <c r="F332" s="39" t="s">
        <v>104</v>
      </c>
    </row>
    <row r="333">
      <c r="A333" s="39" t="s">
        <v>958</v>
      </c>
      <c r="B333" s="39" t="s">
        <v>959</v>
      </c>
      <c r="C333" s="40" t="s">
        <v>652</v>
      </c>
      <c r="D333" s="39" t="s">
        <v>960</v>
      </c>
      <c r="E333" s="40" t="s">
        <v>99</v>
      </c>
      <c r="F333" s="39" t="s">
        <v>186</v>
      </c>
    </row>
    <row r="334">
      <c r="A334" s="39" t="s">
        <v>961</v>
      </c>
      <c r="B334" s="39" t="s">
        <v>962</v>
      </c>
      <c r="C334" s="40" t="s">
        <v>652</v>
      </c>
      <c r="D334" s="39" t="s">
        <v>963</v>
      </c>
      <c r="E334" s="40" t="s">
        <v>99</v>
      </c>
      <c r="F334" s="39" t="s">
        <v>499</v>
      </c>
    </row>
    <row r="335">
      <c r="A335" s="39" t="s">
        <v>964</v>
      </c>
      <c r="B335" s="39" t="s">
        <v>965</v>
      </c>
      <c r="C335" s="40" t="s">
        <v>652</v>
      </c>
      <c r="D335" s="39" t="s">
        <v>99</v>
      </c>
      <c r="E335" s="40" t="s">
        <v>99</v>
      </c>
      <c r="F335" s="39" t="s">
        <v>499</v>
      </c>
    </row>
    <row r="336">
      <c r="A336" s="39" t="s">
        <v>966</v>
      </c>
      <c r="B336" s="39" t="s">
        <v>967</v>
      </c>
      <c r="C336" s="40" t="s">
        <v>652</v>
      </c>
      <c r="D336" s="39" t="s">
        <v>968</v>
      </c>
      <c r="E336" s="40" t="s">
        <v>99</v>
      </c>
      <c r="F336" s="39" t="s">
        <v>499</v>
      </c>
    </row>
    <row r="337">
      <c r="A337" s="39" t="s">
        <v>969</v>
      </c>
      <c r="B337" s="39" t="s">
        <v>970</v>
      </c>
      <c r="C337" s="40" t="s">
        <v>652</v>
      </c>
      <c r="D337" s="39" t="s">
        <v>971</v>
      </c>
      <c r="E337" s="40" t="s">
        <v>99</v>
      </c>
      <c r="F337" s="39" t="s">
        <v>104</v>
      </c>
    </row>
    <row r="338">
      <c r="A338" s="39" t="s">
        <v>972</v>
      </c>
      <c r="B338" s="39" t="s">
        <v>973</v>
      </c>
      <c r="C338" s="40" t="s">
        <v>652</v>
      </c>
      <c r="D338" s="39" t="s">
        <v>974</v>
      </c>
      <c r="E338" s="40" t="s">
        <v>99</v>
      </c>
      <c r="F338" s="39" t="s">
        <v>104</v>
      </c>
    </row>
    <row r="339">
      <c r="A339" s="39" t="s">
        <v>975</v>
      </c>
      <c r="B339" s="39" t="s">
        <v>976</v>
      </c>
      <c r="C339" s="40" t="s">
        <v>652</v>
      </c>
      <c r="D339" s="39" t="s">
        <v>977</v>
      </c>
      <c r="E339" s="40" t="s">
        <v>99</v>
      </c>
      <c r="F339" s="39" t="s">
        <v>157</v>
      </c>
    </row>
    <row r="340">
      <c r="A340" s="39" t="s">
        <v>978</v>
      </c>
      <c r="B340" s="43" t="s">
        <v>979</v>
      </c>
      <c r="C340" s="40" t="s">
        <v>671</v>
      </c>
      <c r="D340" s="39" t="s">
        <v>980</v>
      </c>
      <c r="E340" s="40" t="s">
        <v>99</v>
      </c>
      <c r="F340" s="39" t="s">
        <v>981</v>
      </c>
    </row>
    <row r="341">
      <c r="A341" s="39" t="s">
        <v>982</v>
      </c>
      <c r="B341" s="43" t="s">
        <v>983</v>
      </c>
      <c r="C341" s="40" t="s">
        <v>671</v>
      </c>
      <c r="D341" s="39" t="s">
        <v>984</v>
      </c>
      <c r="E341" s="40" t="s">
        <v>99</v>
      </c>
      <c r="F341" s="39" t="s">
        <v>981</v>
      </c>
    </row>
    <row r="342">
      <c r="A342" s="39" t="s">
        <v>985</v>
      </c>
      <c r="B342" s="43" t="s">
        <v>986</v>
      </c>
      <c r="C342" s="40" t="s">
        <v>671</v>
      </c>
      <c r="D342" s="39" t="s">
        <v>987</v>
      </c>
      <c r="E342" s="40" t="s">
        <v>99</v>
      </c>
      <c r="F342" s="39" t="s">
        <v>981</v>
      </c>
    </row>
    <row r="343">
      <c r="A343" s="39" t="s">
        <v>988</v>
      </c>
      <c r="B343" s="43" t="s">
        <v>989</v>
      </c>
      <c r="C343" s="40" t="s">
        <v>671</v>
      </c>
      <c r="D343" s="39" t="s">
        <v>990</v>
      </c>
      <c r="E343" s="40" t="s">
        <v>99</v>
      </c>
      <c r="F343" s="39" t="s">
        <v>981</v>
      </c>
    </row>
    <row r="344">
      <c r="A344" s="39" t="s">
        <v>991</v>
      </c>
      <c r="B344" s="39" t="s">
        <v>992</v>
      </c>
      <c r="C344" s="40" t="s">
        <v>671</v>
      </c>
      <c r="D344" s="39" t="s">
        <v>993</v>
      </c>
      <c r="E344" s="40" t="s">
        <v>99</v>
      </c>
      <c r="F344" s="39" t="s">
        <v>981</v>
      </c>
    </row>
    <row r="345">
      <c r="A345" s="39" t="s">
        <v>994</v>
      </c>
      <c r="B345" s="39" t="s">
        <v>995</v>
      </c>
      <c r="C345" s="40" t="s">
        <v>652</v>
      </c>
      <c r="D345" s="39" t="s">
        <v>996</v>
      </c>
      <c r="E345" s="40" t="s">
        <v>99</v>
      </c>
      <c r="F345" s="39" t="s">
        <v>997</v>
      </c>
    </row>
    <row r="346">
      <c r="A346" s="39" t="s">
        <v>998</v>
      </c>
      <c r="B346" s="39" t="s">
        <v>999</v>
      </c>
      <c r="C346" s="40" t="s">
        <v>652</v>
      </c>
      <c r="D346" s="39" t="s">
        <v>1000</v>
      </c>
      <c r="E346" s="40" t="s">
        <v>99</v>
      </c>
      <c r="F346" s="39" t="s">
        <v>186</v>
      </c>
    </row>
    <row r="347">
      <c r="A347" s="39" t="s">
        <v>1001</v>
      </c>
      <c r="B347" s="39" t="s">
        <v>1002</v>
      </c>
      <c r="C347" s="40" t="s">
        <v>652</v>
      </c>
      <c r="D347" s="39" t="s">
        <v>1003</v>
      </c>
      <c r="E347" s="40" t="s">
        <v>99</v>
      </c>
      <c r="F347" s="39" t="s">
        <v>376</v>
      </c>
    </row>
    <row r="348">
      <c r="A348" s="39" t="s">
        <v>1004</v>
      </c>
      <c r="B348" s="39" t="s">
        <v>1005</v>
      </c>
      <c r="C348" s="40" t="s">
        <v>671</v>
      </c>
      <c r="D348" s="39" t="s">
        <v>1006</v>
      </c>
      <c r="E348" s="40" t="s">
        <v>99</v>
      </c>
      <c r="F348" s="39" t="s">
        <v>463</v>
      </c>
    </row>
    <row r="349">
      <c r="A349" s="39" t="s">
        <v>1007</v>
      </c>
      <c r="B349" s="39" t="s">
        <v>1008</v>
      </c>
      <c r="C349" s="40" t="s">
        <v>671</v>
      </c>
      <c r="D349" s="39" t="s">
        <v>1009</v>
      </c>
      <c r="E349" s="40" t="s">
        <v>99</v>
      </c>
      <c r="F349" s="39" t="s">
        <v>202</v>
      </c>
    </row>
    <row r="350">
      <c r="A350" s="39" t="s">
        <v>1010</v>
      </c>
      <c r="B350" s="43" t="s">
        <v>1011</v>
      </c>
      <c r="C350" s="40" t="s">
        <v>652</v>
      </c>
      <c r="D350" s="39" t="s">
        <v>1012</v>
      </c>
      <c r="E350" s="40" t="s">
        <v>99</v>
      </c>
      <c r="F350" s="39" t="s">
        <v>353</v>
      </c>
    </row>
    <row r="351">
      <c r="A351" s="39" t="s">
        <v>1013</v>
      </c>
      <c r="B351" s="39" t="s">
        <v>1014</v>
      </c>
      <c r="C351" s="40" t="s">
        <v>652</v>
      </c>
      <c r="D351" s="39" t="s">
        <v>1015</v>
      </c>
      <c r="E351" s="40" t="s">
        <v>99</v>
      </c>
      <c r="F351" s="39" t="s">
        <v>1016</v>
      </c>
    </row>
    <row r="352">
      <c r="A352" s="39" t="s">
        <v>1017</v>
      </c>
      <c r="B352" s="39" t="s">
        <v>1018</v>
      </c>
      <c r="C352" s="40" t="s">
        <v>652</v>
      </c>
      <c r="D352" s="39" t="s">
        <v>1019</v>
      </c>
      <c r="E352" s="40" t="s">
        <v>99</v>
      </c>
      <c r="F352" s="39" t="s">
        <v>1020</v>
      </c>
    </row>
    <row r="353">
      <c r="A353" s="39" t="s">
        <v>1021</v>
      </c>
      <c r="B353" s="39" t="s">
        <v>1022</v>
      </c>
      <c r="C353" s="40" t="s">
        <v>652</v>
      </c>
      <c r="D353" s="39" t="s">
        <v>1023</v>
      </c>
      <c r="E353" s="40" t="s">
        <v>1024</v>
      </c>
      <c r="F353" s="39" t="s">
        <v>1020</v>
      </c>
    </row>
    <row r="354">
      <c r="A354" s="39" t="s">
        <v>1025</v>
      </c>
      <c r="B354" s="39" t="s">
        <v>1026</v>
      </c>
      <c r="C354" s="40" t="s">
        <v>671</v>
      </c>
      <c r="D354" s="39" t="s">
        <v>1027</v>
      </c>
      <c r="E354" s="40" t="s">
        <v>99</v>
      </c>
      <c r="F354" s="39" t="s">
        <v>104</v>
      </c>
    </row>
    <row r="355">
      <c r="A355" s="39" t="s">
        <v>1028</v>
      </c>
      <c r="B355" s="39" t="s">
        <v>1029</v>
      </c>
      <c r="C355" s="40" t="s">
        <v>671</v>
      </c>
      <c r="D355" s="39" t="s">
        <v>1030</v>
      </c>
      <c r="E355" s="40" t="s">
        <v>99</v>
      </c>
      <c r="F355" s="39" t="s">
        <v>981</v>
      </c>
    </row>
    <row r="356">
      <c r="A356" s="39" t="s">
        <v>1031</v>
      </c>
      <c r="B356" s="39" t="s">
        <v>1032</v>
      </c>
      <c r="C356" s="40" t="s">
        <v>652</v>
      </c>
      <c r="D356" s="39" t="s">
        <v>99</v>
      </c>
      <c r="E356" s="40" t="s">
        <v>99</v>
      </c>
      <c r="F356" s="39" t="s">
        <v>157</v>
      </c>
    </row>
    <row r="357">
      <c r="A357" s="39" t="s">
        <v>1033</v>
      </c>
      <c r="B357" s="39" t="s">
        <v>1034</v>
      </c>
      <c r="C357" s="40" t="s">
        <v>671</v>
      </c>
      <c r="D357" s="39" t="s">
        <v>1035</v>
      </c>
      <c r="E357" s="40" t="s">
        <v>99</v>
      </c>
      <c r="F357" s="39" t="s">
        <v>104</v>
      </c>
    </row>
    <row r="358">
      <c r="A358" s="39" t="s">
        <v>1036</v>
      </c>
      <c r="B358" s="39" t="s">
        <v>1037</v>
      </c>
      <c r="C358" s="40" t="s">
        <v>652</v>
      </c>
      <c r="D358" s="39" t="s">
        <v>1038</v>
      </c>
      <c r="E358" s="40" t="s">
        <v>99</v>
      </c>
      <c r="F358" s="39" t="s">
        <v>104</v>
      </c>
    </row>
    <row r="359">
      <c r="A359" s="39" t="s">
        <v>1039</v>
      </c>
      <c r="B359" s="39" t="s">
        <v>1040</v>
      </c>
      <c r="C359" s="40" t="s">
        <v>652</v>
      </c>
      <c r="D359" s="39" t="s">
        <v>1041</v>
      </c>
      <c r="E359" s="40" t="s">
        <v>99</v>
      </c>
      <c r="F359" s="39" t="s">
        <v>104</v>
      </c>
    </row>
    <row r="360">
      <c r="A360" s="39" t="s">
        <v>1042</v>
      </c>
      <c r="B360" s="39" t="s">
        <v>1043</v>
      </c>
      <c r="C360" s="40" t="s">
        <v>652</v>
      </c>
      <c r="D360" s="39" t="s">
        <v>1044</v>
      </c>
      <c r="E360" s="40" t="s">
        <v>99</v>
      </c>
      <c r="F360" s="39" t="s">
        <v>186</v>
      </c>
    </row>
    <row r="361">
      <c r="A361" s="39" t="s">
        <v>1045</v>
      </c>
      <c r="B361" s="39" t="s">
        <v>1046</v>
      </c>
      <c r="C361" s="40" t="s">
        <v>652</v>
      </c>
      <c r="D361" s="39" t="s">
        <v>1047</v>
      </c>
      <c r="E361" s="40" t="s">
        <v>99</v>
      </c>
      <c r="F361" s="39" t="s">
        <v>104</v>
      </c>
    </row>
    <row r="362">
      <c r="A362" s="39" t="s">
        <v>1048</v>
      </c>
      <c r="B362" s="39" t="s">
        <v>1049</v>
      </c>
      <c r="C362" s="40" t="s">
        <v>671</v>
      </c>
      <c r="D362" s="39" t="s">
        <v>1050</v>
      </c>
      <c r="E362" s="40" t="s">
        <v>99</v>
      </c>
      <c r="F362" s="39" t="s">
        <v>104</v>
      </c>
    </row>
    <row r="363">
      <c r="A363" s="39" t="s">
        <v>1051</v>
      </c>
      <c r="B363" s="39" t="s">
        <v>1052</v>
      </c>
      <c r="C363" s="40" t="s">
        <v>652</v>
      </c>
      <c r="D363" s="39" t="s">
        <v>1053</v>
      </c>
      <c r="E363" s="40" t="s">
        <v>99</v>
      </c>
      <c r="F363" s="39" t="s">
        <v>104</v>
      </c>
    </row>
    <row r="364">
      <c r="A364" s="39" t="s">
        <v>1054</v>
      </c>
      <c r="B364" s="39" t="s">
        <v>1055</v>
      </c>
      <c r="C364" s="40" t="s">
        <v>652</v>
      </c>
      <c r="D364" s="39" t="s">
        <v>1056</v>
      </c>
      <c r="E364" s="40" t="s">
        <v>99</v>
      </c>
      <c r="F364" s="39" t="s">
        <v>186</v>
      </c>
    </row>
    <row r="365">
      <c r="A365" s="39" t="s">
        <v>1057</v>
      </c>
      <c r="B365" s="39" t="s">
        <v>1058</v>
      </c>
      <c r="C365" s="40" t="s">
        <v>652</v>
      </c>
      <c r="D365" s="39" t="s">
        <v>1059</v>
      </c>
      <c r="E365" s="40" t="s">
        <v>99</v>
      </c>
      <c r="F365" s="39" t="s">
        <v>104</v>
      </c>
    </row>
    <row r="366">
      <c r="A366" s="39" t="s">
        <v>1060</v>
      </c>
      <c r="B366" s="39" t="s">
        <v>1061</v>
      </c>
      <c r="C366" s="40" t="s">
        <v>652</v>
      </c>
      <c r="D366" s="39" t="s">
        <v>1062</v>
      </c>
      <c r="E366" s="40" t="s">
        <v>99</v>
      </c>
      <c r="F366" s="39" t="s">
        <v>1063</v>
      </c>
    </row>
    <row r="367">
      <c r="A367" s="39" t="s">
        <v>1064</v>
      </c>
      <c r="B367" s="39" t="s">
        <v>1065</v>
      </c>
      <c r="C367" s="40" t="s">
        <v>652</v>
      </c>
      <c r="D367" s="39" t="s">
        <v>1066</v>
      </c>
      <c r="E367" s="40" t="s">
        <v>99</v>
      </c>
      <c r="F367" s="39" t="s">
        <v>1067</v>
      </c>
    </row>
    <row r="368">
      <c r="A368" s="39" t="s">
        <v>1068</v>
      </c>
      <c r="B368" s="39" t="s">
        <v>1069</v>
      </c>
      <c r="C368" s="40" t="s">
        <v>652</v>
      </c>
      <c r="D368" s="39" t="s">
        <v>1070</v>
      </c>
      <c r="E368" s="40" t="s">
        <v>1071</v>
      </c>
      <c r="F368" s="39" t="s">
        <v>492</v>
      </c>
    </row>
    <row r="369">
      <c r="A369" s="39" t="s">
        <v>1072</v>
      </c>
      <c r="B369" s="39" t="s">
        <v>1073</v>
      </c>
      <c r="C369" s="40" t="s">
        <v>652</v>
      </c>
      <c r="D369" s="39" t="s">
        <v>1074</v>
      </c>
      <c r="E369" s="40" t="s">
        <v>99</v>
      </c>
      <c r="F369" s="39" t="s">
        <v>140</v>
      </c>
    </row>
    <row r="370">
      <c r="A370" s="39" t="s">
        <v>1075</v>
      </c>
      <c r="B370" s="39" t="s">
        <v>1076</v>
      </c>
      <c r="C370" s="40" t="s">
        <v>652</v>
      </c>
      <c r="D370" s="39" t="s">
        <v>1077</v>
      </c>
      <c r="E370" s="40" t="s">
        <v>99</v>
      </c>
      <c r="F370" s="39" t="s">
        <v>104</v>
      </c>
    </row>
    <row r="371">
      <c r="A371" s="39" t="s">
        <v>1078</v>
      </c>
      <c r="B371" s="39" t="s">
        <v>1079</v>
      </c>
      <c r="C371" s="40" t="s">
        <v>671</v>
      </c>
      <c r="D371" s="39" t="s">
        <v>315</v>
      </c>
      <c r="E371" s="40" t="s">
        <v>313</v>
      </c>
      <c r="F371" s="39" t="s">
        <v>265</v>
      </c>
    </row>
    <row r="372">
      <c r="A372" s="39" t="s">
        <v>1080</v>
      </c>
      <c r="B372" s="39" t="s">
        <v>1081</v>
      </c>
      <c r="C372" s="40" t="s">
        <v>671</v>
      </c>
      <c r="D372" s="39" t="s">
        <v>1082</v>
      </c>
      <c r="E372" s="40" t="s">
        <v>99</v>
      </c>
      <c r="F372" s="39" t="s">
        <v>149</v>
      </c>
    </row>
    <row r="373">
      <c r="A373" s="39" t="s">
        <v>1083</v>
      </c>
      <c r="B373" s="39" t="s">
        <v>1084</v>
      </c>
      <c r="C373" s="40" t="s">
        <v>671</v>
      </c>
      <c r="D373" s="39" t="s">
        <v>1085</v>
      </c>
      <c r="E373" s="40" t="s">
        <v>99</v>
      </c>
      <c r="F373" s="39" t="s">
        <v>104</v>
      </c>
    </row>
    <row r="374">
      <c r="A374" s="39" t="s">
        <v>1086</v>
      </c>
      <c r="B374" s="39" t="s">
        <v>1087</v>
      </c>
      <c r="C374" s="40" t="s">
        <v>652</v>
      </c>
      <c r="D374" s="39" t="s">
        <v>1088</v>
      </c>
      <c r="E374" s="40" t="s">
        <v>99</v>
      </c>
      <c r="F374" s="39" t="s">
        <v>104</v>
      </c>
    </row>
    <row r="375">
      <c r="A375" s="39" t="s">
        <v>1089</v>
      </c>
      <c r="B375" s="39" t="s">
        <v>1090</v>
      </c>
      <c r="C375" s="40" t="s">
        <v>652</v>
      </c>
      <c r="D375" s="39" t="s">
        <v>1091</v>
      </c>
      <c r="E375" s="40" t="s">
        <v>99</v>
      </c>
      <c r="F375" s="39" t="s">
        <v>1092</v>
      </c>
    </row>
    <row r="376">
      <c r="A376" s="39" t="s">
        <v>1093</v>
      </c>
      <c r="B376" s="39" t="s">
        <v>1094</v>
      </c>
      <c r="C376" s="40" t="s">
        <v>652</v>
      </c>
      <c r="D376" s="39" t="s">
        <v>99</v>
      </c>
      <c r="E376" s="40" t="s">
        <v>99</v>
      </c>
      <c r="F376" s="39" t="s">
        <v>1095</v>
      </c>
    </row>
    <row r="377">
      <c r="A377" s="39" t="s">
        <v>1096</v>
      </c>
      <c r="B377" s="39" t="s">
        <v>1097</v>
      </c>
      <c r="C377" s="40" t="s">
        <v>652</v>
      </c>
      <c r="D377" s="39" t="s">
        <v>1098</v>
      </c>
      <c r="E377" s="40" t="s">
        <v>99</v>
      </c>
      <c r="F377" s="39" t="s">
        <v>206</v>
      </c>
    </row>
    <row r="378">
      <c r="A378" s="39" t="s">
        <v>1099</v>
      </c>
      <c r="B378" s="39" t="s">
        <v>1100</v>
      </c>
      <c r="C378" s="40" t="s">
        <v>652</v>
      </c>
      <c r="D378" s="39" t="s">
        <v>1101</v>
      </c>
      <c r="E378" s="40" t="s">
        <v>99</v>
      </c>
      <c r="F378" s="39" t="s">
        <v>692</v>
      </c>
    </row>
    <row r="379">
      <c r="A379" s="39" t="s">
        <v>1102</v>
      </c>
      <c r="B379" s="39" t="s">
        <v>1103</v>
      </c>
      <c r="C379" s="40" t="s">
        <v>671</v>
      </c>
      <c r="D379" s="39" t="s">
        <v>1104</v>
      </c>
      <c r="E379" s="40" t="s">
        <v>99</v>
      </c>
      <c r="F379" s="39" t="s">
        <v>104</v>
      </c>
    </row>
    <row r="380">
      <c r="A380" s="42" t="s">
        <v>1105</v>
      </c>
      <c r="B380" s="43" t="s">
        <v>1106</v>
      </c>
      <c r="C380" s="40" t="s">
        <v>652</v>
      </c>
      <c r="D380" s="39" t="s">
        <v>99</v>
      </c>
      <c r="E380" s="43" t="s">
        <v>1107</v>
      </c>
      <c r="F380" s="42" t="s">
        <v>104</v>
      </c>
    </row>
    <row r="381">
      <c r="A381" s="39" t="s">
        <v>1108</v>
      </c>
      <c r="B381" s="39" t="s">
        <v>1109</v>
      </c>
      <c r="C381" s="40" t="s">
        <v>671</v>
      </c>
      <c r="D381" s="39" t="s">
        <v>1110</v>
      </c>
      <c r="E381" s="40" t="s">
        <v>99</v>
      </c>
      <c r="F381" s="39" t="s">
        <v>608</v>
      </c>
    </row>
    <row r="382">
      <c r="A382" s="42" t="s">
        <v>1111</v>
      </c>
      <c r="B382" s="43" t="s">
        <v>1112</v>
      </c>
      <c r="C382" s="40" t="s">
        <v>671</v>
      </c>
      <c r="D382" s="43" t="s">
        <v>1113</v>
      </c>
      <c r="E382" s="43" t="s">
        <v>99</v>
      </c>
      <c r="F382" s="42" t="s">
        <v>149</v>
      </c>
    </row>
    <row r="383">
      <c r="A383" s="39" t="s">
        <v>1114</v>
      </c>
      <c r="B383" s="39" t="s">
        <v>1115</v>
      </c>
      <c r="C383" s="40" t="s">
        <v>652</v>
      </c>
      <c r="D383" s="39" t="s">
        <v>1116</v>
      </c>
      <c r="E383" s="40" t="s">
        <v>99</v>
      </c>
      <c r="F383" s="39" t="s">
        <v>104</v>
      </c>
    </row>
    <row r="384">
      <c r="A384" s="39" t="s">
        <v>1117</v>
      </c>
      <c r="B384" s="39" t="s">
        <v>1118</v>
      </c>
      <c r="C384" s="40" t="s">
        <v>652</v>
      </c>
      <c r="D384" s="39" t="s">
        <v>1119</v>
      </c>
      <c r="E384" s="40" t="s">
        <v>99</v>
      </c>
      <c r="F384" s="39" t="s">
        <v>104</v>
      </c>
    </row>
    <row r="385">
      <c r="A385" s="39" t="s">
        <v>1120</v>
      </c>
      <c r="B385" s="39" t="s">
        <v>1121</v>
      </c>
      <c r="C385" s="40" t="s">
        <v>652</v>
      </c>
      <c r="D385" s="39" t="s">
        <v>1122</v>
      </c>
      <c r="E385" s="40" t="s">
        <v>99</v>
      </c>
      <c r="F385" s="39" t="s">
        <v>109</v>
      </c>
    </row>
    <row r="386">
      <c r="A386" s="39" t="s">
        <v>1123</v>
      </c>
      <c r="B386" s="39" t="s">
        <v>1124</v>
      </c>
      <c r="C386" s="40" t="s">
        <v>652</v>
      </c>
      <c r="D386" s="39" t="s">
        <v>1125</v>
      </c>
      <c r="E386" s="40" t="s">
        <v>99</v>
      </c>
      <c r="F386" s="39" t="s">
        <v>104</v>
      </c>
    </row>
    <row r="387">
      <c r="A387" s="39" t="s">
        <v>1126</v>
      </c>
      <c r="B387" s="39" t="s">
        <v>1127</v>
      </c>
      <c r="C387" s="40" t="s">
        <v>652</v>
      </c>
      <c r="D387" s="39" t="s">
        <v>1128</v>
      </c>
      <c r="E387" s="39" t="s">
        <v>99</v>
      </c>
      <c r="F387" s="39" t="s">
        <v>157</v>
      </c>
    </row>
    <row r="388">
      <c r="A388" s="39" t="s">
        <v>1129</v>
      </c>
      <c r="B388" s="39" t="s">
        <v>1130</v>
      </c>
      <c r="C388" s="40" t="s">
        <v>671</v>
      </c>
      <c r="D388" s="39" t="s">
        <v>1131</v>
      </c>
      <c r="E388" s="40" t="s">
        <v>99</v>
      </c>
      <c r="F388" s="39" t="s">
        <v>265</v>
      </c>
    </row>
    <row r="389">
      <c r="A389" s="39" t="s">
        <v>1132</v>
      </c>
      <c r="B389" s="39" t="s">
        <v>1133</v>
      </c>
      <c r="C389" s="40" t="s">
        <v>652</v>
      </c>
      <c r="D389" s="39" t="s">
        <v>1134</v>
      </c>
      <c r="E389" s="39" t="s">
        <v>99</v>
      </c>
      <c r="F389" s="39" t="s">
        <v>157</v>
      </c>
    </row>
    <row r="390">
      <c r="A390" s="39" t="s">
        <v>1135</v>
      </c>
      <c r="B390" s="39" t="s">
        <v>1136</v>
      </c>
      <c r="C390" s="40" t="s">
        <v>652</v>
      </c>
      <c r="D390" s="39" t="s">
        <v>1137</v>
      </c>
      <c r="E390" s="40" t="s">
        <v>99</v>
      </c>
      <c r="F390" s="39" t="s">
        <v>265</v>
      </c>
    </row>
    <row r="391">
      <c r="A391" s="39" t="s">
        <v>1138</v>
      </c>
      <c r="B391" s="39" t="s">
        <v>1139</v>
      </c>
      <c r="C391" s="40" t="s">
        <v>652</v>
      </c>
      <c r="D391" s="39" t="s">
        <v>1140</v>
      </c>
      <c r="E391" s="40" t="s">
        <v>99</v>
      </c>
      <c r="F391" s="39" t="s">
        <v>104</v>
      </c>
    </row>
    <row r="392">
      <c r="A392" s="39" t="s">
        <v>1141</v>
      </c>
      <c r="B392" s="39" t="s">
        <v>1142</v>
      </c>
      <c r="C392" s="40" t="s">
        <v>652</v>
      </c>
      <c r="D392" s="39" t="s">
        <v>1143</v>
      </c>
      <c r="E392" s="39" t="s">
        <v>1144</v>
      </c>
      <c r="F392" s="39" t="s">
        <v>157</v>
      </c>
    </row>
    <row r="393">
      <c r="A393" s="39" t="s">
        <v>1145</v>
      </c>
      <c r="B393" s="39" t="s">
        <v>1146</v>
      </c>
      <c r="C393" s="40" t="s">
        <v>652</v>
      </c>
      <c r="D393" s="39" t="s">
        <v>1147</v>
      </c>
      <c r="E393" s="40" t="s">
        <v>99</v>
      </c>
      <c r="F393" s="39" t="s">
        <v>157</v>
      </c>
    </row>
    <row r="394">
      <c r="A394" s="39" t="s">
        <v>1148</v>
      </c>
      <c r="B394" s="39" t="s">
        <v>1149</v>
      </c>
      <c r="C394" s="40" t="s">
        <v>652</v>
      </c>
      <c r="D394" s="39" t="s">
        <v>1150</v>
      </c>
      <c r="E394" s="40" t="s">
        <v>99</v>
      </c>
      <c r="F394" s="39" t="s">
        <v>104</v>
      </c>
    </row>
    <row r="395">
      <c r="A395" s="42" t="s">
        <v>1151</v>
      </c>
      <c r="B395" s="39" t="s">
        <v>1152</v>
      </c>
      <c r="C395" s="40" t="s">
        <v>671</v>
      </c>
      <c r="D395" s="39" t="s">
        <v>99</v>
      </c>
      <c r="E395" s="40" t="s">
        <v>1153</v>
      </c>
      <c r="F395" s="39" t="s">
        <v>104</v>
      </c>
    </row>
    <row r="396">
      <c r="A396" s="42" t="s">
        <v>1154</v>
      </c>
      <c r="B396" s="42" t="s">
        <v>1155</v>
      </c>
      <c r="C396" s="40" t="s">
        <v>671</v>
      </c>
      <c r="D396" s="42" t="s">
        <v>99</v>
      </c>
      <c r="E396" s="43" t="s">
        <v>1156</v>
      </c>
      <c r="F396" s="39" t="s">
        <v>149</v>
      </c>
    </row>
    <row r="397">
      <c r="A397" s="42" t="s">
        <v>1157</v>
      </c>
      <c r="B397" s="42" t="s">
        <v>1158</v>
      </c>
      <c r="C397" s="40" t="s">
        <v>652</v>
      </c>
      <c r="D397" s="42" t="s">
        <v>1159</v>
      </c>
      <c r="E397" s="43" t="s">
        <v>99</v>
      </c>
      <c r="F397" s="39" t="s">
        <v>1160</v>
      </c>
    </row>
    <row r="398">
      <c r="A398" s="39" t="s">
        <v>1161</v>
      </c>
      <c r="B398" s="39" t="s">
        <v>659</v>
      </c>
      <c r="C398" s="40" t="s">
        <v>652</v>
      </c>
      <c r="D398" s="39" t="s">
        <v>99</v>
      </c>
      <c r="E398" s="40" t="s">
        <v>121</v>
      </c>
      <c r="F398" s="39" t="s">
        <v>109</v>
      </c>
    </row>
    <row r="399">
      <c r="A399" s="39" t="s">
        <v>1162</v>
      </c>
      <c r="B399" s="39" t="s">
        <v>655</v>
      </c>
      <c r="C399" s="40" t="s">
        <v>652</v>
      </c>
      <c r="D399" s="39" t="s">
        <v>99</v>
      </c>
      <c r="E399" s="40" t="s">
        <v>108</v>
      </c>
      <c r="F399" s="39" t="s">
        <v>109</v>
      </c>
    </row>
    <row r="400">
      <c r="A400" s="39" t="s">
        <v>1163</v>
      </c>
      <c r="B400" s="39" t="s">
        <v>657</v>
      </c>
      <c r="C400" s="40" t="s">
        <v>652</v>
      </c>
      <c r="D400" s="39" t="s">
        <v>99</v>
      </c>
      <c r="E400" s="40" t="s">
        <v>113</v>
      </c>
      <c r="F400" s="39" t="s">
        <v>109</v>
      </c>
    </row>
    <row r="401">
      <c r="A401" s="39" t="s">
        <v>1164</v>
      </c>
      <c r="B401" s="39" t="s">
        <v>664</v>
      </c>
      <c r="C401" s="40" t="s">
        <v>652</v>
      </c>
      <c r="D401" s="39" t="s">
        <v>99</v>
      </c>
      <c r="E401" s="40" t="s">
        <v>131</v>
      </c>
      <c r="F401" s="39" t="s">
        <v>109</v>
      </c>
    </row>
    <row r="402">
      <c r="A402" s="42" t="s">
        <v>1165</v>
      </c>
      <c r="B402" s="42" t="s">
        <v>1166</v>
      </c>
      <c r="C402" s="40" t="s">
        <v>652</v>
      </c>
      <c r="D402" s="42" t="s">
        <v>1167</v>
      </c>
      <c r="E402" s="43" t="s">
        <v>99</v>
      </c>
      <c r="F402" s="39" t="s">
        <v>109</v>
      </c>
    </row>
    <row r="403">
      <c r="A403" s="39" t="s">
        <v>1168</v>
      </c>
      <c r="B403" s="39" t="s">
        <v>1169</v>
      </c>
      <c r="C403" s="40" t="s">
        <v>652</v>
      </c>
      <c r="D403" s="39" t="s">
        <v>1170</v>
      </c>
      <c r="E403" s="40" t="s">
        <v>99</v>
      </c>
      <c r="F403" s="39" t="s">
        <v>109</v>
      </c>
    </row>
    <row r="404">
      <c r="A404" s="39" t="s">
        <v>1171</v>
      </c>
      <c r="B404" s="39" t="s">
        <v>1172</v>
      </c>
      <c r="C404" s="40" t="s">
        <v>652</v>
      </c>
      <c r="D404" s="39" t="s">
        <v>1173</v>
      </c>
      <c r="E404" s="40" t="s">
        <v>99</v>
      </c>
      <c r="F404" s="39" t="s">
        <v>109</v>
      </c>
    </row>
    <row r="405">
      <c r="A405" s="39" t="s">
        <v>1174</v>
      </c>
      <c r="B405" s="39" t="s">
        <v>1175</v>
      </c>
      <c r="C405" s="40" t="s">
        <v>652</v>
      </c>
      <c r="D405" s="39" t="s">
        <v>1167</v>
      </c>
      <c r="E405" s="40" t="s">
        <v>1176</v>
      </c>
      <c r="F405" s="39" t="s">
        <v>109</v>
      </c>
    </row>
    <row r="406">
      <c r="A406" s="39" t="s">
        <v>1177</v>
      </c>
      <c r="B406" s="39" t="s">
        <v>1178</v>
      </c>
      <c r="C406" s="40" t="s">
        <v>652</v>
      </c>
      <c r="D406" s="39" t="s">
        <v>1179</v>
      </c>
      <c r="E406" s="40" t="s">
        <v>99</v>
      </c>
      <c r="F406" s="39" t="s">
        <v>109</v>
      </c>
    </row>
    <row r="407">
      <c r="A407" s="39" t="s">
        <v>1180</v>
      </c>
      <c r="B407" s="39" t="s">
        <v>1181</v>
      </c>
      <c r="C407" s="40" t="s">
        <v>652</v>
      </c>
      <c r="D407" s="39" t="s">
        <v>99</v>
      </c>
      <c r="E407" s="40" t="s">
        <v>99</v>
      </c>
      <c r="F407" s="39" t="s">
        <v>109</v>
      </c>
    </row>
    <row r="408">
      <c r="A408" s="39" t="s">
        <v>1182</v>
      </c>
      <c r="B408" s="39" t="s">
        <v>1183</v>
      </c>
      <c r="C408" s="40" t="s">
        <v>652</v>
      </c>
      <c r="D408" s="39" t="s">
        <v>1184</v>
      </c>
      <c r="E408" s="40" t="s">
        <v>99</v>
      </c>
      <c r="F408" s="39" t="s">
        <v>109</v>
      </c>
    </row>
    <row r="409">
      <c r="A409" s="39" t="s">
        <v>1185</v>
      </c>
      <c r="B409" s="39" t="s">
        <v>1186</v>
      </c>
      <c r="C409" s="40" t="s">
        <v>652</v>
      </c>
      <c r="D409" s="39" t="s">
        <v>1187</v>
      </c>
      <c r="E409" s="40" t="s">
        <v>99</v>
      </c>
      <c r="F409" s="39" t="s">
        <v>109</v>
      </c>
    </row>
    <row r="410">
      <c r="A410" s="39" t="s">
        <v>1188</v>
      </c>
      <c r="B410" s="39" t="s">
        <v>1189</v>
      </c>
      <c r="C410" s="40" t="s">
        <v>652</v>
      </c>
      <c r="D410" s="39" t="s">
        <v>1190</v>
      </c>
      <c r="E410" s="40" t="s">
        <v>99</v>
      </c>
      <c r="F410" s="39" t="s">
        <v>1191</v>
      </c>
    </row>
    <row r="411">
      <c r="A411" s="39" t="s">
        <v>1192</v>
      </c>
      <c r="B411" s="39" t="s">
        <v>1193</v>
      </c>
      <c r="C411" s="40" t="s">
        <v>652</v>
      </c>
      <c r="D411" s="39" t="s">
        <v>1194</v>
      </c>
      <c r="E411" s="40" t="s">
        <v>99</v>
      </c>
      <c r="F411" s="39" t="s">
        <v>1195</v>
      </c>
    </row>
    <row r="412">
      <c r="A412" s="39" t="s">
        <v>1196</v>
      </c>
      <c r="B412" s="39" t="s">
        <v>1197</v>
      </c>
      <c r="C412" s="40" t="s">
        <v>671</v>
      </c>
      <c r="D412" s="39" t="s">
        <v>1198</v>
      </c>
      <c r="E412" s="40" t="s">
        <v>99</v>
      </c>
      <c r="F412" s="39" t="s">
        <v>1191</v>
      </c>
    </row>
    <row r="413">
      <c r="A413" s="39" t="s">
        <v>1199</v>
      </c>
      <c r="B413" s="39" t="s">
        <v>1200</v>
      </c>
      <c r="C413" s="40" t="s">
        <v>652</v>
      </c>
      <c r="D413" s="39" t="s">
        <v>1201</v>
      </c>
      <c r="E413" s="40" t="s">
        <v>99</v>
      </c>
      <c r="F413" s="39" t="s">
        <v>104</v>
      </c>
    </row>
    <row r="414">
      <c r="A414" s="39" t="s">
        <v>1202</v>
      </c>
      <c r="B414" s="39" t="s">
        <v>1203</v>
      </c>
      <c r="C414" s="40" t="s">
        <v>652</v>
      </c>
      <c r="D414" s="39" t="s">
        <v>1204</v>
      </c>
      <c r="E414" s="40" t="s">
        <v>99</v>
      </c>
      <c r="F414" s="39" t="s">
        <v>617</v>
      </c>
    </row>
    <row r="415">
      <c r="A415" s="39" t="s">
        <v>1205</v>
      </c>
      <c r="B415" s="39" t="s">
        <v>1206</v>
      </c>
      <c r="C415" s="40" t="s">
        <v>671</v>
      </c>
      <c r="D415" s="39" t="s">
        <v>1207</v>
      </c>
      <c r="E415" s="40" t="s">
        <v>99</v>
      </c>
      <c r="F415" s="39" t="s">
        <v>608</v>
      </c>
    </row>
    <row r="416">
      <c r="A416" s="39" t="s">
        <v>1208</v>
      </c>
      <c r="B416" s="39" t="s">
        <v>1209</v>
      </c>
      <c r="C416" s="40" t="s">
        <v>671</v>
      </c>
      <c r="D416" s="39" t="s">
        <v>1210</v>
      </c>
      <c r="E416" s="40" t="s">
        <v>99</v>
      </c>
      <c r="F416" s="39" t="s">
        <v>109</v>
      </c>
    </row>
    <row r="417">
      <c r="A417" s="39" t="s">
        <v>1211</v>
      </c>
      <c r="B417" s="39" t="s">
        <v>1212</v>
      </c>
      <c r="C417" s="40" t="s">
        <v>671</v>
      </c>
      <c r="D417" s="39" t="s">
        <v>1213</v>
      </c>
      <c r="E417" s="40" t="s">
        <v>99</v>
      </c>
      <c r="F417" s="39" t="s">
        <v>109</v>
      </c>
    </row>
    <row r="418">
      <c r="A418" s="39" t="s">
        <v>1214</v>
      </c>
      <c r="B418" s="39" t="s">
        <v>1215</v>
      </c>
      <c r="C418" s="40" t="s">
        <v>652</v>
      </c>
      <c r="D418" s="39" t="s">
        <v>99</v>
      </c>
      <c r="E418" s="40" t="s">
        <v>99</v>
      </c>
      <c r="F418" s="39" t="s">
        <v>149</v>
      </c>
    </row>
    <row r="419">
      <c r="A419" s="39" t="s">
        <v>1216</v>
      </c>
      <c r="B419" s="39" t="s">
        <v>1217</v>
      </c>
      <c r="C419" s="40" t="s">
        <v>671</v>
      </c>
      <c r="D419" s="39" t="s">
        <v>1218</v>
      </c>
      <c r="E419" s="40" t="s">
        <v>99</v>
      </c>
      <c r="F419" s="39" t="s">
        <v>109</v>
      </c>
    </row>
    <row r="420">
      <c r="A420" s="39" t="s">
        <v>1219</v>
      </c>
      <c r="B420" s="39" t="s">
        <v>1220</v>
      </c>
      <c r="C420" s="40" t="s">
        <v>671</v>
      </c>
      <c r="D420" s="39" t="s">
        <v>1221</v>
      </c>
      <c r="E420" s="40" t="s">
        <v>99</v>
      </c>
      <c r="F420" s="39" t="s">
        <v>608</v>
      </c>
    </row>
    <row r="421">
      <c r="A421" s="39" t="s">
        <v>1222</v>
      </c>
      <c r="B421" s="39" t="s">
        <v>1223</v>
      </c>
      <c r="C421" s="40" t="s">
        <v>652</v>
      </c>
      <c r="D421" s="39" t="s">
        <v>1224</v>
      </c>
      <c r="E421" s="40" t="s">
        <v>1225</v>
      </c>
      <c r="F421" s="39" t="s">
        <v>1226</v>
      </c>
    </row>
    <row r="422">
      <c r="A422" s="39" t="s">
        <v>1227</v>
      </c>
      <c r="B422" s="39" t="s">
        <v>1228</v>
      </c>
      <c r="C422" s="40" t="s">
        <v>652</v>
      </c>
      <c r="D422" s="39" t="s">
        <v>1229</v>
      </c>
      <c r="E422" s="40" t="s">
        <v>1230</v>
      </c>
      <c r="F422" s="39" t="s">
        <v>1226</v>
      </c>
    </row>
    <row r="423">
      <c r="A423" s="39" t="s">
        <v>1231</v>
      </c>
      <c r="B423" s="39" t="s">
        <v>1232</v>
      </c>
      <c r="C423" s="40" t="s">
        <v>652</v>
      </c>
      <c r="D423" s="39" t="s">
        <v>1233</v>
      </c>
      <c r="E423" s="40" t="s">
        <v>1234</v>
      </c>
      <c r="F423" s="39" t="s">
        <v>1235</v>
      </c>
    </row>
    <row r="424">
      <c r="A424" s="39" t="s">
        <v>1236</v>
      </c>
      <c r="B424" s="39" t="s">
        <v>1237</v>
      </c>
      <c r="C424" s="40" t="s">
        <v>652</v>
      </c>
      <c r="D424" s="39" t="s">
        <v>1238</v>
      </c>
      <c r="E424" s="40" t="s">
        <v>99</v>
      </c>
      <c r="F424" s="39" t="s">
        <v>265</v>
      </c>
    </row>
    <row r="425">
      <c r="A425" s="39" t="s">
        <v>1239</v>
      </c>
      <c r="B425" s="39" t="s">
        <v>1240</v>
      </c>
      <c r="C425" s="40" t="s">
        <v>652</v>
      </c>
      <c r="D425" s="39" t="s">
        <v>99</v>
      </c>
      <c r="E425" s="40" t="s">
        <v>99</v>
      </c>
      <c r="F425" s="39" t="s">
        <v>99</v>
      </c>
    </row>
    <row r="426">
      <c r="A426" s="39" t="s">
        <v>1239</v>
      </c>
      <c r="B426" s="39" t="s">
        <v>1241</v>
      </c>
      <c r="C426" s="40" t="s">
        <v>652</v>
      </c>
      <c r="D426" s="39" t="s">
        <v>99</v>
      </c>
      <c r="E426" s="40" t="s">
        <v>99</v>
      </c>
      <c r="F426" s="39" t="s">
        <v>99</v>
      </c>
    </row>
    <row r="427">
      <c r="A427" s="39" t="s">
        <v>1242</v>
      </c>
      <c r="B427" s="39" t="s">
        <v>1243</v>
      </c>
      <c r="C427" s="40" t="s">
        <v>652</v>
      </c>
      <c r="D427" s="39" t="s">
        <v>1244</v>
      </c>
      <c r="E427" s="40" t="s">
        <v>99</v>
      </c>
      <c r="F427" s="39" t="s">
        <v>186</v>
      </c>
    </row>
    <row r="428">
      <c r="A428" s="39" t="s">
        <v>1245</v>
      </c>
      <c r="B428" s="39" t="s">
        <v>1246</v>
      </c>
      <c r="C428" s="40" t="s">
        <v>671</v>
      </c>
      <c r="D428" s="39" t="s">
        <v>1247</v>
      </c>
      <c r="E428" s="40" t="s">
        <v>99</v>
      </c>
      <c r="F428" s="39" t="s">
        <v>889</v>
      </c>
    </row>
    <row r="429">
      <c r="A429" s="39" t="s">
        <v>1248</v>
      </c>
      <c r="B429" s="39" t="s">
        <v>1249</v>
      </c>
      <c r="C429" s="40" t="s">
        <v>652</v>
      </c>
      <c r="D429" s="39" t="s">
        <v>1250</v>
      </c>
      <c r="E429" s="43" t="s">
        <v>99</v>
      </c>
      <c r="F429" s="39" t="s">
        <v>889</v>
      </c>
    </row>
    <row r="430">
      <c r="A430" s="39" t="s">
        <v>1251</v>
      </c>
      <c r="B430" s="39" t="s">
        <v>1252</v>
      </c>
      <c r="C430" s="40" t="s">
        <v>671</v>
      </c>
      <c r="D430" s="39" t="s">
        <v>99</v>
      </c>
      <c r="E430" s="43" t="s">
        <v>99</v>
      </c>
      <c r="F430" s="39" t="s">
        <v>99</v>
      </c>
    </row>
    <row r="431">
      <c r="A431" s="39" t="s">
        <v>1253</v>
      </c>
      <c r="B431" s="39" t="s">
        <v>1254</v>
      </c>
      <c r="C431" s="40" t="s">
        <v>671</v>
      </c>
      <c r="D431" s="39" t="s">
        <v>99</v>
      </c>
      <c r="E431" s="43" t="s">
        <v>99</v>
      </c>
      <c r="F431" s="39" t="s">
        <v>149</v>
      </c>
    </row>
    <row r="432">
      <c r="A432" s="39" t="s">
        <v>1255</v>
      </c>
      <c r="B432" s="39" t="s">
        <v>1256</v>
      </c>
      <c r="C432" s="40" t="s">
        <v>652</v>
      </c>
      <c r="D432" s="39" t="s">
        <v>1257</v>
      </c>
      <c r="E432" s="40" t="s">
        <v>99</v>
      </c>
      <c r="F432" s="39" t="s">
        <v>353</v>
      </c>
    </row>
    <row r="433">
      <c r="A433" s="39" t="s">
        <v>1258</v>
      </c>
      <c r="B433" s="39" t="s">
        <v>1259</v>
      </c>
      <c r="C433" s="40" t="s">
        <v>652</v>
      </c>
      <c r="D433" s="39" t="s">
        <v>1260</v>
      </c>
      <c r="E433" s="40" t="s">
        <v>99</v>
      </c>
      <c r="F433" s="39" t="s">
        <v>206</v>
      </c>
    </row>
    <row r="434">
      <c r="A434" s="39" t="s">
        <v>1261</v>
      </c>
      <c r="B434" s="39" t="s">
        <v>1262</v>
      </c>
      <c r="C434" s="40" t="s">
        <v>652</v>
      </c>
      <c r="D434" s="39" t="s">
        <v>1263</v>
      </c>
      <c r="E434" s="40" t="s">
        <v>99</v>
      </c>
      <c r="F434" s="39" t="s">
        <v>376</v>
      </c>
    </row>
    <row r="435">
      <c r="A435" s="39" t="s">
        <v>1264</v>
      </c>
      <c r="B435" s="39" t="s">
        <v>1265</v>
      </c>
      <c r="C435" s="40" t="s">
        <v>652</v>
      </c>
      <c r="D435" s="39" t="s">
        <v>1266</v>
      </c>
      <c r="E435" s="40" t="s">
        <v>99</v>
      </c>
      <c r="F435" s="39" t="s">
        <v>635</v>
      </c>
    </row>
    <row r="436">
      <c r="A436" s="39" t="s">
        <v>1267</v>
      </c>
      <c r="B436" s="39" t="s">
        <v>1268</v>
      </c>
      <c r="C436" s="40" t="s">
        <v>652</v>
      </c>
      <c r="D436" s="39" t="s">
        <v>1269</v>
      </c>
      <c r="E436" s="40" t="s">
        <v>99</v>
      </c>
      <c r="F436" s="39" t="s">
        <v>104</v>
      </c>
    </row>
    <row r="437">
      <c r="A437" s="39" t="s">
        <v>1270</v>
      </c>
      <c r="B437" s="43" t="s">
        <v>1271</v>
      </c>
      <c r="C437" s="40" t="s">
        <v>671</v>
      </c>
      <c r="D437" s="39" t="s">
        <v>1272</v>
      </c>
      <c r="E437" s="40" t="s">
        <v>99</v>
      </c>
      <c r="F437" s="39" t="s">
        <v>1273</v>
      </c>
    </row>
    <row r="438">
      <c r="A438" s="39" t="s">
        <v>1274</v>
      </c>
      <c r="B438" s="39" t="s">
        <v>1275</v>
      </c>
      <c r="C438" s="40" t="s">
        <v>652</v>
      </c>
      <c r="D438" s="39" t="s">
        <v>1276</v>
      </c>
      <c r="E438" s="40" t="s">
        <v>99</v>
      </c>
      <c r="F438" s="39" t="s">
        <v>206</v>
      </c>
    </row>
    <row r="439">
      <c r="A439" s="39" t="s">
        <v>1277</v>
      </c>
      <c r="B439" s="39" t="s">
        <v>1278</v>
      </c>
      <c r="C439" s="40" t="s">
        <v>652</v>
      </c>
      <c r="D439" s="39" t="s">
        <v>1279</v>
      </c>
      <c r="E439" s="40" t="s">
        <v>99</v>
      </c>
      <c r="F439" s="39" t="s">
        <v>206</v>
      </c>
    </row>
    <row r="440">
      <c r="A440" s="39" t="s">
        <v>1280</v>
      </c>
      <c r="B440" s="39" t="s">
        <v>1281</v>
      </c>
      <c r="C440" s="40" t="s">
        <v>652</v>
      </c>
      <c r="D440" s="39" t="s">
        <v>1282</v>
      </c>
      <c r="E440" s="40" t="s">
        <v>1283</v>
      </c>
      <c r="F440" s="39" t="s">
        <v>1284</v>
      </c>
    </row>
    <row r="441">
      <c r="A441" s="39" t="s">
        <v>1285</v>
      </c>
      <c r="B441" s="39" t="s">
        <v>1286</v>
      </c>
      <c r="C441" s="40" t="s">
        <v>652</v>
      </c>
      <c r="D441" s="39" t="s">
        <v>1287</v>
      </c>
      <c r="E441" s="40" t="s">
        <v>99</v>
      </c>
      <c r="F441" s="39" t="s">
        <v>186</v>
      </c>
    </row>
    <row r="442">
      <c r="A442" s="39" t="s">
        <v>1288</v>
      </c>
      <c r="B442" s="39" t="s">
        <v>1289</v>
      </c>
      <c r="C442" s="40" t="s">
        <v>652</v>
      </c>
      <c r="D442" s="39" t="s">
        <v>1290</v>
      </c>
      <c r="E442" s="40" t="s">
        <v>99</v>
      </c>
      <c r="F442" s="39" t="s">
        <v>186</v>
      </c>
    </row>
    <row r="443">
      <c r="A443" s="39" t="s">
        <v>1291</v>
      </c>
      <c r="B443" s="39" t="s">
        <v>1292</v>
      </c>
      <c r="C443" s="40" t="s">
        <v>652</v>
      </c>
      <c r="D443" s="39" t="s">
        <v>1293</v>
      </c>
      <c r="E443" s="40" t="s">
        <v>99</v>
      </c>
      <c r="F443" s="39" t="s">
        <v>186</v>
      </c>
    </row>
    <row r="444">
      <c r="A444" s="39" t="s">
        <v>1294</v>
      </c>
      <c r="B444" s="39" t="s">
        <v>1295</v>
      </c>
      <c r="C444" s="40" t="s">
        <v>652</v>
      </c>
      <c r="D444" s="42" t="s">
        <v>1296</v>
      </c>
      <c r="E444" s="40" t="s">
        <v>99</v>
      </c>
      <c r="F444" s="39" t="s">
        <v>186</v>
      </c>
    </row>
    <row r="445">
      <c r="A445" s="39" t="s">
        <v>1297</v>
      </c>
      <c r="B445" s="39" t="s">
        <v>1298</v>
      </c>
      <c r="C445" s="40" t="s">
        <v>652</v>
      </c>
      <c r="D445" s="39" t="s">
        <v>99</v>
      </c>
      <c r="E445" s="40" t="s">
        <v>99</v>
      </c>
      <c r="F445" s="39" t="s">
        <v>186</v>
      </c>
    </row>
    <row r="446">
      <c r="A446" s="39" t="s">
        <v>1299</v>
      </c>
      <c r="B446" s="39" t="s">
        <v>1300</v>
      </c>
      <c r="C446" s="40" t="s">
        <v>652</v>
      </c>
      <c r="D446" s="39" t="s">
        <v>1301</v>
      </c>
      <c r="E446" s="40" t="s">
        <v>99</v>
      </c>
      <c r="F446" s="39" t="s">
        <v>186</v>
      </c>
    </row>
    <row r="447">
      <c r="A447" s="39" t="s">
        <v>1302</v>
      </c>
      <c r="B447" s="39" t="s">
        <v>1303</v>
      </c>
      <c r="C447" s="40" t="s">
        <v>652</v>
      </c>
      <c r="D447" s="39" t="s">
        <v>1304</v>
      </c>
      <c r="E447" s="40" t="s">
        <v>99</v>
      </c>
      <c r="F447" s="39" t="s">
        <v>186</v>
      </c>
    </row>
    <row r="448">
      <c r="A448" s="39" t="s">
        <v>1305</v>
      </c>
      <c r="B448" s="39" t="s">
        <v>1306</v>
      </c>
      <c r="C448" s="40" t="s">
        <v>652</v>
      </c>
      <c r="D448" s="39" t="s">
        <v>1307</v>
      </c>
      <c r="E448" s="40" t="s">
        <v>99</v>
      </c>
      <c r="F448" s="39" t="s">
        <v>1308</v>
      </c>
    </row>
    <row r="449">
      <c r="A449" s="39" t="s">
        <v>1309</v>
      </c>
      <c r="B449" s="39" t="s">
        <v>1310</v>
      </c>
      <c r="C449" s="40" t="s">
        <v>671</v>
      </c>
      <c r="D449" s="39" t="s">
        <v>1311</v>
      </c>
      <c r="E449" s="40" t="s">
        <v>99</v>
      </c>
      <c r="F449" s="39" t="s">
        <v>104</v>
      </c>
    </row>
    <row r="450">
      <c r="A450" s="39" t="s">
        <v>1312</v>
      </c>
      <c r="B450" s="39" t="s">
        <v>1313</v>
      </c>
      <c r="C450" s="40" t="s">
        <v>652</v>
      </c>
      <c r="D450" s="39" t="s">
        <v>1314</v>
      </c>
      <c r="E450" s="40" t="s">
        <v>99</v>
      </c>
      <c r="F450" s="39" t="s">
        <v>109</v>
      </c>
    </row>
    <row r="451">
      <c r="A451" s="39" t="s">
        <v>1315</v>
      </c>
      <c r="B451" s="39" t="s">
        <v>1316</v>
      </c>
      <c r="C451" s="40" t="s">
        <v>652</v>
      </c>
      <c r="D451" s="39" t="s">
        <v>1317</v>
      </c>
      <c r="E451" s="40" t="s">
        <v>99</v>
      </c>
      <c r="F451" s="39" t="s">
        <v>186</v>
      </c>
    </row>
    <row r="452">
      <c r="A452" s="39" t="s">
        <v>1318</v>
      </c>
      <c r="B452" s="39" t="s">
        <v>1319</v>
      </c>
      <c r="C452" s="40" t="s">
        <v>652</v>
      </c>
      <c r="D452" s="39" t="s">
        <v>1320</v>
      </c>
      <c r="E452" s="40" t="s">
        <v>99</v>
      </c>
      <c r="F452" s="39" t="s">
        <v>206</v>
      </c>
    </row>
    <row r="453">
      <c r="A453" s="39" t="s">
        <v>1321</v>
      </c>
      <c r="B453" s="43" t="s">
        <v>1322</v>
      </c>
      <c r="C453" s="40" t="s">
        <v>671</v>
      </c>
      <c r="D453" s="43" t="s">
        <v>1323</v>
      </c>
      <c r="E453" s="43" t="s">
        <v>99</v>
      </c>
      <c r="F453" s="39" t="s">
        <v>206</v>
      </c>
    </row>
    <row r="454">
      <c r="A454" s="39" t="s">
        <v>1324</v>
      </c>
      <c r="B454" s="43" t="s">
        <v>1325</v>
      </c>
      <c r="C454" s="40" t="s">
        <v>671</v>
      </c>
      <c r="D454" s="39" t="s">
        <v>1326</v>
      </c>
      <c r="E454" s="43" t="s">
        <v>99</v>
      </c>
      <c r="F454" s="39" t="s">
        <v>206</v>
      </c>
    </row>
    <row r="455">
      <c r="A455" s="39" t="s">
        <v>1327</v>
      </c>
      <c r="B455" s="39" t="s">
        <v>1328</v>
      </c>
      <c r="C455" s="40" t="s">
        <v>652</v>
      </c>
      <c r="D455" s="39" t="s">
        <v>1329</v>
      </c>
      <c r="E455" s="40" t="s">
        <v>99</v>
      </c>
      <c r="F455" s="39" t="s">
        <v>186</v>
      </c>
    </row>
    <row r="456">
      <c r="A456" s="39" t="s">
        <v>1330</v>
      </c>
      <c r="B456" s="39" t="s">
        <v>1331</v>
      </c>
      <c r="C456" s="40" t="s">
        <v>652</v>
      </c>
      <c r="D456" s="39" t="s">
        <v>1332</v>
      </c>
      <c r="E456" s="40" t="s">
        <v>99</v>
      </c>
      <c r="F456" s="39" t="s">
        <v>1333</v>
      </c>
    </row>
    <row r="457">
      <c r="A457" s="39" t="s">
        <v>1334</v>
      </c>
      <c r="B457" s="39" t="s">
        <v>1335</v>
      </c>
      <c r="C457" s="40" t="s">
        <v>652</v>
      </c>
      <c r="D457" s="39" t="s">
        <v>99</v>
      </c>
      <c r="E457" s="40" t="s">
        <v>99</v>
      </c>
      <c r="F457" s="39" t="s">
        <v>186</v>
      </c>
    </row>
    <row r="458">
      <c r="A458" s="39" t="s">
        <v>1336</v>
      </c>
      <c r="B458" s="39" t="s">
        <v>1337</v>
      </c>
      <c r="C458" s="40" t="s">
        <v>652</v>
      </c>
      <c r="D458" s="39" t="s">
        <v>1338</v>
      </c>
      <c r="E458" s="40" t="s">
        <v>99</v>
      </c>
      <c r="F458" s="39" t="s">
        <v>104</v>
      </c>
    </row>
    <row r="459">
      <c r="A459" s="39" t="s">
        <v>1339</v>
      </c>
      <c r="B459" s="39" t="s">
        <v>1340</v>
      </c>
      <c r="C459" s="40" t="s">
        <v>652</v>
      </c>
      <c r="D459" s="39" t="s">
        <v>99</v>
      </c>
      <c r="E459" s="40" t="s">
        <v>99</v>
      </c>
      <c r="F459" s="39" t="s">
        <v>104</v>
      </c>
    </row>
    <row r="460">
      <c r="A460" s="39" t="s">
        <v>1341</v>
      </c>
      <c r="B460" s="39" t="s">
        <v>1342</v>
      </c>
      <c r="C460" s="40" t="s">
        <v>652</v>
      </c>
      <c r="D460" s="39" t="s">
        <v>1343</v>
      </c>
      <c r="E460" s="40" t="s">
        <v>99</v>
      </c>
      <c r="F460" s="39" t="s">
        <v>104</v>
      </c>
    </row>
    <row r="461">
      <c r="A461" s="39" t="s">
        <v>1344</v>
      </c>
      <c r="B461" s="39" t="s">
        <v>1345</v>
      </c>
      <c r="C461" s="40" t="s">
        <v>652</v>
      </c>
      <c r="D461" s="39" t="s">
        <v>99</v>
      </c>
      <c r="E461" s="40" t="s">
        <v>99</v>
      </c>
      <c r="F461" s="39" t="s">
        <v>104</v>
      </c>
    </row>
    <row r="462">
      <c r="A462" s="39" t="s">
        <v>1346</v>
      </c>
      <c r="B462" s="39" t="s">
        <v>1347</v>
      </c>
      <c r="C462" s="40" t="s">
        <v>652</v>
      </c>
      <c r="D462" s="39" t="s">
        <v>99</v>
      </c>
      <c r="E462" s="40" t="s">
        <v>99</v>
      </c>
      <c r="F462" s="39" t="s">
        <v>104</v>
      </c>
    </row>
    <row r="463">
      <c r="A463" s="39" t="s">
        <v>1348</v>
      </c>
      <c r="B463" s="39" t="s">
        <v>1349</v>
      </c>
      <c r="C463" s="40" t="s">
        <v>652</v>
      </c>
      <c r="D463" s="39" t="s">
        <v>99</v>
      </c>
      <c r="E463" s="40" t="s">
        <v>99</v>
      </c>
      <c r="F463" s="39" t="s">
        <v>104</v>
      </c>
    </row>
    <row r="464">
      <c r="A464" s="39" t="s">
        <v>1350</v>
      </c>
      <c r="B464" s="39" t="s">
        <v>1351</v>
      </c>
      <c r="C464" s="40" t="s">
        <v>652</v>
      </c>
      <c r="D464" s="39" t="s">
        <v>99</v>
      </c>
      <c r="E464" s="40" t="s">
        <v>99</v>
      </c>
      <c r="F464" s="39" t="s">
        <v>104</v>
      </c>
    </row>
    <row r="465">
      <c r="A465" s="39" t="s">
        <v>1352</v>
      </c>
      <c r="B465" s="39" t="s">
        <v>1353</v>
      </c>
      <c r="C465" s="40" t="s">
        <v>652</v>
      </c>
      <c r="D465" s="39" t="s">
        <v>1354</v>
      </c>
      <c r="E465" s="40" t="s">
        <v>99</v>
      </c>
      <c r="F465" s="39" t="s">
        <v>499</v>
      </c>
    </row>
    <row r="466">
      <c r="A466" s="39" t="s">
        <v>1355</v>
      </c>
      <c r="B466" s="43" t="s">
        <v>1356</v>
      </c>
      <c r="C466" s="40" t="s">
        <v>671</v>
      </c>
      <c r="D466" s="43" t="s">
        <v>1357</v>
      </c>
      <c r="E466" s="43" t="s">
        <v>99</v>
      </c>
      <c r="F466" s="39" t="s">
        <v>104</v>
      </c>
    </row>
    <row r="467">
      <c r="A467" s="39" t="s">
        <v>1358</v>
      </c>
      <c r="B467" s="39" t="s">
        <v>1359</v>
      </c>
      <c r="C467" s="40" t="s">
        <v>652</v>
      </c>
      <c r="D467" s="39" t="s">
        <v>1360</v>
      </c>
      <c r="E467" s="40" t="s">
        <v>99</v>
      </c>
      <c r="F467" s="39" t="s">
        <v>1361</v>
      </c>
    </row>
    <row r="468">
      <c r="A468" s="39" t="s">
        <v>1362</v>
      </c>
      <c r="B468" s="39" t="s">
        <v>1363</v>
      </c>
      <c r="C468" s="40" t="s">
        <v>652</v>
      </c>
      <c r="D468" s="39" t="s">
        <v>1364</v>
      </c>
      <c r="E468" s="40" t="s">
        <v>99</v>
      </c>
      <c r="F468" s="39" t="s">
        <v>1361</v>
      </c>
    </row>
    <row r="469">
      <c r="A469" s="39" t="s">
        <v>1365</v>
      </c>
      <c r="B469" s="39" t="s">
        <v>1366</v>
      </c>
      <c r="C469" s="40" t="s">
        <v>652</v>
      </c>
      <c r="D469" s="39" t="s">
        <v>1367</v>
      </c>
      <c r="E469" s="40" t="s">
        <v>99</v>
      </c>
      <c r="F469" s="39" t="s">
        <v>104</v>
      </c>
    </row>
    <row r="470">
      <c r="A470" s="39" t="s">
        <v>1368</v>
      </c>
      <c r="B470" s="39" t="s">
        <v>1369</v>
      </c>
      <c r="C470" s="40" t="s">
        <v>652</v>
      </c>
      <c r="D470" s="39" t="s">
        <v>1370</v>
      </c>
      <c r="E470" s="40" t="s">
        <v>99</v>
      </c>
      <c r="F470" s="39" t="s">
        <v>529</v>
      </c>
    </row>
    <row r="471">
      <c r="A471" s="39" t="s">
        <v>1371</v>
      </c>
      <c r="B471" s="43" t="s">
        <v>1372</v>
      </c>
      <c r="C471" s="40" t="s">
        <v>671</v>
      </c>
      <c r="D471" s="39" t="s">
        <v>1373</v>
      </c>
      <c r="E471" s="43" t="s">
        <v>99</v>
      </c>
      <c r="F471" s="39" t="s">
        <v>265</v>
      </c>
    </row>
    <row r="472">
      <c r="A472" s="39" t="s">
        <v>1374</v>
      </c>
      <c r="B472" s="39" t="s">
        <v>1375</v>
      </c>
      <c r="C472" s="40" t="s">
        <v>652</v>
      </c>
      <c r="D472" s="39" t="s">
        <v>1376</v>
      </c>
      <c r="E472" s="40" t="s">
        <v>99</v>
      </c>
      <c r="F472" s="39" t="s">
        <v>433</v>
      </c>
    </row>
    <row r="473">
      <c r="A473" s="39" t="s">
        <v>1377</v>
      </c>
      <c r="B473" s="39" t="s">
        <v>1378</v>
      </c>
      <c r="C473" s="40" t="s">
        <v>652</v>
      </c>
      <c r="D473" s="39" t="s">
        <v>1379</v>
      </c>
      <c r="E473" s="40" t="s">
        <v>99</v>
      </c>
      <c r="F473" s="39" t="s">
        <v>1195</v>
      </c>
    </row>
    <row r="474">
      <c r="A474" s="39" t="s">
        <v>1380</v>
      </c>
      <c r="B474" s="39" t="s">
        <v>1381</v>
      </c>
      <c r="C474" s="40" t="s">
        <v>652</v>
      </c>
      <c r="D474" s="39" t="s">
        <v>1382</v>
      </c>
      <c r="E474" s="40" t="s">
        <v>99</v>
      </c>
      <c r="F474" s="39" t="s">
        <v>1195</v>
      </c>
    </row>
    <row r="475">
      <c r="A475" s="39" t="s">
        <v>1383</v>
      </c>
      <c r="B475" s="39" t="s">
        <v>1384</v>
      </c>
      <c r="C475" s="40" t="s">
        <v>652</v>
      </c>
      <c r="D475" s="39" t="s">
        <v>1385</v>
      </c>
      <c r="E475" s="40" t="s">
        <v>99</v>
      </c>
      <c r="F475" s="39" t="s">
        <v>1308</v>
      </c>
    </row>
    <row r="476">
      <c r="A476" s="39" t="s">
        <v>1386</v>
      </c>
      <c r="B476" s="39" t="s">
        <v>1387</v>
      </c>
      <c r="C476" s="40" t="s">
        <v>671</v>
      </c>
      <c r="D476" s="39" t="s">
        <v>1388</v>
      </c>
      <c r="E476" s="40" t="s">
        <v>99</v>
      </c>
      <c r="F476" s="39" t="s">
        <v>463</v>
      </c>
    </row>
    <row r="477">
      <c r="A477" s="39" t="s">
        <v>1389</v>
      </c>
      <c r="B477" s="39" t="s">
        <v>1390</v>
      </c>
      <c r="C477" s="40" t="s">
        <v>652</v>
      </c>
      <c r="D477" s="39" t="s">
        <v>1391</v>
      </c>
      <c r="E477" s="40" t="s">
        <v>99</v>
      </c>
      <c r="F477" s="39" t="s">
        <v>997</v>
      </c>
    </row>
    <row r="478">
      <c r="A478" s="39" t="s">
        <v>1392</v>
      </c>
      <c r="B478" s="39" t="s">
        <v>1393</v>
      </c>
      <c r="C478" s="40" t="s">
        <v>652</v>
      </c>
      <c r="D478" s="39" t="s">
        <v>1394</v>
      </c>
      <c r="E478" s="40" t="s">
        <v>99</v>
      </c>
      <c r="F478" s="39" t="s">
        <v>140</v>
      </c>
    </row>
    <row r="479">
      <c r="A479" s="39" t="s">
        <v>1395</v>
      </c>
      <c r="B479" s="39" t="s">
        <v>1396</v>
      </c>
      <c r="C479" s="40" t="s">
        <v>652</v>
      </c>
      <c r="D479" s="39" t="s">
        <v>1397</v>
      </c>
      <c r="E479" s="43" t="s">
        <v>99</v>
      </c>
      <c r="F479" s="39" t="s">
        <v>140</v>
      </c>
    </row>
    <row r="480">
      <c r="A480" s="39" t="s">
        <v>1398</v>
      </c>
      <c r="B480" s="39" t="s">
        <v>1399</v>
      </c>
      <c r="C480" s="40" t="s">
        <v>671</v>
      </c>
      <c r="D480" s="39" t="s">
        <v>1400</v>
      </c>
      <c r="E480" s="43" t="s">
        <v>99</v>
      </c>
      <c r="F480" s="39" t="s">
        <v>499</v>
      </c>
    </row>
    <row r="481">
      <c r="A481" s="39" t="s">
        <v>1401</v>
      </c>
      <c r="B481" s="39" t="s">
        <v>1402</v>
      </c>
      <c r="C481" s="40" t="s">
        <v>671</v>
      </c>
      <c r="D481" s="43" t="s">
        <v>99</v>
      </c>
      <c r="E481" s="43" t="s">
        <v>99</v>
      </c>
      <c r="F481" s="39" t="s">
        <v>499</v>
      </c>
    </row>
    <row r="482">
      <c r="A482" s="39" t="s">
        <v>1403</v>
      </c>
      <c r="B482" s="39" t="s">
        <v>1404</v>
      </c>
      <c r="C482" s="40" t="s">
        <v>652</v>
      </c>
      <c r="D482" s="39" t="s">
        <v>99</v>
      </c>
      <c r="E482" s="43" t="s">
        <v>99</v>
      </c>
      <c r="F482" s="39" t="s">
        <v>99</v>
      </c>
    </row>
    <row r="483">
      <c r="A483" s="39" t="s">
        <v>1405</v>
      </c>
      <c r="B483" s="39" t="s">
        <v>1406</v>
      </c>
      <c r="C483" s="40" t="s">
        <v>652</v>
      </c>
      <c r="D483" s="39" t="s">
        <v>1407</v>
      </c>
      <c r="E483" s="40" t="s">
        <v>99</v>
      </c>
      <c r="F483" s="39" t="s">
        <v>608</v>
      </c>
    </row>
    <row r="484">
      <c r="A484" s="39" t="s">
        <v>1408</v>
      </c>
      <c r="B484" s="39" t="s">
        <v>1409</v>
      </c>
      <c r="C484" s="40" t="s">
        <v>652</v>
      </c>
      <c r="D484" s="39" t="s">
        <v>1410</v>
      </c>
      <c r="E484" s="40" t="s">
        <v>99</v>
      </c>
      <c r="F484" s="39" t="s">
        <v>608</v>
      </c>
    </row>
    <row r="485">
      <c r="A485" s="39" t="s">
        <v>1411</v>
      </c>
      <c r="B485" s="39" t="s">
        <v>1412</v>
      </c>
      <c r="C485" s="40" t="s">
        <v>652</v>
      </c>
      <c r="D485" s="39" t="s">
        <v>1413</v>
      </c>
      <c r="E485" s="40" t="s">
        <v>99</v>
      </c>
      <c r="F485" s="39" t="s">
        <v>1414</v>
      </c>
    </row>
    <row r="486">
      <c r="A486" s="39" t="s">
        <v>1415</v>
      </c>
      <c r="B486" s="39" t="s">
        <v>1416</v>
      </c>
      <c r="C486" s="40" t="s">
        <v>652</v>
      </c>
      <c r="D486" s="39" t="s">
        <v>1417</v>
      </c>
      <c r="E486" s="40" t="s">
        <v>99</v>
      </c>
      <c r="F486" s="39" t="s">
        <v>1414</v>
      </c>
    </row>
    <row r="487">
      <c r="A487" s="39" t="s">
        <v>1418</v>
      </c>
      <c r="B487" s="39" t="s">
        <v>1419</v>
      </c>
      <c r="C487" s="40" t="s">
        <v>652</v>
      </c>
      <c r="D487" s="39" t="s">
        <v>1420</v>
      </c>
      <c r="E487" s="40" t="s">
        <v>99</v>
      </c>
      <c r="F487" s="39" t="s">
        <v>1414</v>
      </c>
    </row>
    <row r="488">
      <c r="A488" s="39" t="s">
        <v>1421</v>
      </c>
      <c r="B488" s="39" t="s">
        <v>1422</v>
      </c>
      <c r="C488" s="40" t="s">
        <v>652</v>
      </c>
      <c r="D488" s="39" t="s">
        <v>1423</v>
      </c>
      <c r="E488" s="40" t="s">
        <v>99</v>
      </c>
      <c r="F488" s="39" t="s">
        <v>1414</v>
      </c>
    </row>
    <row r="489">
      <c r="A489" s="39" t="s">
        <v>1424</v>
      </c>
      <c r="B489" s="39" t="s">
        <v>1425</v>
      </c>
      <c r="C489" s="40" t="s">
        <v>652</v>
      </c>
      <c r="D489" s="39" t="s">
        <v>1426</v>
      </c>
      <c r="E489" s="40" t="s">
        <v>99</v>
      </c>
      <c r="F489" s="39" t="s">
        <v>1414</v>
      </c>
    </row>
    <row r="490">
      <c r="A490" s="39" t="s">
        <v>1427</v>
      </c>
      <c r="B490" s="39" t="s">
        <v>1428</v>
      </c>
      <c r="C490" s="40" t="s">
        <v>652</v>
      </c>
      <c r="D490" s="39" t="s">
        <v>1429</v>
      </c>
      <c r="E490" s="40" t="s">
        <v>99</v>
      </c>
      <c r="F490" s="39" t="s">
        <v>608</v>
      </c>
    </row>
    <row r="491">
      <c r="A491" s="39" t="s">
        <v>1430</v>
      </c>
      <c r="B491" s="39" t="s">
        <v>1431</v>
      </c>
      <c r="C491" s="40" t="s">
        <v>652</v>
      </c>
      <c r="D491" s="39" t="s">
        <v>1432</v>
      </c>
      <c r="E491" s="40" t="s">
        <v>99</v>
      </c>
      <c r="F491" s="39" t="s">
        <v>608</v>
      </c>
    </row>
    <row r="492">
      <c r="A492" s="39" t="s">
        <v>1433</v>
      </c>
      <c r="B492" s="39" t="s">
        <v>1434</v>
      </c>
      <c r="C492" s="40" t="s">
        <v>652</v>
      </c>
      <c r="D492" s="39" t="s">
        <v>1435</v>
      </c>
      <c r="E492" s="40" t="s">
        <v>99</v>
      </c>
      <c r="F492" s="39" t="s">
        <v>608</v>
      </c>
    </row>
    <row r="493">
      <c r="A493" s="39" t="s">
        <v>1436</v>
      </c>
      <c r="B493" s="39" t="s">
        <v>1437</v>
      </c>
      <c r="C493" s="40" t="s">
        <v>671</v>
      </c>
      <c r="D493" s="39" t="s">
        <v>1438</v>
      </c>
      <c r="E493" s="40" t="s">
        <v>99</v>
      </c>
      <c r="F493" s="39" t="s">
        <v>269</v>
      </c>
    </row>
    <row r="494">
      <c r="A494" s="39" t="s">
        <v>1439</v>
      </c>
      <c r="B494" s="39" t="s">
        <v>1440</v>
      </c>
      <c r="C494" s="40" t="s">
        <v>652</v>
      </c>
      <c r="D494" s="39" t="s">
        <v>1441</v>
      </c>
      <c r="E494" s="40" t="s">
        <v>1442</v>
      </c>
      <c r="F494" s="39" t="s">
        <v>1443</v>
      </c>
    </row>
    <row r="495">
      <c r="A495" s="39" t="s">
        <v>1444</v>
      </c>
      <c r="B495" s="39" t="s">
        <v>1445</v>
      </c>
      <c r="C495" s="40" t="s">
        <v>652</v>
      </c>
      <c r="D495" s="39" t="s">
        <v>1446</v>
      </c>
      <c r="E495" s="40" t="s">
        <v>99</v>
      </c>
      <c r="F495" s="39" t="s">
        <v>202</v>
      </c>
    </row>
    <row r="496">
      <c r="A496" s="39" t="s">
        <v>1447</v>
      </c>
      <c r="B496" s="43" t="s">
        <v>1448</v>
      </c>
      <c r="C496" s="40" t="s">
        <v>652</v>
      </c>
      <c r="D496" s="39" t="s">
        <v>1449</v>
      </c>
      <c r="E496" s="40" t="s">
        <v>99</v>
      </c>
      <c r="F496" s="39" t="s">
        <v>202</v>
      </c>
    </row>
    <row r="497">
      <c r="A497" s="39" t="s">
        <v>1450</v>
      </c>
      <c r="B497" s="43" t="s">
        <v>1451</v>
      </c>
      <c r="C497" s="40" t="s">
        <v>652</v>
      </c>
      <c r="D497" s="39" t="s">
        <v>1452</v>
      </c>
      <c r="E497" s="40" t="s">
        <v>99</v>
      </c>
      <c r="F497" s="39" t="s">
        <v>202</v>
      </c>
    </row>
    <row r="498">
      <c r="A498" s="42" t="s">
        <v>1453</v>
      </c>
      <c r="B498" s="43" t="s">
        <v>1454</v>
      </c>
      <c r="C498" s="40" t="s">
        <v>671</v>
      </c>
      <c r="D498" s="43" t="s">
        <v>99</v>
      </c>
      <c r="E498" s="43" t="s">
        <v>99</v>
      </c>
      <c r="F498" s="42" t="s">
        <v>149</v>
      </c>
    </row>
    <row r="499">
      <c r="A499" s="39" t="s">
        <v>1455</v>
      </c>
      <c r="B499" s="39" t="s">
        <v>1456</v>
      </c>
      <c r="C499" s="40" t="s">
        <v>652</v>
      </c>
      <c r="D499" s="39" t="s">
        <v>1457</v>
      </c>
      <c r="E499" s="40" t="s">
        <v>99</v>
      </c>
      <c r="F499" s="39" t="s">
        <v>692</v>
      </c>
    </row>
    <row r="500">
      <c r="A500" s="39" t="s">
        <v>1458</v>
      </c>
      <c r="B500" s="39" t="s">
        <v>1459</v>
      </c>
      <c r="C500" s="40" t="s">
        <v>671</v>
      </c>
      <c r="D500" s="39" t="s">
        <v>99</v>
      </c>
      <c r="E500" s="40" t="s">
        <v>99</v>
      </c>
      <c r="F500" s="39" t="s">
        <v>104</v>
      </c>
    </row>
    <row r="501">
      <c r="A501" s="39" t="s">
        <v>1460</v>
      </c>
      <c r="B501" s="39" t="s">
        <v>1461</v>
      </c>
      <c r="C501" s="46"/>
      <c r="D501" s="46"/>
      <c r="E501" s="46"/>
      <c r="F501" s="46"/>
    </row>
    <row r="502">
      <c r="A502" s="39" t="s">
        <v>1462</v>
      </c>
      <c r="B502" s="39" t="s">
        <v>1463</v>
      </c>
      <c r="C502" s="40" t="s">
        <v>652</v>
      </c>
      <c r="D502" s="39" t="s">
        <v>1464</v>
      </c>
      <c r="E502" s="40" t="s">
        <v>99</v>
      </c>
      <c r="F502" s="39" t="s">
        <v>1191</v>
      </c>
    </row>
    <row r="503">
      <c r="A503" s="39" t="s">
        <v>1465</v>
      </c>
      <c r="B503" s="43" t="s">
        <v>1466</v>
      </c>
      <c r="C503" s="40" t="s">
        <v>671</v>
      </c>
      <c r="D503" s="39" t="s">
        <v>99</v>
      </c>
      <c r="E503" s="40" t="s">
        <v>99</v>
      </c>
      <c r="F503" s="39" t="s">
        <v>408</v>
      </c>
    </row>
    <row r="504">
      <c r="A504" s="39" t="s">
        <v>1467</v>
      </c>
      <c r="B504" s="43" t="s">
        <v>1468</v>
      </c>
      <c r="C504" s="40" t="s">
        <v>652</v>
      </c>
      <c r="D504" s="39" t="s">
        <v>1469</v>
      </c>
      <c r="E504" s="40" t="s">
        <v>99</v>
      </c>
      <c r="F504" s="39" t="s">
        <v>408</v>
      </c>
    </row>
    <row r="505">
      <c r="A505" s="39" t="s">
        <v>1470</v>
      </c>
      <c r="B505" s="39" t="s">
        <v>1471</v>
      </c>
      <c r="C505" s="40" t="s">
        <v>671</v>
      </c>
      <c r="D505" s="39" t="s">
        <v>1472</v>
      </c>
      <c r="E505" s="40" t="s">
        <v>99</v>
      </c>
      <c r="F505" s="39" t="s">
        <v>104</v>
      </c>
    </row>
    <row r="506">
      <c r="A506" s="39" t="s">
        <v>1473</v>
      </c>
      <c r="B506" s="39" t="s">
        <v>1474</v>
      </c>
      <c r="C506" s="40" t="s">
        <v>652</v>
      </c>
      <c r="D506" s="39" t="s">
        <v>1475</v>
      </c>
      <c r="E506" s="40" t="s">
        <v>99</v>
      </c>
      <c r="F506" s="39" t="s">
        <v>1476</v>
      </c>
    </row>
    <row r="507">
      <c r="A507" s="39" t="s">
        <v>1477</v>
      </c>
      <c r="B507" s="43" t="s">
        <v>1478</v>
      </c>
      <c r="C507" s="40" t="s">
        <v>671</v>
      </c>
      <c r="D507" s="43" t="s">
        <v>1479</v>
      </c>
      <c r="E507" s="43" t="s">
        <v>99</v>
      </c>
      <c r="F507" s="39" t="s">
        <v>265</v>
      </c>
    </row>
    <row r="508">
      <c r="A508" s="39" t="s">
        <v>1480</v>
      </c>
      <c r="B508" s="43" t="s">
        <v>1481</v>
      </c>
      <c r="C508" s="40" t="s">
        <v>671</v>
      </c>
      <c r="D508" s="43" t="s">
        <v>1482</v>
      </c>
      <c r="E508" s="43" t="s">
        <v>99</v>
      </c>
      <c r="F508" s="39" t="s">
        <v>265</v>
      </c>
    </row>
    <row r="509">
      <c r="A509" s="39" t="s">
        <v>1483</v>
      </c>
      <c r="B509" s="43" t="s">
        <v>1484</v>
      </c>
      <c r="C509" s="40" t="s">
        <v>652</v>
      </c>
      <c r="D509" s="43" t="s">
        <v>1485</v>
      </c>
      <c r="E509" s="43" t="s">
        <v>99</v>
      </c>
      <c r="F509" s="39" t="s">
        <v>889</v>
      </c>
    </row>
    <row r="510">
      <c r="A510" s="39" t="s">
        <v>1486</v>
      </c>
      <c r="B510" s="39" t="s">
        <v>1487</v>
      </c>
      <c r="C510" s="40" t="s">
        <v>652</v>
      </c>
      <c r="D510" s="39" t="s">
        <v>1488</v>
      </c>
      <c r="E510" s="40" t="s">
        <v>99</v>
      </c>
      <c r="F510" s="39" t="s">
        <v>889</v>
      </c>
    </row>
    <row r="511">
      <c r="A511" s="42" t="s">
        <v>1489</v>
      </c>
      <c r="B511" s="39" t="s">
        <v>1490</v>
      </c>
      <c r="C511" s="40" t="s">
        <v>671</v>
      </c>
      <c r="D511" s="39" t="s">
        <v>1491</v>
      </c>
      <c r="E511" s="40" t="s">
        <v>99</v>
      </c>
      <c r="F511" s="39" t="s">
        <v>889</v>
      </c>
    </row>
    <row r="512">
      <c r="A512" s="39" t="s">
        <v>1492</v>
      </c>
      <c r="B512" s="39" t="s">
        <v>1493</v>
      </c>
      <c r="C512" s="40" t="s">
        <v>652</v>
      </c>
      <c r="D512" s="39" t="s">
        <v>1488</v>
      </c>
      <c r="E512" s="40" t="s">
        <v>1494</v>
      </c>
      <c r="F512" s="39" t="s">
        <v>889</v>
      </c>
    </row>
    <row r="513">
      <c r="A513" s="39" t="s">
        <v>1495</v>
      </c>
      <c r="B513" s="39" t="s">
        <v>1496</v>
      </c>
      <c r="C513" s="40" t="s">
        <v>652</v>
      </c>
      <c r="D513" s="39" t="s">
        <v>1497</v>
      </c>
      <c r="E513" s="40" t="s">
        <v>99</v>
      </c>
      <c r="F513" s="39" t="s">
        <v>889</v>
      </c>
    </row>
    <row r="514">
      <c r="A514" s="39" t="s">
        <v>1498</v>
      </c>
      <c r="B514" s="39" t="s">
        <v>1499</v>
      </c>
      <c r="C514" s="40" t="s">
        <v>652</v>
      </c>
      <c r="D514" s="39" t="s">
        <v>1500</v>
      </c>
      <c r="E514" s="40" t="s">
        <v>1501</v>
      </c>
      <c r="F514" s="39" t="s">
        <v>104</v>
      </c>
    </row>
    <row r="515">
      <c r="A515" s="39" t="s">
        <v>1502</v>
      </c>
      <c r="B515" s="39" t="s">
        <v>1503</v>
      </c>
      <c r="C515" s="40" t="s">
        <v>652</v>
      </c>
      <c r="D515" s="39" t="s">
        <v>1504</v>
      </c>
      <c r="E515" s="40" t="s">
        <v>99</v>
      </c>
      <c r="F515" s="39" t="s">
        <v>889</v>
      </c>
    </row>
    <row r="516">
      <c r="A516" s="39" t="s">
        <v>1505</v>
      </c>
      <c r="B516" s="39" t="s">
        <v>1506</v>
      </c>
      <c r="C516" s="40" t="s">
        <v>671</v>
      </c>
      <c r="D516" s="39" t="s">
        <v>1507</v>
      </c>
      <c r="E516" s="40" t="s">
        <v>99</v>
      </c>
      <c r="F516" s="39" t="s">
        <v>104</v>
      </c>
    </row>
    <row r="517">
      <c r="A517" s="39" t="s">
        <v>1508</v>
      </c>
      <c r="B517" s="39" t="s">
        <v>1509</v>
      </c>
      <c r="C517" s="40" t="s">
        <v>671</v>
      </c>
      <c r="D517" s="39" t="s">
        <v>1510</v>
      </c>
      <c r="E517" s="40" t="s">
        <v>99</v>
      </c>
      <c r="F517" s="39" t="s">
        <v>104</v>
      </c>
    </row>
    <row r="518">
      <c r="A518" s="39" t="s">
        <v>1511</v>
      </c>
      <c r="B518" s="39" t="s">
        <v>1512</v>
      </c>
      <c r="C518" s="40" t="s">
        <v>671</v>
      </c>
      <c r="D518" s="39" t="s">
        <v>1510</v>
      </c>
      <c r="E518" s="40" t="s">
        <v>1513</v>
      </c>
      <c r="F518" s="39" t="s">
        <v>104</v>
      </c>
    </row>
    <row r="519">
      <c r="A519" s="39" t="s">
        <v>1514</v>
      </c>
      <c r="B519" s="39" t="s">
        <v>1515</v>
      </c>
      <c r="C519" s="40" t="s">
        <v>671</v>
      </c>
      <c r="D519" s="39" t="s">
        <v>1516</v>
      </c>
      <c r="E519" s="40" t="s">
        <v>99</v>
      </c>
      <c r="F519" s="39" t="s">
        <v>109</v>
      </c>
    </row>
    <row r="520">
      <c r="A520" s="39" t="s">
        <v>1517</v>
      </c>
      <c r="B520" s="39" t="s">
        <v>1518</v>
      </c>
      <c r="C520" s="40" t="s">
        <v>652</v>
      </c>
      <c r="D520" s="39" t="s">
        <v>1519</v>
      </c>
      <c r="E520" s="40" t="s">
        <v>1520</v>
      </c>
      <c r="F520" s="39" t="s">
        <v>608</v>
      </c>
    </row>
    <row r="521">
      <c r="A521" s="39" t="s">
        <v>1521</v>
      </c>
      <c r="B521" s="39" t="s">
        <v>1522</v>
      </c>
      <c r="C521" s="40" t="s">
        <v>652</v>
      </c>
      <c r="D521" s="39" t="s">
        <v>1519</v>
      </c>
      <c r="E521" s="40" t="s">
        <v>99</v>
      </c>
      <c r="F521" s="39" t="s">
        <v>608</v>
      </c>
    </row>
    <row r="522">
      <c r="A522" s="39" t="s">
        <v>1523</v>
      </c>
      <c r="B522" s="39" t="s">
        <v>1524</v>
      </c>
      <c r="C522" s="40" t="s">
        <v>652</v>
      </c>
      <c r="D522" s="39" t="s">
        <v>1525</v>
      </c>
      <c r="E522" s="40" t="s">
        <v>99</v>
      </c>
      <c r="F522" s="39" t="s">
        <v>104</v>
      </c>
    </row>
    <row r="523">
      <c r="A523" s="39" t="s">
        <v>1526</v>
      </c>
      <c r="B523" s="43" t="s">
        <v>1527</v>
      </c>
      <c r="C523" s="40" t="s">
        <v>652</v>
      </c>
      <c r="D523" s="39" t="s">
        <v>1528</v>
      </c>
      <c r="E523" s="40" t="s">
        <v>99</v>
      </c>
      <c r="F523" s="39" t="s">
        <v>104</v>
      </c>
    </row>
    <row r="524">
      <c r="A524" s="39" t="s">
        <v>1529</v>
      </c>
      <c r="B524" s="39" t="s">
        <v>1530</v>
      </c>
      <c r="C524" s="40" t="s">
        <v>652</v>
      </c>
      <c r="D524" s="39" t="s">
        <v>1531</v>
      </c>
      <c r="E524" s="40" t="s">
        <v>99</v>
      </c>
      <c r="F524" s="39" t="s">
        <v>104</v>
      </c>
    </row>
    <row r="525">
      <c r="A525" s="39" t="s">
        <v>1532</v>
      </c>
      <c r="B525" s="39" t="s">
        <v>1533</v>
      </c>
      <c r="C525" s="40" t="s">
        <v>671</v>
      </c>
      <c r="D525" s="39" t="s">
        <v>1534</v>
      </c>
      <c r="E525" s="40" t="s">
        <v>99</v>
      </c>
      <c r="F525" s="39" t="s">
        <v>408</v>
      </c>
    </row>
    <row r="526">
      <c r="A526" s="39" t="s">
        <v>1535</v>
      </c>
      <c r="B526" s="43" t="s">
        <v>1536</v>
      </c>
      <c r="C526" s="40" t="s">
        <v>652</v>
      </c>
      <c r="D526" s="39" t="s">
        <v>1537</v>
      </c>
      <c r="E526" s="40" t="s">
        <v>99</v>
      </c>
      <c r="F526" s="39" t="s">
        <v>104</v>
      </c>
    </row>
    <row r="527">
      <c r="A527" s="39" t="s">
        <v>1535</v>
      </c>
      <c r="B527" s="39" t="s">
        <v>1536</v>
      </c>
      <c r="C527" s="40" t="s">
        <v>652</v>
      </c>
      <c r="D527" s="39" t="s">
        <v>1525</v>
      </c>
      <c r="E527" s="40" t="s">
        <v>1538</v>
      </c>
      <c r="F527" s="39" t="s">
        <v>104</v>
      </c>
    </row>
    <row r="528">
      <c r="A528" s="39" t="s">
        <v>1539</v>
      </c>
      <c r="B528" s="39" t="s">
        <v>1540</v>
      </c>
      <c r="C528" s="40" t="s">
        <v>652</v>
      </c>
      <c r="D528" s="39" t="s">
        <v>1541</v>
      </c>
      <c r="E528" s="40" t="s">
        <v>1542</v>
      </c>
      <c r="F528" s="39" t="s">
        <v>149</v>
      </c>
    </row>
    <row r="529">
      <c r="A529" s="39" t="s">
        <v>1543</v>
      </c>
      <c r="B529" s="43" t="s">
        <v>1544</v>
      </c>
      <c r="C529" s="40" t="s">
        <v>671</v>
      </c>
      <c r="D529" s="39" t="s">
        <v>1545</v>
      </c>
      <c r="E529" s="43" t="s">
        <v>99</v>
      </c>
      <c r="F529" s="39" t="s">
        <v>149</v>
      </c>
    </row>
    <row r="530">
      <c r="A530" s="39" t="s">
        <v>1546</v>
      </c>
      <c r="B530" s="39" t="s">
        <v>1547</v>
      </c>
      <c r="C530" s="40" t="s">
        <v>652</v>
      </c>
      <c r="D530" s="39" t="s">
        <v>1548</v>
      </c>
      <c r="E530" s="40" t="s">
        <v>1549</v>
      </c>
      <c r="F530" s="39" t="s">
        <v>149</v>
      </c>
    </row>
    <row r="531">
      <c r="A531" s="39" t="s">
        <v>1550</v>
      </c>
      <c r="B531" s="39" t="s">
        <v>1551</v>
      </c>
      <c r="C531" s="40" t="s">
        <v>671</v>
      </c>
      <c r="D531" s="39" t="s">
        <v>1552</v>
      </c>
      <c r="E531" s="40" t="s">
        <v>99</v>
      </c>
      <c r="F531" s="39" t="s">
        <v>1553</v>
      </c>
    </row>
    <row r="532">
      <c r="A532" s="39" t="s">
        <v>1554</v>
      </c>
      <c r="B532" s="43" t="s">
        <v>1555</v>
      </c>
      <c r="C532" s="40" t="s">
        <v>652</v>
      </c>
      <c r="D532" s="39" t="s">
        <v>1556</v>
      </c>
      <c r="E532" s="40" t="s">
        <v>99</v>
      </c>
      <c r="F532" s="39" t="s">
        <v>265</v>
      </c>
    </row>
    <row r="533">
      <c r="A533" s="39" t="s">
        <v>1557</v>
      </c>
      <c r="B533" s="43" t="s">
        <v>1558</v>
      </c>
      <c r="C533" s="40" t="s">
        <v>652</v>
      </c>
      <c r="D533" s="39" t="s">
        <v>1556</v>
      </c>
      <c r="E533" s="40" t="s">
        <v>99</v>
      </c>
      <c r="F533" s="39" t="s">
        <v>265</v>
      </c>
    </row>
    <row r="534">
      <c r="A534" s="39" t="s">
        <v>1559</v>
      </c>
      <c r="B534" s="39" t="s">
        <v>1560</v>
      </c>
      <c r="C534" s="40" t="s">
        <v>652</v>
      </c>
      <c r="D534" s="39" t="s">
        <v>1561</v>
      </c>
      <c r="E534" s="40" t="s">
        <v>99</v>
      </c>
      <c r="F534" s="39" t="s">
        <v>1195</v>
      </c>
    </row>
    <row r="535">
      <c r="A535" s="39" t="s">
        <v>1562</v>
      </c>
      <c r="B535" s="39" t="s">
        <v>1563</v>
      </c>
      <c r="C535" s="46"/>
      <c r="D535" s="46"/>
      <c r="E535" s="46"/>
      <c r="F535" s="46"/>
    </row>
    <row r="536">
      <c r="A536" s="39" t="s">
        <v>1564</v>
      </c>
      <c r="B536" s="39" t="s">
        <v>1565</v>
      </c>
      <c r="C536" s="40" t="s">
        <v>652</v>
      </c>
      <c r="D536" s="39" t="s">
        <v>1566</v>
      </c>
      <c r="E536" s="40" t="s">
        <v>99</v>
      </c>
      <c r="F536" s="39" t="s">
        <v>608</v>
      </c>
    </row>
    <row r="537">
      <c r="A537" s="39" t="s">
        <v>1567</v>
      </c>
      <c r="B537" s="39" t="s">
        <v>1568</v>
      </c>
      <c r="C537" s="40" t="s">
        <v>652</v>
      </c>
      <c r="D537" s="39" t="s">
        <v>1569</v>
      </c>
      <c r="E537" s="40" t="s">
        <v>99</v>
      </c>
      <c r="F537" s="39" t="s">
        <v>608</v>
      </c>
    </row>
    <row r="538">
      <c r="A538" s="39" t="s">
        <v>1570</v>
      </c>
      <c r="B538" s="39" t="s">
        <v>1571</v>
      </c>
      <c r="C538" s="40" t="s">
        <v>652</v>
      </c>
      <c r="D538" s="39" t="s">
        <v>99</v>
      </c>
      <c r="E538" s="40" t="s">
        <v>99</v>
      </c>
      <c r="F538" s="39" t="s">
        <v>109</v>
      </c>
    </row>
    <row r="539">
      <c r="A539" s="39" t="s">
        <v>1572</v>
      </c>
      <c r="B539" s="39" t="s">
        <v>1573</v>
      </c>
      <c r="C539" s="40" t="s">
        <v>652</v>
      </c>
      <c r="D539" s="39" t="s">
        <v>1574</v>
      </c>
      <c r="E539" s="40" t="s">
        <v>99</v>
      </c>
      <c r="F539" s="39" t="s">
        <v>1575</v>
      </c>
    </row>
    <row r="540">
      <c r="A540" s="39" t="s">
        <v>1576</v>
      </c>
      <c r="B540" s="39" t="s">
        <v>1577</v>
      </c>
      <c r="C540" s="40" t="s">
        <v>652</v>
      </c>
      <c r="D540" s="39" t="s">
        <v>1578</v>
      </c>
      <c r="E540" s="40" t="s">
        <v>99</v>
      </c>
      <c r="F540" s="39" t="s">
        <v>1575</v>
      </c>
    </row>
    <row r="541">
      <c r="A541" s="39" t="s">
        <v>1579</v>
      </c>
      <c r="B541" s="39" t="s">
        <v>1580</v>
      </c>
      <c r="C541" s="40" t="s">
        <v>652</v>
      </c>
      <c r="D541" s="39" t="s">
        <v>1581</v>
      </c>
      <c r="E541" s="40" t="s">
        <v>99</v>
      </c>
      <c r="F541" s="39" t="s">
        <v>1575</v>
      </c>
    </row>
    <row r="542">
      <c r="A542" s="39" t="s">
        <v>1582</v>
      </c>
      <c r="B542" s="39" t="s">
        <v>1583</v>
      </c>
      <c r="C542" s="40" t="s">
        <v>671</v>
      </c>
      <c r="D542" s="39" t="s">
        <v>1584</v>
      </c>
      <c r="E542" s="40" t="s">
        <v>99</v>
      </c>
      <c r="F542" s="39" t="s">
        <v>1585</v>
      </c>
    </row>
    <row r="543">
      <c r="A543" s="39" t="s">
        <v>1586</v>
      </c>
      <c r="B543" s="39" t="s">
        <v>1587</v>
      </c>
      <c r="C543" s="40" t="s">
        <v>99</v>
      </c>
      <c r="D543" s="39" t="s">
        <v>99</v>
      </c>
      <c r="E543" s="40" t="s">
        <v>99</v>
      </c>
      <c r="F543" s="39" t="s">
        <v>99</v>
      </c>
    </row>
    <row r="544">
      <c r="A544" s="39" t="s">
        <v>1588</v>
      </c>
      <c r="B544" s="39" t="s">
        <v>1589</v>
      </c>
      <c r="C544" s="40" t="s">
        <v>671</v>
      </c>
      <c r="D544" s="39" t="s">
        <v>99</v>
      </c>
      <c r="E544" s="40" t="s">
        <v>99</v>
      </c>
      <c r="F544" s="39" t="s">
        <v>149</v>
      </c>
    </row>
    <row r="545">
      <c r="A545" s="39" t="s">
        <v>1590</v>
      </c>
      <c r="B545" s="39" t="s">
        <v>1591</v>
      </c>
      <c r="C545" s="40" t="s">
        <v>99</v>
      </c>
      <c r="D545" s="39" t="s">
        <v>99</v>
      </c>
      <c r="E545" s="40" t="s">
        <v>99</v>
      </c>
      <c r="F545" s="39" t="s">
        <v>99</v>
      </c>
    </row>
    <row r="546">
      <c r="A546" s="39" t="s">
        <v>1592</v>
      </c>
      <c r="B546" s="39" t="s">
        <v>1593</v>
      </c>
      <c r="C546" s="40" t="s">
        <v>652</v>
      </c>
      <c r="D546" s="39" t="s">
        <v>1594</v>
      </c>
      <c r="E546" s="40" t="s">
        <v>1595</v>
      </c>
      <c r="F546" s="39" t="s">
        <v>104</v>
      </c>
    </row>
    <row r="547">
      <c r="A547" s="39" t="s">
        <v>1596</v>
      </c>
      <c r="B547" s="39" t="s">
        <v>1597</v>
      </c>
      <c r="C547" s="40" t="s">
        <v>652</v>
      </c>
      <c r="D547" s="39" t="s">
        <v>1598</v>
      </c>
      <c r="E547" s="40" t="s">
        <v>99</v>
      </c>
      <c r="F547" s="39" t="s">
        <v>1599</v>
      </c>
    </row>
    <row r="548">
      <c r="A548" s="39" t="s">
        <v>1600</v>
      </c>
      <c r="B548" s="39" t="s">
        <v>1601</v>
      </c>
      <c r="C548" s="40" t="s">
        <v>671</v>
      </c>
      <c r="D548" s="39" t="s">
        <v>1598</v>
      </c>
      <c r="E548" s="40" t="s">
        <v>99</v>
      </c>
      <c r="F548" s="39" t="s">
        <v>1599</v>
      </c>
    </row>
    <row r="549">
      <c r="A549" s="39" t="s">
        <v>1602</v>
      </c>
      <c r="B549" s="39" t="s">
        <v>1603</v>
      </c>
      <c r="C549" s="40" t="s">
        <v>652</v>
      </c>
      <c r="D549" s="39" t="s">
        <v>1604</v>
      </c>
      <c r="E549" s="40" t="s">
        <v>99</v>
      </c>
      <c r="F549" s="39" t="s">
        <v>1605</v>
      </c>
    </row>
    <row r="550">
      <c r="A550" s="39" t="s">
        <v>1606</v>
      </c>
      <c r="B550" s="39" t="s">
        <v>1607</v>
      </c>
      <c r="C550" s="40" t="s">
        <v>671</v>
      </c>
      <c r="D550" s="39" t="s">
        <v>1608</v>
      </c>
      <c r="E550" s="40" t="s">
        <v>99</v>
      </c>
      <c r="F550" s="39" t="s">
        <v>692</v>
      </c>
    </row>
    <row r="551">
      <c r="A551" s="39" t="s">
        <v>1609</v>
      </c>
      <c r="B551" s="39" t="s">
        <v>1610</v>
      </c>
      <c r="C551" s="40" t="s">
        <v>671</v>
      </c>
      <c r="D551" s="39" t="s">
        <v>1611</v>
      </c>
      <c r="E551" s="40" t="s">
        <v>99</v>
      </c>
      <c r="F551" s="39" t="s">
        <v>109</v>
      </c>
    </row>
    <row r="552">
      <c r="A552" s="39" t="s">
        <v>1612</v>
      </c>
      <c r="B552" s="39" t="s">
        <v>1613</v>
      </c>
      <c r="C552" s="40" t="s">
        <v>652</v>
      </c>
      <c r="D552" s="39" t="s">
        <v>1614</v>
      </c>
      <c r="E552" s="40" t="s">
        <v>99</v>
      </c>
      <c r="F552" s="39" t="s">
        <v>1615</v>
      </c>
    </row>
    <row r="553">
      <c r="A553" s="39" t="s">
        <v>1616</v>
      </c>
      <c r="B553" s="39" t="s">
        <v>1617</v>
      </c>
      <c r="C553" s="40" t="s">
        <v>671</v>
      </c>
      <c r="D553" s="39" t="s">
        <v>1618</v>
      </c>
      <c r="E553" s="40" t="s">
        <v>1619</v>
      </c>
      <c r="F553" s="39" t="s">
        <v>149</v>
      </c>
    </row>
    <row r="554">
      <c r="A554" s="39" t="s">
        <v>1620</v>
      </c>
      <c r="B554" s="39" t="s">
        <v>1621</v>
      </c>
      <c r="C554" s="40" t="s">
        <v>652</v>
      </c>
      <c r="D554" s="39" t="s">
        <v>1622</v>
      </c>
      <c r="E554" s="40" t="s">
        <v>99</v>
      </c>
      <c r="F554" s="39" t="s">
        <v>104</v>
      </c>
    </row>
    <row r="555">
      <c r="A555" s="44" t="s">
        <v>1623</v>
      </c>
      <c r="B555" s="47" t="s">
        <v>1624</v>
      </c>
      <c r="C555" s="45" t="s">
        <v>652</v>
      </c>
      <c r="D555" s="44" t="s">
        <v>1625</v>
      </c>
      <c r="E555" s="47" t="s">
        <v>99</v>
      </c>
      <c r="F555" s="44" t="s">
        <v>1626</v>
      </c>
    </row>
    <row r="556">
      <c r="A556" s="32" t="s">
        <v>1627</v>
      </c>
      <c r="B556" s="32" t="s">
        <v>1628</v>
      </c>
      <c r="C556" s="38" t="s">
        <v>166</v>
      </c>
      <c r="D556" s="32" t="s">
        <v>888</v>
      </c>
      <c r="E556" s="38" t="s">
        <v>99</v>
      </c>
      <c r="F556" s="32" t="s">
        <v>889</v>
      </c>
    </row>
    <row r="557">
      <c r="A557" s="21" t="s">
        <v>1629</v>
      </c>
      <c r="B557" s="21" t="s">
        <v>1630</v>
      </c>
      <c r="C557" s="22" t="s">
        <v>102</v>
      </c>
      <c r="D557" s="21" t="s">
        <v>888</v>
      </c>
      <c r="E557" s="22" t="s">
        <v>99</v>
      </c>
      <c r="F557" s="21" t="s">
        <v>889</v>
      </c>
    </row>
    <row r="558">
      <c r="A558" s="21" t="s">
        <v>55</v>
      </c>
      <c r="B558" s="21" t="s">
        <v>1631</v>
      </c>
      <c r="C558" s="22" t="s">
        <v>102</v>
      </c>
      <c r="D558" s="21" t="s">
        <v>894</v>
      </c>
      <c r="E558" s="22" t="s">
        <v>99</v>
      </c>
      <c r="F558" s="21" t="s">
        <v>202</v>
      </c>
    </row>
    <row r="559">
      <c r="A559" s="21" t="s">
        <v>1632</v>
      </c>
      <c r="B559" s="21" t="s">
        <v>1633</v>
      </c>
      <c r="C559" s="22" t="s">
        <v>652</v>
      </c>
      <c r="D559" s="23"/>
      <c r="E559" s="23"/>
      <c r="F559" s="21" t="s">
        <v>140</v>
      </c>
    </row>
    <row r="560">
      <c r="A560" s="36" t="s">
        <v>1634</v>
      </c>
      <c r="B560" s="36" t="s">
        <v>1635</v>
      </c>
      <c r="C560" s="37" t="s">
        <v>652</v>
      </c>
      <c r="D560" s="48"/>
      <c r="E560" s="48"/>
      <c r="F560" s="36" t="s">
        <v>499</v>
      </c>
    </row>
    <row r="561">
      <c r="A561" s="25" t="s">
        <v>1636</v>
      </c>
      <c r="B561" s="18" t="s">
        <v>1637</v>
      </c>
      <c r="C561" s="20" t="s">
        <v>652</v>
      </c>
      <c r="D561" s="19"/>
      <c r="E561" s="19"/>
      <c r="F561" s="19"/>
    </row>
    <row r="562">
      <c r="A562" s="25" t="s">
        <v>1638</v>
      </c>
      <c r="B562" s="18" t="s">
        <v>1639</v>
      </c>
      <c r="C562" s="20" t="s">
        <v>652</v>
      </c>
      <c r="D562" s="19"/>
      <c r="E562" s="19"/>
      <c r="F562" s="19"/>
    </row>
    <row r="563">
      <c r="A563" s="25" t="s">
        <v>1640</v>
      </c>
      <c r="B563" s="18" t="s">
        <v>1641</v>
      </c>
      <c r="C563" s="20" t="s">
        <v>652</v>
      </c>
      <c r="D563" s="19"/>
      <c r="E563" s="19"/>
      <c r="F563" s="19"/>
    </row>
    <row r="564">
      <c r="A564" s="25" t="s">
        <v>1642</v>
      </c>
      <c r="B564" s="18" t="s">
        <v>1643</v>
      </c>
      <c r="C564" s="20" t="s">
        <v>652</v>
      </c>
      <c r="D564" s="19"/>
      <c r="E564" s="19"/>
      <c r="F564" s="18" t="s">
        <v>608</v>
      </c>
    </row>
    <row r="565">
      <c r="A565" s="18" t="s">
        <v>1644</v>
      </c>
      <c r="B565" s="18" t="s">
        <v>1645</v>
      </c>
      <c r="C565" s="20" t="s">
        <v>652</v>
      </c>
      <c r="D565" s="19"/>
      <c r="E565" s="19"/>
      <c r="F565" s="18" t="s">
        <v>608</v>
      </c>
    </row>
    <row r="566">
      <c r="A566" s="34" t="s">
        <v>1646</v>
      </c>
      <c r="B566" s="32" t="s">
        <v>1647</v>
      </c>
      <c r="C566" s="38" t="s">
        <v>652</v>
      </c>
      <c r="D566" s="33"/>
      <c r="E566" s="33"/>
      <c r="F566" s="33"/>
    </row>
    <row r="567">
      <c r="A567" s="21" t="s">
        <v>35</v>
      </c>
      <c r="B567" s="21" t="s">
        <v>1648</v>
      </c>
      <c r="C567" s="22" t="s">
        <v>102</v>
      </c>
      <c r="D567" s="21" t="s">
        <v>897</v>
      </c>
      <c r="E567" s="22" t="s">
        <v>898</v>
      </c>
      <c r="F567" s="21" t="s">
        <v>104</v>
      </c>
    </row>
    <row r="568">
      <c r="A568" s="21" t="s">
        <v>1649</v>
      </c>
      <c r="B568" s="21" t="s">
        <v>1650</v>
      </c>
      <c r="C568" s="22" t="s">
        <v>102</v>
      </c>
      <c r="D568" s="21" t="s">
        <v>901</v>
      </c>
      <c r="E568" s="22" t="s">
        <v>99</v>
      </c>
      <c r="F568" s="21" t="s">
        <v>104</v>
      </c>
    </row>
    <row r="569">
      <c r="A569" s="21" t="s">
        <v>1651</v>
      </c>
      <c r="B569" s="21" t="s">
        <v>1652</v>
      </c>
      <c r="C569" s="22" t="s">
        <v>102</v>
      </c>
      <c r="D569" s="21" t="s">
        <v>904</v>
      </c>
      <c r="E569" s="22" t="s">
        <v>99</v>
      </c>
      <c r="F569" s="21" t="s">
        <v>104</v>
      </c>
    </row>
    <row r="570">
      <c r="A570" s="35" t="s">
        <v>1653</v>
      </c>
      <c r="B570" s="21" t="s">
        <v>1654</v>
      </c>
      <c r="C570" s="22" t="s">
        <v>102</v>
      </c>
      <c r="D570" s="21" t="s">
        <v>901</v>
      </c>
      <c r="E570" s="22" t="s">
        <v>99</v>
      </c>
      <c r="F570" s="21" t="s">
        <v>104</v>
      </c>
    </row>
    <row r="571">
      <c r="A571" s="21" t="s">
        <v>1655</v>
      </c>
      <c r="B571" s="21" t="s">
        <v>1656</v>
      </c>
      <c r="C571" s="22" t="s">
        <v>102</v>
      </c>
      <c r="D571" s="21" t="s">
        <v>909</v>
      </c>
      <c r="E571" s="22" t="s">
        <v>99</v>
      </c>
      <c r="F571" s="21" t="s">
        <v>529</v>
      </c>
    </row>
    <row r="572">
      <c r="A572" s="21" t="s">
        <v>1657</v>
      </c>
      <c r="B572" s="21" t="s">
        <v>1658</v>
      </c>
      <c r="C572" s="22" t="s">
        <v>102</v>
      </c>
      <c r="D572" s="21" t="s">
        <v>912</v>
      </c>
      <c r="E572" s="22" t="s">
        <v>99</v>
      </c>
      <c r="F572" s="21" t="s">
        <v>529</v>
      </c>
    </row>
    <row r="573">
      <c r="A573" s="21" t="s">
        <v>1659</v>
      </c>
      <c r="B573" s="21" t="s">
        <v>1660</v>
      </c>
      <c r="C573" s="22" t="s">
        <v>102</v>
      </c>
      <c r="D573" s="21" t="s">
        <v>1661</v>
      </c>
      <c r="E573" s="22" t="s">
        <v>99</v>
      </c>
      <c r="F573" s="21" t="s">
        <v>997</v>
      </c>
    </row>
    <row r="574">
      <c r="A574" s="21" t="s">
        <v>1662</v>
      </c>
      <c r="B574" s="21" t="s">
        <v>1663</v>
      </c>
      <c r="C574" s="22" t="s">
        <v>102</v>
      </c>
      <c r="D574" s="21" t="s">
        <v>1664</v>
      </c>
      <c r="E574" s="23"/>
      <c r="F574" s="21" t="s">
        <v>265</v>
      </c>
    </row>
    <row r="575">
      <c r="A575" s="21" t="s">
        <v>1665</v>
      </c>
      <c r="B575" s="21" t="s">
        <v>1666</v>
      </c>
      <c r="C575" s="22" t="s">
        <v>102</v>
      </c>
      <c r="D575" s="21" t="s">
        <v>917</v>
      </c>
      <c r="E575" s="22" t="s">
        <v>99</v>
      </c>
      <c r="F575" s="21" t="s">
        <v>353</v>
      </c>
    </row>
    <row r="576">
      <c r="A576" s="21" t="s">
        <v>1667</v>
      </c>
      <c r="B576" s="21" t="s">
        <v>1668</v>
      </c>
      <c r="C576" s="22" t="s">
        <v>102</v>
      </c>
      <c r="D576" s="21" t="s">
        <v>1669</v>
      </c>
      <c r="E576" s="23"/>
      <c r="F576" s="21" t="s">
        <v>360</v>
      </c>
    </row>
    <row r="577">
      <c r="A577" s="21" t="s">
        <v>1670</v>
      </c>
      <c r="B577" s="21" t="s">
        <v>1671</v>
      </c>
      <c r="C577" s="22" t="s">
        <v>102</v>
      </c>
      <c r="D577" s="21" t="s">
        <v>1224</v>
      </c>
      <c r="E577" s="23"/>
      <c r="F577" s="21" t="s">
        <v>1226</v>
      </c>
    </row>
    <row r="578">
      <c r="A578" s="21" t="s">
        <v>1672</v>
      </c>
      <c r="B578" s="21" t="s">
        <v>1671</v>
      </c>
      <c r="C578" s="22" t="s">
        <v>102</v>
      </c>
      <c r="D578" s="21" t="s">
        <v>1224</v>
      </c>
      <c r="E578" s="22" t="s">
        <v>1225</v>
      </c>
      <c r="F578" s="21" t="s">
        <v>1226</v>
      </c>
    </row>
    <row r="579">
      <c r="A579" s="21" t="s">
        <v>1673</v>
      </c>
      <c r="B579" s="21" t="s">
        <v>1674</v>
      </c>
      <c r="C579" s="22" t="s">
        <v>102</v>
      </c>
      <c r="D579" s="21" t="s">
        <v>1675</v>
      </c>
      <c r="E579" s="23"/>
      <c r="F579" s="21" t="s">
        <v>149</v>
      </c>
    </row>
    <row r="580">
      <c r="A580" s="21" t="s">
        <v>1676</v>
      </c>
      <c r="B580" s="21" t="s">
        <v>1677</v>
      </c>
      <c r="C580" s="22" t="s">
        <v>102</v>
      </c>
      <c r="D580" s="21" t="s">
        <v>920</v>
      </c>
      <c r="E580" s="22" t="s">
        <v>99</v>
      </c>
      <c r="F580" s="21" t="s">
        <v>149</v>
      </c>
    </row>
    <row r="581">
      <c r="A581" s="36" t="s">
        <v>1678</v>
      </c>
      <c r="B581" s="36" t="s">
        <v>1679</v>
      </c>
      <c r="C581" s="37" t="s">
        <v>102</v>
      </c>
      <c r="D581" s="36" t="s">
        <v>1680</v>
      </c>
      <c r="E581" s="48"/>
      <c r="F581" s="36" t="s">
        <v>194</v>
      </c>
    </row>
    <row r="582">
      <c r="A582" s="18" t="s">
        <v>1681</v>
      </c>
      <c r="B582" s="18" t="s">
        <v>1682</v>
      </c>
      <c r="C582" s="20" t="s">
        <v>102</v>
      </c>
      <c r="D582" s="19"/>
      <c r="E582" s="19"/>
      <c r="F582" s="19"/>
    </row>
    <row r="583">
      <c r="A583" s="18" t="s">
        <v>1681</v>
      </c>
      <c r="B583" s="18" t="s">
        <v>1682</v>
      </c>
      <c r="C583" s="20" t="s">
        <v>102</v>
      </c>
      <c r="D583" s="18" t="s">
        <v>139</v>
      </c>
      <c r="E583" s="19"/>
      <c r="F583" s="18" t="s">
        <v>140</v>
      </c>
    </row>
    <row r="584">
      <c r="A584" s="18" t="s">
        <v>1683</v>
      </c>
      <c r="B584" s="18" t="s">
        <v>1684</v>
      </c>
      <c r="C584" s="20" t="s">
        <v>102</v>
      </c>
      <c r="D584" s="19"/>
      <c r="E584" s="19"/>
      <c r="F584" s="19"/>
    </row>
    <row r="585">
      <c r="A585" s="18" t="s">
        <v>1683</v>
      </c>
      <c r="B585" s="18" t="s">
        <v>1684</v>
      </c>
      <c r="C585" s="20" t="s">
        <v>102</v>
      </c>
      <c r="D585" s="18" t="s">
        <v>234</v>
      </c>
      <c r="E585" s="19"/>
      <c r="F585" s="18" t="s">
        <v>104</v>
      </c>
    </row>
    <row r="586">
      <c r="A586" s="18" t="s">
        <v>1685</v>
      </c>
      <c r="B586" s="18" t="s">
        <v>1686</v>
      </c>
      <c r="C586" s="20" t="s">
        <v>102</v>
      </c>
      <c r="D586" s="19"/>
      <c r="E586" s="19"/>
      <c r="F586" s="18" t="s">
        <v>433</v>
      </c>
    </row>
    <row r="587">
      <c r="A587" s="18" t="s">
        <v>1687</v>
      </c>
      <c r="B587" s="18" t="s">
        <v>1688</v>
      </c>
      <c r="C587" s="20" t="s">
        <v>102</v>
      </c>
      <c r="D587" s="19"/>
      <c r="E587" s="19"/>
      <c r="F587" s="19"/>
    </row>
    <row r="588">
      <c r="A588" s="18" t="s">
        <v>1689</v>
      </c>
      <c r="B588" s="18" t="s">
        <v>1690</v>
      </c>
      <c r="C588" s="20" t="s">
        <v>102</v>
      </c>
      <c r="D588" s="18" t="s">
        <v>1691</v>
      </c>
      <c r="E588" s="19"/>
      <c r="F588" s="18" t="s">
        <v>104</v>
      </c>
    </row>
    <row r="589">
      <c r="A589" s="18" t="s">
        <v>1692</v>
      </c>
      <c r="B589" s="18" t="s">
        <v>1693</v>
      </c>
      <c r="C589" s="20" t="s">
        <v>102</v>
      </c>
      <c r="D589" s="18" t="s">
        <v>968</v>
      </c>
      <c r="E589" s="19"/>
      <c r="F589" s="18" t="s">
        <v>499</v>
      </c>
    </row>
    <row r="590">
      <c r="A590" s="18" t="s">
        <v>1694</v>
      </c>
      <c r="B590" s="18" t="s">
        <v>1695</v>
      </c>
      <c r="C590" s="20" t="s">
        <v>102</v>
      </c>
      <c r="D590" s="19"/>
      <c r="E590" s="19"/>
      <c r="F590" s="19"/>
    </row>
    <row r="591">
      <c r="A591" s="18" t="s">
        <v>1696</v>
      </c>
      <c r="B591" s="18" t="s">
        <v>1697</v>
      </c>
      <c r="C591" s="20" t="s">
        <v>102</v>
      </c>
      <c r="D591" s="19"/>
      <c r="E591" s="19"/>
      <c r="F591" s="19"/>
    </row>
    <row r="592">
      <c r="A592" s="18" t="s">
        <v>1698</v>
      </c>
      <c r="B592" s="18" t="s">
        <v>1699</v>
      </c>
      <c r="C592" s="20" t="s">
        <v>102</v>
      </c>
      <c r="D592" s="19"/>
      <c r="E592" s="19"/>
      <c r="F592" s="18" t="s">
        <v>1191</v>
      </c>
    </row>
    <row r="593">
      <c r="A593" s="18" t="s">
        <v>1700</v>
      </c>
      <c r="B593" s="18" t="s">
        <v>1701</v>
      </c>
      <c r="C593" s="20" t="s">
        <v>102</v>
      </c>
      <c r="D593" s="19"/>
      <c r="E593" s="19"/>
      <c r="F593" s="19"/>
    </row>
    <row r="594">
      <c r="A594" s="18" t="s">
        <v>1700</v>
      </c>
      <c r="B594" s="18" t="s">
        <v>1702</v>
      </c>
      <c r="C594" s="20" t="s">
        <v>102</v>
      </c>
      <c r="D594" s="19"/>
      <c r="E594" s="19"/>
      <c r="F594" s="18" t="s">
        <v>1195</v>
      </c>
    </row>
    <row r="595">
      <c r="A595" s="18" t="s">
        <v>1703</v>
      </c>
      <c r="B595" s="18" t="s">
        <v>1704</v>
      </c>
      <c r="C595" s="20" t="s">
        <v>102</v>
      </c>
      <c r="D595" s="18" t="s">
        <v>1705</v>
      </c>
      <c r="E595" s="19"/>
      <c r="F595" s="18" t="s">
        <v>1226</v>
      </c>
    </row>
    <row r="596">
      <c r="A596" s="18" t="s">
        <v>1706</v>
      </c>
      <c r="B596" s="18" t="s">
        <v>1707</v>
      </c>
      <c r="C596" s="20" t="s">
        <v>102</v>
      </c>
      <c r="D596" s="18" t="s">
        <v>1360</v>
      </c>
      <c r="E596" s="19"/>
      <c r="F596" s="18" t="s">
        <v>1361</v>
      </c>
    </row>
    <row r="597">
      <c r="A597" s="18" t="s">
        <v>1708</v>
      </c>
      <c r="B597" s="18" t="s">
        <v>1709</v>
      </c>
      <c r="C597" s="20" t="s">
        <v>102</v>
      </c>
      <c r="D597" s="19"/>
      <c r="E597" s="19"/>
      <c r="F597" s="19"/>
    </row>
    <row r="598">
      <c r="A598" s="18" t="s">
        <v>1710</v>
      </c>
      <c r="B598" s="18" t="s">
        <v>1711</v>
      </c>
      <c r="C598" s="20" t="s">
        <v>102</v>
      </c>
      <c r="D598" s="18" t="s">
        <v>1379</v>
      </c>
      <c r="E598" s="19"/>
      <c r="F598" s="18" t="s">
        <v>1195</v>
      </c>
    </row>
    <row r="599">
      <c r="A599" s="18" t="s">
        <v>1712</v>
      </c>
      <c r="B599" s="18" t="s">
        <v>1713</v>
      </c>
      <c r="C599" s="20" t="s">
        <v>102</v>
      </c>
      <c r="D599" s="19"/>
      <c r="E599" s="19"/>
      <c r="F599" s="18" t="s">
        <v>608</v>
      </c>
    </row>
    <row r="600">
      <c r="A600" s="32" t="s">
        <v>1714</v>
      </c>
      <c r="B600" s="32" t="s">
        <v>1715</v>
      </c>
      <c r="C600" s="38" t="s">
        <v>102</v>
      </c>
      <c r="D600" s="33"/>
      <c r="E600" s="33"/>
      <c r="F600" s="33"/>
    </row>
    <row r="601">
      <c r="A601" s="21" t="s">
        <v>1716</v>
      </c>
      <c r="B601" s="21" t="s">
        <v>1717</v>
      </c>
      <c r="C601" s="22" t="s">
        <v>102</v>
      </c>
      <c r="D601" s="21" t="s">
        <v>923</v>
      </c>
      <c r="E601" s="22" t="s">
        <v>99</v>
      </c>
      <c r="F601" s="21" t="s">
        <v>572</v>
      </c>
    </row>
    <row r="602">
      <c r="A602" s="21" t="s">
        <v>1718</v>
      </c>
      <c r="B602" s="21" t="s">
        <v>1719</v>
      </c>
      <c r="C602" s="22" t="s">
        <v>102</v>
      </c>
      <c r="D602" s="21" t="s">
        <v>1720</v>
      </c>
      <c r="E602" s="22" t="s">
        <v>99</v>
      </c>
      <c r="F602" s="21" t="s">
        <v>572</v>
      </c>
    </row>
    <row r="603">
      <c r="A603" s="21" t="s">
        <v>1721</v>
      </c>
      <c r="B603" s="21" t="s">
        <v>1722</v>
      </c>
      <c r="C603" s="22" t="s">
        <v>102</v>
      </c>
      <c r="D603" s="21" t="s">
        <v>928</v>
      </c>
      <c r="E603" s="22" t="s">
        <v>99</v>
      </c>
      <c r="F603" s="21" t="s">
        <v>572</v>
      </c>
    </row>
    <row r="604">
      <c r="A604" s="36" t="s">
        <v>1723</v>
      </c>
      <c r="B604" s="36" t="s">
        <v>1724</v>
      </c>
      <c r="C604" s="37" t="s">
        <v>102</v>
      </c>
      <c r="D604" s="36" t="s">
        <v>1725</v>
      </c>
      <c r="E604" s="48"/>
      <c r="F604" s="36" t="s">
        <v>572</v>
      </c>
    </row>
    <row r="605">
      <c r="A605" s="18" t="s">
        <v>1726</v>
      </c>
      <c r="B605" s="18" t="s">
        <v>1727</v>
      </c>
      <c r="C605" s="20" t="s">
        <v>166</v>
      </c>
      <c r="D605" s="18" t="s">
        <v>1728</v>
      </c>
      <c r="E605" s="20" t="s">
        <v>99</v>
      </c>
      <c r="F605" s="18" t="s">
        <v>269</v>
      </c>
    </row>
    <row r="606">
      <c r="A606" s="32" t="s">
        <v>1729</v>
      </c>
      <c r="B606" s="32" t="s">
        <v>1730</v>
      </c>
      <c r="C606" s="38" t="s">
        <v>166</v>
      </c>
      <c r="D606" s="32" t="s">
        <v>1731</v>
      </c>
      <c r="E606" s="33"/>
      <c r="F606" s="32" t="s">
        <v>149</v>
      </c>
    </row>
    <row r="607">
      <c r="A607" s="21" t="s">
        <v>1732</v>
      </c>
      <c r="B607" s="21" t="s">
        <v>1733</v>
      </c>
      <c r="C607" s="22" t="s">
        <v>102</v>
      </c>
      <c r="D607" s="21" t="s">
        <v>1734</v>
      </c>
      <c r="E607" s="23"/>
      <c r="F607" s="21" t="s">
        <v>997</v>
      </c>
    </row>
    <row r="608">
      <c r="A608" s="21" t="s">
        <v>1735</v>
      </c>
      <c r="B608" s="21" t="s">
        <v>1736</v>
      </c>
      <c r="C608" s="22" t="s">
        <v>102</v>
      </c>
      <c r="D608" s="21" t="s">
        <v>1737</v>
      </c>
      <c r="E608" s="23"/>
      <c r="F608" s="21" t="s">
        <v>401</v>
      </c>
    </row>
    <row r="609">
      <c r="A609" s="21" t="s">
        <v>1738</v>
      </c>
      <c r="B609" s="21" t="s">
        <v>1739</v>
      </c>
      <c r="C609" s="22" t="s">
        <v>102</v>
      </c>
      <c r="D609" s="21" t="s">
        <v>931</v>
      </c>
      <c r="E609" s="22" t="s">
        <v>932</v>
      </c>
      <c r="F609" s="21" t="s">
        <v>149</v>
      </c>
    </row>
    <row r="610">
      <c r="A610" s="21" t="s">
        <v>1740</v>
      </c>
      <c r="B610" s="21" t="s">
        <v>1741</v>
      </c>
      <c r="C610" s="22" t="s">
        <v>102</v>
      </c>
      <c r="D610" s="21" t="s">
        <v>935</v>
      </c>
      <c r="E610" s="22" t="s">
        <v>99</v>
      </c>
      <c r="F610" s="21" t="s">
        <v>149</v>
      </c>
    </row>
    <row r="611">
      <c r="A611" s="21" t="s">
        <v>1742</v>
      </c>
      <c r="B611" s="21" t="s">
        <v>1743</v>
      </c>
      <c r="C611" s="22" t="s">
        <v>102</v>
      </c>
      <c r="D611" s="21" t="s">
        <v>938</v>
      </c>
      <c r="E611" s="22" t="s">
        <v>99</v>
      </c>
      <c r="F611" s="21" t="s">
        <v>186</v>
      </c>
    </row>
    <row r="612">
      <c r="A612" s="21" t="s">
        <v>1744</v>
      </c>
      <c r="B612" s="21" t="s">
        <v>1745</v>
      </c>
      <c r="C612" s="22" t="s">
        <v>102</v>
      </c>
      <c r="D612" s="21" t="s">
        <v>941</v>
      </c>
      <c r="E612" s="22" t="s">
        <v>99</v>
      </c>
      <c r="F612" s="21" t="s">
        <v>104</v>
      </c>
    </row>
    <row r="613">
      <c r="A613" s="21" t="s">
        <v>1746</v>
      </c>
      <c r="B613" s="21" t="s">
        <v>1747</v>
      </c>
      <c r="C613" s="22" t="s">
        <v>102</v>
      </c>
      <c r="D613" s="21" t="s">
        <v>944</v>
      </c>
      <c r="E613" s="22" t="s">
        <v>99</v>
      </c>
      <c r="F613" s="21" t="s">
        <v>104</v>
      </c>
    </row>
    <row r="614">
      <c r="A614" s="21" t="s">
        <v>1748</v>
      </c>
      <c r="B614" s="21" t="s">
        <v>1749</v>
      </c>
      <c r="C614" s="22" t="s">
        <v>102</v>
      </c>
      <c r="D614" s="21" t="s">
        <v>947</v>
      </c>
      <c r="E614" s="22" t="s">
        <v>99</v>
      </c>
      <c r="F614" s="21" t="s">
        <v>376</v>
      </c>
    </row>
    <row r="615">
      <c r="A615" s="21" t="s">
        <v>1750</v>
      </c>
      <c r="B615" s="21" t="s">
        <v>1751</v>
      </c>
      <c r="C615" s="22" t="s">
        <v>102</v>
      </c>
      <c r="D615" s="21" t="s">
        <v>947</v>
      </c>
      <c r="E615" s="22" t="s">
        <v>99</v>
      </c>
      <c r="F615" s="21" t="s">
        <v>376</v>
      </c>
    </row>
    <row r="616">
      <c r="A616" s="21" t="s">
        <v>1752</v>
      </c>
      <c r="B616" s="21" t="s">
        <v>1753</v>
      </c>
      <c r="C616" s="22" t="s">
        <v>102</v>
      </c>
      <c r="D616" s="21" t="s">
        <v>947</v>
      </c>
      <c r="E616" s="22" t="s">
        <v>99</v>
      </c>
      <c r="F616" s="21" t="s">
        <v>376</v>
      </c>
    </row>
    <row r="617">
      <c r="A617" s="21" t="s">
        <v>1754</v>
      </c>
      <c r="B617" s="21" t="s">
        <v>1755</v>
      </c>
      <c r="C617" s="22" t="s">
        <v>102</v>
      </c>
      <c r="D617" s="21" t="s">
        <v>954</v>
      </c>
      <c r="E617" s="22" t="s">
        <v>99</v>
      </c>
      <c r="F617" s="21" t="s">
        <v>376</v>
      </c>
    </row>
    <row r="618">
      <c r="A618" s="49" t="s">
        <v>1756</v>
      </c>
      <c r="B618" s="49" t="s">
        <v>1757</v>
      </c>
      <c r="C618" s="50" t="s">
        <v>166</v>
      </c>
      <c r="D618" s="51"/>
      <c r="E618" s="51"/>
      <c r="F618" s="49" t="s">
        <v>104</v>
      </c>
    </row>
    <row r="619">
      <c r="A619" s="21" t="s">
        <v>1758</v>
      </c>
      <c r="B619" s="21" t="s">
        <v>1759</v>
      </c>
      <c r="C619" s="22" t="s">
        <v>102</v>
      </c>
      <c r="D619" s="21" t="s">
        <v>555</v>
      </c>
      <c r="E619" s="23"/>
      <c r="F619" s="21" t="s">
        <v>104</v>
      </c>
    </row>
    <row r="620">
      <c r="A620" s="21" t="s">
        <v>1760</v>
      </c>
      <c r="B620" s="21" t="s">
        <v>1761</v>
      </c>
      <c r="C620" s="22" t="s">
        <v>102</v>
      </c>
      <c r="D620" s="21" t="s">
        <v>957</v>
      </c>
      <c r="E620" s="22" t="s">
        <v>99</v>
      </c>
      <c r="F620" s="21" t="s">
        <v>104</v>
      </c>
    </row>
    <row r="621">
      <c r="A621" s="21" t="s">
        <v>1762</v>
      </c>
      <c r="B621" s="21" t="s">
        <v>1763</v>
      </c>
      <c r="C621" s="22" t="s">
        <v>102</v>
      </c>
      <c r="D621" s="21" t="s">
        <v>960</v>
      </c>
      <c r="E621" s="22" t="s">
        <v>99</v>
      </c>
      <c r="F621" s="21" t="s">
        <v>186</v>
      </c>
    </row>
    <row r="622">
      <c r="A622" s="21" t="s">
        <v>1764</v>
      </c>
      <c r="B622" s="21" t="s">
        <v>1765</v>
      </c>
      <c r="C622" s="22" t="s">
        <v>102</v>
      </c>
      <c r="D622" s="21" t="s">
        <v>963</v>
      </c>
      <c r="E622" s="22" t="s">
        <v>99</v>
      </c>
      <c r="F622" s="21" t="s">
        <v>499</v>
      </c>
    </row>
    <row r="623">
      <c r="A623" s="21" t="s">
        <v>73</v>
      </c>
      <c r="B623" s="21" t="s">
        <v>1766</v>
      </c>
      <c r="C623" s="22" t="s">
        <v>102</v>
      </c>
      <c r="D623" s="21" t="s">
        <v>968</v>
      </c>
      <c r="E623" s="22" t="s">
        <v>99</v>
      </c>
      <c r="F623" s="21" t="s">
        <v>499</v>
      </c>
    </row>
    <row r="624">
      <c r="A624" s="21" t="s">
        <v>1767</v>
      </c>
      <c r="B624" s="21" t="s">
        <v>1768</v>
      </c>
      <c r="C624" s="22" t="s">
        <v>102</v>
      </c>
      <c r="D624" s="21" t="s">
        <v>968</v>
      </c>
      <c r="E624" s="22" t="s">
        <v>99</v>
      </c>
      <c r="F624" s="21" t="s">
        <v>499</v>
      </c>
    </row>
    <row r="625">
      <c r="A625" s="21" t="s">
        <v>1769</v>
      </c>
      <c r="B625" s="21" t="s">
        <v>1770</v>
      </c>
      <c r="C625" s="22" t="s">
        <v>102</v>
      </c>
      <c r="D625" s="23"/>
      <c r="E625" s="23"/>
      <c r="F625" s="21" t="s">
        <v>157</v>
      </c>
    </row>
    <row r="626">
      <c r="A626" s="21" t="s">
        <v>1771</v>
      </c>
      <c r="B626" s="21" t="s">
        <v>1772</v>
      </c>
      <c r="C626" s="22" t="s">
        <v>102</v>
      </c>
      <c r="D626" s="21" t="s">
        <v>1773</v>
      </c>
      <c r="E626" s="22" t="s">
        <v>99</v>
      </c>
      <c r="F626" s="21" t="s">
        <v>104</v>
      </c>
    </row>
    <row r="627">
      <c r="A627" s="21" t="s">
        <v>1774</v>
      </c>
      <c r="B627" s="21" t="s">
        <v>1775</v>
      </c>
      <c r="C627" s="22" t="s">
        <v>102</v>
      </c>
      <c r="D627" s="21" t="s">
        <v>971</v>
      </c>
      <c r="E627" s="22" t="s">
        <v>99</v>
      </c>
      <c r="F627" s="21" t="s">
        <v>104</v>
      </c>
    </row>
    <row r="628">
      <c r="A628" s="21" t="s">
        <v>1776</v>
      </c>
      <c r="B628" s="21" t="s">
        <v>1777</v>
      </c>
      <c r="C628" s="22" t="s">
        <v>102</v>
      </c>
      <c r="D628" s="21" t="s">
        <v>974</v>
      </c>
      <c r="E628" s="22" t="s">
        <v>99</v>
      </c>
      <c r="F628" s="21" t="s">
        <v>104</v>
      </c>
    </row>
    <row r="629">
      <c r="A629" s="36" t="s">
        <v>1778</v>
      </c>
      <c r="B629" s="36" t="s">
        <v>1779</v>
      </c>
      <c r="C629" s="37" t="s">
        <v>102</v>
      </c>
      <c r="D629" s="36" t="s">
        <v>977</v>
      </c>
      <c r="E629" s="37" t="s">
        <v>99</v>
      </c>
      <c r="F629" s="36" t="s">
        <v>157</v>
      </c>
    </row>
    <row r="630">
      <c r="A630" s="18" t="s">
        <v>53</v>
      </c>
      <c r="B630" s="25" t="s">
        <v>1780</v>
      </c>
      <c r="C630" s="20" t="s">
        <v>166</v>
      </c>
      <c r="D630" s="18" t="s">
        <v>980</v>
      </c>
      <c r="E630" s="20" t="s">
        <v>99</v>
      </c>
      <c r="F630" s="18" t="s">
        <v>981</v>
      </c>
    </row>
    <row r="631">
      <c r="A631" s="18" t="s">
        <v>1781</v>
      </c>
      <c r="B631" s="25" t="s">
        <v>1782</v>
      </c>
      <c r="C631" s="20" t="s">
        <v>166</v>
      </c>
      <c r="D631" s="18" t="s">
        <v>984</v>
      </c>
      <c r="E631" s="20" t="s">
        <v>99</v>
      </c>
      <c r="F631" s="18" t="s">
        <v>981</v>
      </c>
    </row>
    <row r="632">
      <c r="A632" s="18" t="s">
        <v>34</v>
      </c>
      <c r="B632" s="25" t="s">
        <v>1783</v>
      </c>
      <c r="C632" s="20" t="s">
        <v>166</v>
      </c>
      <c r="D632" s="18" t="s">
        <v>987</v>
      </c>
      <c r="E632" s="20" t="s">
        <v>99</v>
      </c>
      <c r="F632" s="18" t="s">
        <v>981</v>
      </c>
    </row>
    <row r="633">
      <c r="A633" s="18" t="s">
        <v>30</v>
      </c>
      <c r="B633" s="25" t="s">
        <v>1784</v>
      </c>
      <c r="C633" s="20" t="s">
        <v>166</v>
      </c>
      <c r="D633" s="18" t="s">
        <v>990</v>
      </c>
      <c r="E633" s="20" t="s">
        <v>99</v>
      </c>
      <c r="F633" s="18" t="s">
        <v>981</v>
      </c>
    </row>
    <row r="634">
      <c r="A634" s="32" t="s">
        <v>80</v>
      </c>
      <c r="B634" s="32" t="s">
        <v>1785</v>
      </c>
      <c r="C634" s="38" t="s">
        <v>166</v>
      </c>
      <c r="D634" s="32" t="s">
        <v>993</v>
      </c>
      <c r="E634" s="38" t="s">
        <v>99</v>
      </c>
      <c r="F634" s="32" t="s">
        <v>981</v>
      </c>
    </row>
    <row r="635">
      <c r="A635" s="21" t="s">
        <v>1786</v>
      </c>
      <c r="B635" s="21" t="s">
        <v>1787</v>
      </c>
      <c r="C635" s="22" t="s">
        <v>102</v>
      </c>
      <c r="D635" s="21" t="s">
        <v>1788</v>
      </c>
      <c r="E635" s="23"/>
      <c r="F635" s="21" t="s">
        <v>265</v>
      </c>
    </row>
    <row r="636">
      <c r="A636" s="21" t="s">
        <v>1789</v>
      </c>
      <c r="B636" s="21" t="s">
        <v>1790</v>
      </c>
      <c r="C636" s="22" t="s">
        <v>102</v>
      </c>
      <c r="D636" s="21" t="s">
        <v>996</v>
      </c>
      <c r="E636" s="22" t="s">
        <v>99</v>
      </c>
      <c r="F636" s="21" t="s">
        <v>997</v>
      </c>
    </row>
    <row r="637">
      <c r="A637" s="21" t="s">
        <v>1791</v>
      </c>
      <c r="B637" s="21" t="s">
        <v>1792</v>
      </c>
      <c r="C637" s="22" t="s">
        <v>102</v>
      </c>
      <c r="D637" s="21" t="s">
        <v>1000</v>
      </c>
      <c r="E637" s="22" t="s">
        <v>99</v>
      </c>
      <c r="F637" s="21" t="s">
        <v>186</v>
      </c>
    </row>
    <row r="638">
      <c r="A638" s="36" t="s">
        <v>1793</v>
      </c>
      <c r="B638" s="36" t="s">
        <v>1794</v>
      </c>
      <c r="C638" s="37" t="s">
        <v>102</v>
      </c>
      <c r="D638" s="36" t="s">
        <v>1003</v>
      </c>
      <c r="E638" s="37" t="s">
        <v>99</v>
      </c>
      <c r="F638" s="36" t="s">
        <v>376</v>
      </c>
    </row>
    <row r="639">
      <c r="A639" s="32" t="s">
        <v>1795</v>
      </c>
      <c r="B639" s="32" t="s">
        <v>1796</v>
      </c>
      <c r="C639" s="38" t="s">
        <v>102</v>
      </c>
      <c r="D639" s="32" t="s">
        <v>1797</v>
      </c>
      <c r="E639" s="33"/>
      <c r="F639" s="32" t="s">
        <v>463</v>
      </c>
    </row>
    <row r="640">
      <c r="A640" s="36" t="s">
        <v>1798</v>
      </c>
      <c r="B640" s="36" t="s">
        <v>1799</v>
      </c>
      <c r="C640" s="37" t="s">
        <v>102</v>
      </c>
      <c r="D640" s="36" t="s">
        <v>1800</v>
      </c>
      <c r="E640" s="48"/>
      <c r="F640" s="36" t="s">
        <v>463</v>
      </c>
    </row>
    <row r="641">
      <c r="A641" s="18" t="s">
        <v>1801</v>
      </c>
      <c r="B641" s="18" t="s">
        <v>1802</v>
      </c>
      <c r="C641" s="20" t="s">
        <v>166</v>
      </c>
      <c r="D641" s="18" t="s">
        <v>1006</v>
      </c>
      <c r="E641" s="20" t="s">
        <v>99</v>
      </c>
      <c r="F641" s="18" t="s">
        <v>463</v>
      </c>
    </row>
    <row r="642">
      <c r="A642" s="32" t="s">
        <v>1803</v>
      </c>
      <c r="B642" s="32" t="s">
        <v>1804</v>
      </c>
      <c r="C642" s="38" t="s">
        <v>284</v>
      </c>
      <c r="D642" s="32" t="s">
        <v>99</v>
      </c>
      <c r="E642" s="38" t="s">
        <v>99</v>
      </c>
      <c r="F642" s="32" t="s">
        <v>99</v>
      </c>
    </row>
    <row r="643">
      <c r="A643" s="21" t="s">
        <v>1805</v>
      </c>
      <c r="B643" s="21" t="s">
        <v>1806</v>
      </c>
      <c r="C643" s="22" t="s">
        <v>102</v>
      </c>
      <c r="D643" s="21" t="s">
        <v>1807</v>
      </c>
      <c r="E643" s="23"/>
      <c r="F643" s="21" t="s">
        <v>635</v>
      </c>
    </row>
    <row r="644">
      <c r="A644" s="36" t="s">
        <v>1808</v>
      </c>
      <c r="B644" s="36" t="s">
        <v>1809</v>
      </c>
      <c r="C644" s="37" t="s">
        <v>166</v>
      </c>
      <c r="D644" s="36" t="s">
        <v>1810</v>
      </c>
      <c r="E644" s="48"/>
      <c r="F644" s="36" t="s">
        <v>149</v>
      </c>
    </row>
    <row r="645">
      <c r="A645" s="18" t="s">
        <v>31</v>
      </c>
      <c r="B645" s="18" t="s">
        <v>1619</v>
      </c>
      <c r="C645" s="20" t="s">
        <v>166</v>
      </c>
      <c r="D645" s="18" t="s">
        <v>1618</v>
      </c>
      <c r="E645" s="20" t="s">
        <v>1811</v>
      </c>
      <c r="F645" s="18" t="s">
        <v>149</v>
      </c>
    </row>
    <row r="646">
      <c r="A646" s="24" t="s">
        <v>1812</v>
      </c>
      <c r="B646" s="24" t="s">
        <v>1813</v>
      </c>
      <c r="C646" s="20" t="s">
        <v>166</v>
      </c>
      <c r="D646" s="24" t="s">
        <v>1814</v>
      </c>
      <c r="E646" s="25" t="s">
        <v>1815</v>
      </c>
      <c r="F646" s="18" t="s">
        <v>149</v>
      </c>
    </row>
    <row r="647">
      <c r="A647" s="24" t="s">
        <v>1816</v>
      </c>
      <c r="B647" s="18" t="s">
        <v>1817</v>
      </c>
      <c r="C647" s="20" t="s">
        <v>166</v>
      </c>
      <c r="D647" s="18" t="s">
        <v>1818</v>
      </c>
      <c r="E647" s="20" t="s">
        <v>1153</v>
      </c>
      <c r="F647" s="18" t="s">
        <v>104</v>
      </c>
    </row>
    <row r="648">
      <c r="A648" s="32" t="s">
        <v>1819</v>
      </c>
      <c r="B648" s="32" t="s">
        <v>1820</v>
      </c>
      <c r="C648" s="38" t="s">
        <v>166</v>
      </c>
      <c r="D648" s="32" t="s">
        <v>1009</v>
      </c>
      <c r="E648" s="38" t="s">
        <v>99</v>
      </c>
      <c r="F648" s="32" t="s">
        <v>202</v>
      </c>
    </row>
    <row r="649">
      <c r="A649" s="21" t="s">
        <v>1821</v>
      </c>
      <c r="B649" s="21" t="s">
        <v>1822</v>
      </c>
      <c r="C649" s="22" t="s">
        <v>102</v>
      </c>
      <c r="D649" s="23"/>
      <c r="E649" s="23"/>
      <c r="F649" s="21" t="s">
        <v>1626</v>
      </c>
    </row>
    <row r="650">
      <c r="A650" s="21" t="s">
        <v>1823</v>
      </c>
      <c r="B650" s="21" t="s">
        <v>1824</v>
      </c>
      <c r="C650" s="22" t="s">
        <v>102</v>
      </c>
      <c r="D650" s="21" t="s">
        <v>1825</v>
      </c>
      <c r="E650" s="22" t="s">
        <v>99</v>
      </c>
      <c r="F650" s="21" t="s">
        <v>1826</v>
      </c>
    </row>
    <row r="651">
      <c r="A651" s="21" t="s">
        <v>1827</v>
      </c>
      <c r="B651" s="26" t="s">
        <v>1828</v>
      </c>
      <c r="C651" s="22" t="s">
        <v>102</v>
      </c>
      <c r="D651" s="21" t="s">
        <v>1012</v>
      </c>
      <c r="E651" s="22" t="s">
        <v>99</v>
      </c>
      <c r="F651" s="21" t="s">
        <v>353</v>
      </c>
    </row>
    <row r="652">
      <c r="A652" s="21" t="s">
        <v>1829</v>
      </c>
      <c r="B652" s="21" t="s">
        <v>1830</v>
      </c>
      <c r="C652" s="22" t="s">
        <v>102</v>
      </c>
      <c r="D652" s="21" t="s">
        <v>1015</v>
      </c>
      <c r="E652" s="22" t="s">
        <v>99</v>
      </c>
      <c r="F652" s="21" t="s">
        <v>222</v>
      </c>
    </row>
    <row r="653">
      <c r="A653" s="21" t="s">
        <v>1831</v>
      </c>
      <c r="B653" s="21" t="s">
        <v>1832</v>
      </c>
      <c r="C653" s="22" t="s">
        <v>102</v>
      </c>
      <c r="D653" s="21" t="s">
        <v>1833</v>
      </c>
      <c r="E653" s="23"/>
      <c r="F653" s="21" t="s">
        <v>1020</v>
      </c>
    </row>
    <row r="654">
      <c r="A654" s="21" t="s">
        <v>1834</v>
      </c>
      <c r="B654" s="21" t="s">
        <v>1835</v>
      </c>
      <c r="C654" s="22" t="s">
        <v>102</v>
      </c>
      <c r="D654" s="21" t="s">
        <v>1019</v>
      </c>
      <c r="E654" s="22" t="s">
        <v>99</v>
      </c>
      <c r="F654" s="21" t="s">
        <v>1020</v>
      </c>
    </row>
    <row r="655">
      <c r="A655" s="21" t="s">
        <v>67</v>
      </c>
      <c r="B655" s="21" t="s">
        <v>1836</v>
      </c>
      <c r="C655" s="22" t="s">
        <v>102</v>
      </c>
      <c r="D655" s="21" t="s">
        <v>1023</v>
      </c>
      <c r="E655" s="22" t="s">
        <v>1024</v>
      </c>
      <c r="F655" s="21" t="s">
        <v>1020</v>
      </c>
    </row>
    <row r="656">
      <c r="A656" s="36" t="s">
        <v>1837</v>
      </c>
      <c r="B656" s="36" t="s">
        <v>1838</v>
      </c>
      <c r="C656" s="37" t="s">
        <v>102</v>
      </c>
      <c r="D656" s="36" t="s">
        <v>1839</v>
      </c>
      <c r="E656" s="48"/>
      <c r="F656" s="36" t="s">
        <v>1020</v>
      </c>
    </row>
    <row r="657">
      <c r="A657" s="32" t="s">
        <v>1840</v>
      </c>
      <c r="B657" s="32" t="s">
        <v>1841</v>
      </c>
      <c r="C657" s="38" t="s">
        <v>166</v>
      </c>
      <c r="D657" s="32" t="s">
        <v>1842</v>
      </c>
      <c r="E657" s="38" t="s">
        <v>99</v>
      </c>
      <c r="F657" s="32" t="s">
        <v>1020</v>
      </c>
    </row>
    <row r="658">
      <c r="A658" s="36" t="s">
        <v>1843</v>
      </c>
      <c r="B658" s="36" t="s">
        <v>1844</v>
      </c>
      <c r="C658" s="37" t="s">
        <v>102</v>
      </c>
      <c r="D658" s="48"/>
      <c r="E658" s="48"/>
      <c r="F658" s="48"/>
    </row>
    <row r="659">
      <c r="A659" s="18" t="s">
        <v>1845</v>
      </c>
      <c r="B659" s="18" t="s">
        <v>1846</v>
      </c>
      <c r="C659" s="20" t="s">
        <v>166</v>
      </c>
      <c r="D659" s="18" t="s">
        <v>1847</v>
      </c>
      <c r="E659" s="19"/>
      <c r="F659" s="18" t="s">
        <v>149</v>
      </c>
    </row>
    <row r="660">
      <c r="A660" s="18" t="s">
        <v>1848</v>
      </c>
      <c r="B660" s="18" t="s">
        <v>1849</v>
      </c>
      <c r="C660" s="20" t="s">
        <v>166</v>
      </c>
      <c r="D660" s="18" t="s">
        <v>1027</v>
      </c>
      <c r="E660" s="20" t="s">
        <v>99</v>
      </c>
      <c r="F660" s="18" t="s">
        <v>104</v>
      </c>
    </row>
    <row r="661">
      <c r="A661" s="18" t="s">
        <v>1850</v>
      </c>
      <c r="B661" s="18" t="s">
        <v>1851</v>
      </c>
      <c r="C661" s="20" t="s">
        <v>166</v>
      </c>
      <c r="D661" s="18" t="s">
        <v>1852</v>
      </c>
      <c r="E661" s="19"/>
      <c r="F661" s="18" t="s">
        <v>981</v>
      </c>
    </row>
    <row r="662">
      <c r="A662" s="32" t="s">
        <v>1853</v>
      </c>
      <c r="B662" s="32" t="s">
        <v>1854</v>
      </c>
      <c r="C662" s="38" t="s">
        <v>166</v>
      </c>
      <c r="D662" s="32" t="s">
        <v>1030</v>
      </c>
      <c r="E662" s="38" t="s">
        <v>99</v>
      </c>
      <c r="F662" s="32" t="s">
        <v>981</v>
      </c>
    </row>
    <row r="663">
      <c r="A663" s="21" t="s">
        <v>1855</v>
      </c>
      <c r="B663" s="21" t="s">
        <v>1856</v>
      </c>
      <c r="C663" s="22" t="s">
        <v>102</v>
      </c>
      <c r="D663" s="21" t="s">
        <v>1857</v>
      </c>
      <c r="E663" s="22" t="s">
        <v>99</v>
      </c>
      <c r="F663" s="21" t="s">
        <v>157</v>
      </c>
    </row>
    <row r="664">
      <c r="A664" s="32" t="s">
        <v>1858</v>
      </c>
      <c r="B664" s="34" t="s">
        <v>1859</v>
      </c>
      <c r="C664" s="38" t="s">
        <v>102</v>
      </c>
      <c r="D664" s="33"/>
      <c r="E664" s="33"/>
      <c r="F664" s="33"/>
    </row>
    <row r="665">
      <c r="A665" s="21" t="s">
        <v>1860</v>
      </c>
      <c r="B665" s="21" t="s">
        <v>1861</v>
      </c>
      <c r="C665" s="22" t="s">
        <v>102</v>
      </c>
      <c r="D665" s="23"/>
      <c r="E665" s="23"/>
      <c r="F665" s="21" t="s">
        <v>157</v>
      </c>
    </row>
    <row r="666">
      <c r="A666" s="21" t="s">
        <v>1862</v>
      </c>
      <c r="B666" s="21" t="s">
        <v>1863</v>
      </c>
      <c r="C666" s="22" t="s">
        <v>102</v>
      </c>
      <c r="D666" s="23"/>
      <c r="E666" s="23"/>
      <c r="F666" s="21" t="s">
        <v>157</v>
      </c>
    </row>
    <row r="667">
      <c r="A667" s="36" t="s">
        <v>1864</v>
      </c>
      <c r="B667" s="36" t="s">
        <v>1865</v>
      </c>
      <c r="C667" s="37" t="s">
        <v>102</v>
      </c>
      <c r="D667" s="48"/>
      <c r="E667" s="48"/>
      <c r="F667" s="36" t="s">
        <v>157</v>
      </c>
    </row>
    <row r="668">
      <c r="A668" s="21" t="s">
        <v>1866</v>
      </c>
      <c r="B668" s="21" t="s">
        <v>1867</v>
      </c>
      <c r="C668" s="22" t="s">
        <v>102</v>
      </c>
      <c r="D668" s="23"/>
      <c r="E668" s="23"/>
      <c r="F668" s="21" t="s">
        <v>157</v>
      </c>
    </row>
    <row r="669">
      <c r="A669" s="18" t="s">
        <v>1868</v>
      </c>
      <c r="B669" s="18" t="s">
        <v>1869</v>
      </c>
      <c r="C669" s="20" t="s">
        <v>166</v>
      </c>
      <c r="D669" s="18" t="s">
        <v>1035</v>
      </c>
      <c r="E669" s="20" t="s">
        <v>99</v>
      </c>
      <c r="F669" s="18" t="s">
        <v>104</v>
      </c>
    </row>
    <row r="670">
      <c r="A670" s="21" t="s">
        <v>1870</v>
      </c>
      <c r="B670" s="21" t="s">
        <v>1871</v>
      </c>
      <c r="C670" s="22" t="s">
        <v>102</v>
      </c>
      <c r="D670" s="23"/>
      <c r="E670" s="23"/>
      <c r="F670" s="21" t="s">
        <v>104</v>
      </c>
    </row>
    <row r="671">
      <c r="A671" s="32" t="s">
        <v>1872</v>
      </c>
      <c r="B671" s="32" t="s">
        <v>1873</v>
      </c>
      <c r="C671" s="38" t="s">
        <v>166</v>
      </c>
      <c r="D671" s="32" t="s">
        <v>1874</v>
      </c>
      <c r="E671" s="38" t="s">
        <v>99</v>
      </c>
      <c r="F671" s="32" t="s">
        <v>104</v>
      </c>
    </row>
    <row r="672">
      <c r="A672" s="21" t="s">
        <v>56</v>
      </c>
      <c r="B672" s="21" t="s">
        <v>1875</v>
      </c>
      <c r="C672" s="22" t="s">
        <v>102</v>
      </c>
      <c r="D672" s="21" t="s">
        <v>1038</v>
      </c>
      <c r="E672" s="22" t="s">
        <v>99</v>
      </c>
      <c r="F672" s="21" t="s">
        <v>104</v>
      </c>
    </row>
    <row r="673">
      <c r="A673" s="21" t="s">
        <v>1876</v>
      </c>
      <c r="B673" s="21" t="s">
        <v>1877</v>
      </c>
      <c r="C673" s="22" t="s">
        <v>102</v>
      </c>
      <c r="D673" s="21" t="s">
        <v>1041</v>
      </c>
      <c r="E673" s="22" t="s">
        <v>99</v>
      </c>
      <c r="F673" s="21" t="s">
        <v>104</v>
      </c>
    </row>
    <row r="674">
      <c r="A674" s="21" t="s">
        <v>1878</v>
      </c>
      <c r="B674" s="21" t="s">
        <v>1879</v>
      </c>
      <c r="C674" s="22" t="s">
        <v>102</v>
      </c>
      <c r="D674" s="23"/>
      <c r="E674" s="23"/>
      <c r="F674" s="21" t="s">
        <v>104</v>
      </c>
    </row>
    <row r="675">
      <c r="A675" s="36" t="s">
        <v>1880</v>
      </c>
      <c r="B675" s="36" t="s">
        <v>1881</v>
      </c>
      <c r="C675" s="37" t="s">
        <v>102</v>
      </c>
      <c r="D675" s="36" t="s">
        <v>1044</v>
      </c>
      <c r="E675" s="37" t="s">
        <v>99</v>
      </c>
      <c r="F675" s="36" t="s">
        <v>186</v>
      </c>
    </row>
    <row r="676">
      <c r="A676" s="21" t="s">
        <v>1882</v>
      </c>
      <c r="B676" s="21" t="s">
        <v>1883</v>
      </c>
      <c r="C676" s="22" t="s">
        <v>102</v>
      </c>
      <c r="D676" s="21" t="s">
        <v>1047</v>
      </c>
      <c r="E676" s="22" t="s">
        <v>99</v>
      </c>
      <c r="F676" s="21" t="s">
        <v>104</v>
      </c>
    </row>
    <row r="677">
      <c r="A677" s="32" t="s">
        <v>1884</v>
      </c>
      <c r="B677" s="32" t="s">
        <v>1885</v>
      </c>
      <c r="C677" s="38" t="s">
        <v>166</v>
      </c>
      <c r="D677" s="32" t="s">
        <v>1050</v>
      </c>
      <c r="E677" s="38" t="s">
        <v>99</v>
      </c>
      <c r="F677" s="32" t="s">
        <v>104</v>
      </c>
    </row>
    <row r="678">
      <c r="A678" s="36" t="s">
        <v>1886</v>
      </c>
      <c r="B678" s="36" t="s">
        <v>1887</v>
      </c>
      <c r="C678" s="37" t="s">
        <v>102</v>
      </c>
      <c r="D678" s="36" t="s">
        <v>1053</v>
      </c>
      <c r="E678" s="37" t="s">
        <v>99</v>
      </c>
      <c r="F678" s="36" t="s">
        <v>104</v>
      </c>
    </row>
    <row r="679">
      <c r="A679" s="21" t="s">
        <v>1888</v>
      </c>
      <c r="B679" s="21" t="s">
        <v>1889</v>
      </c>
      <c r="C679" s="22" t="s">
        <v>102</v>
      </c>
      <c r="D679" s="21" t="s">
        <v>1056</v>
      </c>
      <c r="E679" s="22" t="s">
        <v>99</v>
      </c>
      <c r="F679" s="21" t="s">
        <v>186</v>
      </c>
    </row>
    <row r="680">
      <c r="A680" s="32" t="s">
        <v>1890</v>
      </c>
      <c r="B680" s="32" t="s">
        <v>1891</v>
      </c>
      <c r="C680" s="38" t="s">
        <v>166</v>
      </c>
      <c r="D680" s="32" t="s">
        <v>1311</v>
      </c>
      <c r="E680" s="32" t="s">
        <v>1892</v>
      </c>
      <c r="F680" s="32" t="s">
        <v>104</v>
      </c>
    </row>
    <row r="681">
      <c r="A681" s="21" t="s">
        <v>1893</v>
      </c>
      <c r="B681" s="21" t="s">
        <v>1894</v>
      </c>
      <c r="C681" s="22" t="s">
        <v>102</v>
      </c>
      <c r="D681" s="21" t="s">
        <v>1059</v>
      </c>
      <c r="E681" s="22" t="s">
        <v>99</v>
      </c>
      <c r="F681" s="21" t="s">
        <v>104</v>
      </c>
    </row>
    <row r="682">
      <c r="A682" s="21" t="s">
        <v>1895</v>
      </c>
      <c r="B682" s="21" t="s">
        <v>1896</v>
      </c>
      <c r="C682" s="22" t="s">
        <v>102</v>
      </c>
      <c r="D682" s="21" t="s">
        <v>1062</v>
      </c>
      <c r="E682" s="22" t="s">
        <v>99</v>
      </c>
      <c r="F682" s="21" t="s">
        <v>1063</v>
      </c>
    </row>
    <row r="683">
      <c r="A683" s="21" t="s">
        <v>1897</v>
      </c>
      <c r="B683" s="21" t="s">
        <v>1898</v>
      </c>
      <c r="C683" s="22" t="s">
        <v>102</v>
      </c>
      <c r="D683" s="21" t="s">
        <v>1066</v>
      </c>
      <c r="E683" s="22" t="s">
        <v>99</v>
      </c>
      <c r="F683" s="21" t="s">
        <v>1067</v>
      </c>
    </row>
    <row r="684">
      <c r="A684" s="21" t="s">
        <v>1899</v>
      </c>
      <c r="B684" s="21" t="s">
        <v>1900</v>
      </c>
      <c r="C684" s="22" t="s">
        <v>102</v>
      </c>
      <c r="D684" s="21" t="s">
        <v>1070</v>
      </c>
      <c r="E684" s="22" t="s">
        <v>1071</v>
      </c>
      <c r="F684" s="21" t="s">
        <v>492</v>
      </c>
    </row>
    <row r="685">
      <c r="A685" s="36" t="s">
        <v>1901</v>
      </c>
      <c r="B685" s="36" t="s">
        <v>1902</v>
      </c>
      <c r="C685" s="37" t="s">
        <v>102</v>
      </c>
      <c r="D685" s="36" t="s">
        <v>1074</v>
      </c>
      <c r="E685" s="37" t="s">
        <v>99</v>
      </c>
      <c r="F685" s="36" t="s">
        <v>140</v>
      </c>
    </row>
    <row r="686">
      <c r="A686" s="36" t="s">
        <v>1903</v>
      </c>
      <c r="B686" s="36" t="s">
        <v>1904</v>
      </c>
      <c r="C686" s="37" t="s">
        <v>102</v>
      </c>
      <c r="D686" s="36" t="s">
        <v>1077</v>
      </c>
      <c r="E686" s="37" t="s">
        <v>99</v>
      </c>
      <c r="F686" s="36" t="s">
        <v>104</v>
      </c>
    </row>
    <row r="687">
      <c r="A687" s="18" t="s">
        <v>1905</v>
      </c>
      <c r="B687" s="18" t="s">
        <v>314</v>
      </c>
      <c r="C687" s="20" t="s">
        <v>166</v>
      </c>
      <c r="D687" s="18" t="s">
        <v>315</v>
      </c>
      <c r="E687" s="20" t="s">
        <v>313</v>
      </c>
      <c r="F687" s="18" t="s">
        <v>265</v>
      </c>
    </row>
    <row r="688">
      <c r="A688" s="18" t="s">
        <v>1906</v>
      </c>
      <c r="B688" s="18" t="s">
        <v>1907</v>
      </c>
      <c r="C688" s="20" t="s">
        <v>166</v>
      </c>
      <c r="D688" s="18" t="s">
        <v>1082</v>
      </c>
      <c r="E688" s="20" t="s">
        <v>99</v>
      </c>
      <c r="F688" s="18" t="s">
        <v>149</v>
      </c>
    </row>
    <row r="689">
      <c r="A689" s="18" t="s">
        <v>1908</v>
      </c>
      <c r="B689" s="18" t="s">
        <v>1909</v>
      </c>
      <c r="C689" s="20" t="s">
        <v>166</v>
      </c>
      <c r="D689" s="19"/>
      <c r="E689" s="19"/>
      <c r="F689" s="18" t="s">
        <v>265</v>
      </c>
    </row>
    <row r="690">
      <c r="A690" s="32" t="s">
        <v>1910</v>
      </c>
      <c r="B690" s="32" t="s">
        <v>1911</v>
      </c>
      <c r="C690" s="38" t="s">
        <v>166</v>
      </c>
      <c r="D690" s="32" t="s">
        <v>1085</v>
      </c>
      <c r="E690" s="38" t="s">
        <v>99</v>
      </c>
      <c r="F690" s="32" t="s">
        <v>104</v>
      </c>
    </row>
    <row r="691">
      <c r="A691" s="32" t="s">
        <v>1912</v>
      </c>
      <c r="B691" s="32" t="s">
        <v>1913</v>
      </c>
      <c r="C691" s="38" t="s">
        <v>166</v>
      </c>
      <c r="D691" s="32" t="s">
        <v>1914</v>
      </c>
      <c r="E691" s="33"/>
      <c r="F691" s="32" t="s">
        <v>104</v>
      </c>
    </row>
    <row r="692">
      <c r="A692" s="21" t="s">
        <v>1915</v>
      </c>
      <c r="B692" s="21" t="s">
        <v>1916</v>
      </c>
      <c r="C692" s="22" t="s">
        <v>102</v>
      </c>
      <c r="D692" s="23"/>
      <c r="E692" s="23"/>
      <c r="F692" s="21" t="s">
        <v>104</v>
      </c>
    </row>
    <row r="693">
      <c r="A693" s="21" t="s">
        <v>1917</v>
      </c>
      <c r="B693" s="21" t="s">
        <v>1918</v>
      </c>
      <c r="C693" s="22" t="s">
        <v>102</v>
      </c>
      <c r="D693" s="21" t="s">
        <v>1282</v>
      </c>
      <c r="E693" s="22" t="s">
        <v>1283</v>
      </c>
      <c r="F693" s="21" t="s">
        <v>1284</v>
      </c>
    </row>
    <row r="694">
      <c r="A694" s="21" t="s">
        <v>1919</v>
      </c>
      <c r="B694" s="21" t="s">
        <v>1920</v>
      </c>
      <c r="C694" s="22" t="s">
        <v>102</v>
      </c>
      <c r="D694" s="21" t="s">
        <v>1088</v>
      </c>
      <c r="E694" s="22" t="s">
        <v>99</v>
      </c>
      <c r="F694" s="21" t="s">
        <v>104</v>
      </c>
    </row>
    <row r="695">
      <c r="A695" s="21" t="s">
        <v>1921</v>
      </c>
      <c r="B695" s="21" t="s">
        <v>1922</v>
      </c>
      <c r="C695" s="22" t="s">
        <v>102</v>
      </c>
      <c r="D695" s="21" t="s">
        <v>1091</v>
      </c>
      <c r="E695" s="22" t="s">
        <v>99</v>
      </c>
      <c r="F695" s="21" t="s">
        <v>1092</v>
      </c>
    </row>
    <row r="696">
      <c r="A696" s="21" t="s">
        <v>1923</v>
      </c>
      <c r="B696" s="21" t="s">
        <v>1924</v>
      </c>
      <c r="C696" s="22" t="s">
        <v>102</v>
      </c>
      <c r="D696" s="21" t="s">
        <v>1925</v>
      </c>
      <c r="E696" s="22" t="s">
        <v>99</v>
      </c>
      <c r="F696" s="21" t="s">
        <v>1095</v>
      </c>
    </row>
    <row r="697">
      <c r="A697" s="21" t="s">
        <v>1926</v>
      </c>
      <c r="B697" s="21" t="s">
        <v>1927</v>
      </c>
      <c r="C697" s="22" t="s">
        <v>102</v>
      </c>
      <c r="D697" s="21" t="s">
        <v>1928</v>
      </c>
      <c r="E697" s="22" t="s">
        <v>99</v>
      </c>
      <c r="F697" s="21" t="s">
        <v>1095</v>
      </c>
    </row>
    <row r="698">
      <c r="A698" s="21" t="s">
        <v>1929</v>
      </c>
      <c r="B698" s="21" t="s">
        <v>1930</v>
      </c>
      <c r="C698" s="22" t="s">
        <v>102</v>
      </c>
      <c r="D698" s="23"/>
      <c r="E698" s="23"/>
      <c r="F698" s="21" t="s">
        <v>1095</v>
      </c>
    </row>
    <row r="699">
      <c r="A699" s="21" t="s">
        <v>1931</v>
      </c>
      <c r="B699" s="21" t="s">
        <v>1932</v>
      </c>
      <c r="C699" s="22" t="s">
        <v>102</v>
      </c>
      <c r="D699" s="23"/>
      <c r="E699" s="23"/>
      <c r="F699" s="21" t="s">
        <v>1095</v>
      </c>
    </row>
    <row r="700">
      <c r="A700" s="21" t="s">
        <v>1933</v>
      </c>
      <c r="B700" s="21" t="s">
        <v>1934</v>
      </c>
      <c r="C700" s="22" t="s">
        <v>102</v>
      </c>
      <c r="D700" s="21" t="s">
        <v>1935</v>
      </c>
      <c r="E700" s="22" t="s">
        <v>99</v>
      </c>
      <c r="F700" s="21" t="s">
        <v>1095</v>
      </c>
    </row>
    <row r="701">
      <c r="A701" s="21" t="s">
        <v>1936</v>
      </c>
      <c r="B701" s="21" t="s">
        <v>1937</v>
      </c>
      <c r="C701" s="22" t="s">
        <v>102</v>
      </c>
      <c r="D701" s="21" t="s">
        <v>1938</v>
      </c>
      <c r="E701" s="22" t="s">
        <v>99</v>
      </c>
      <c r="F701" s="21" t="s">
        <v>1095</v>
      </c>
    </row>
    <row r="702">
      <c r="A702" s="36" t="s">
        <v>1939</v>
      </c>
      <c r="B702" s="36" t="s">
        <v>1940</v>
      </c>
      <c r="C702" s="37" t="s">
        <v>102</v>
      </c>
      <c r="D702" s="36" t="s">
        <v>1098</v>
      </c>
      <c r="E702" s="37" t="s">
        <v>99</v>
      </c>
      <c r="F702" s="36" t="s">
        <v>206</v>
      </c>
    </row>
    <row r="703">
      <c r="A703" s="36" t="s">
        <v>1941</v>
      </c>
      <c r="B703" s="36" t="s">
        <v>1942</v>
      </c>
      <c r="C703" s="37" t="s">
        <v>102</v>
      </c>
      <c r="D703" s="36" t="s">
        <v>1101</v>
      </c>
      <c r="E703" s="37" t="s">
        <v>99</v>
      </c>
      <c r="F703" s="36" t="s">
        <v>206</v>
      </c>
    </row>
    <row r="704">
      <c r="A704" s="32" t="s">
        <v>28</v>
      </c>
      <c r="B704" s="32" t="s">
        <v>1943</v>
      </c>
      <c r="C704" s="38" t="s">
        <v>284</v>
      </c>
      <c r="D704" s="32" t="s">
        <v>99</v>
      </c>
      <c r="E704" s="38" t="s">
        <v>99</v>
      </c>
      <c r="F704" s="32" t="s">
        <v>99</v>
      </c>
    </row>
    <row r="705">
      <c r="A705" s="18" t="s">
        <v>1944</v>
      </c>
      <c r="B705" s="18" t="s">
        <v>1945</v>
      </c>
      <c r="C705" s="20" t="s">
        <v>166</v>
      </c>
      <c r="D705" s="18" t="s">
        <v>1104</v>
      </c>
      <c r="E705" s="20" t="s">
        <v>99</v>
      </c>
      <c r="F705" s="18" t="s">
        <v>104</v>
      </c>
    </row>
    <row r="706">
      <c r="A706" s="52" t="s">
        <v>1946</v>
      </c>
      <c r="B706" s="53" t="s">
        <v>1947</v>
      </c>
      <c r="C706" s="37" t="s">
        <v>102</v>
      </c>
      <c r="D706" s="36" t="s">
        <v>546</v>
      </c>
      <c r="E706" s="53" t="s">
        <v>1107</v>
      </c>
      <c r="F706" s="52" t="s">
        <v>104</v>
      </c>
    </row>
    <row r="707">
      <c r="A707" s="32" t="s">
        <v>1948</v>
      </c>
      <c r="B707" s="32" t="s">
        <v>1949</v>
      </c>
      <c r="C707" s="38" t="s">
        <v>166</v>
      </c>
      <c r="D707" s="32" t="s">
        <v>1110</v>
      </c>
      <c r="E707" s="38" t="s">
        <v>99</v>
      </c>
      <c r="F707" s="32" t="s">
        <v>608</v>
      </c>
    </row>
    <row r="708">
      <c r="A708" s="54" t="s">
        <v>1950</v>
      </c>
      <c r="B708" s="34" t="s">
        <v>1951</v>
      </c>
      <c r="C708" s="38" t="s">
        <v>166</v>
      </c>
      <c r="D708" s="34" t="s">
        <v>1113</v>
      </c>
      <c r="E708" s="38" t="s">
        <v>99</v>
      </c>
      <c r="F708" s="54" t="s">
        <v>149</v>
      </c>
    </row>
    <row r="709">
      <c r="A709" s="21" t="s">
        <v>71</v>
      </c>
      <c r="B709" s="21" t="s">
        <v>1952</v>
      </c>
      <c r="C709" s="22" t="s">
        <v>102</v>
      </c>
      <c r="D709" s="23"/>
      <c r="E709" s="23"/>
      <c r="F709" s="21" t="s">
        <v>104</v>
      </c>
    </row>
    <row r="710">
      <c r="A710" s="21" t="s">
        <v>1953</v>
      </c>
      <c r="B710" s="21" t="s">
        <v>1954</v>
      </c>
      <c r="C710" s="22" t="s">
        <v>102</v>
      </c>
      <c r="D710" s="23"/>
      <c r="E710" s="23"/>
      <c r="F710" s="21" t="s">
        <v>104</v>
      </c>
    </row>
    <row r="711">
      <c r="A711" s="21" t="s">
        <v>1955</v>
      </c>
      <c r="B711" s="21" t="s">
        <v>1956</v>
      </c>
      <c r="C711" s="22" t="s">
        <v>102</v>
      </c>
      <c r="D711" s="21" t="s">
        <v>1116</v>
      </c>
      <c r="E711" s="22" t="s">
        <v>99</v>
      </c>
      <c r="F711" s="21" t="s">
        <v>104</v>
      </c>
    </row>
    <row r="712">
      <c r="A712" s="21" t="s">
        <v>1957</v>
      </c>
      <c r="B712" s="21" t="s">
        <v>1958</v>
      </c>
      <c r="C712" s="22" t="s">
        <v>102</v>
      </c>
      <c r="D712" s="21" t="s">
        <v>1119</v>
      </c>
      <c r="E712" s="22" t="s">
        <v>99</v>
      </c>
      <c r="F712" s="21" t="s">
        <v>104</v>
      </c>
    </row>
    <row r="713">
      <c r="A713" s="21" t="s">
        <v>1959</v>
      </c>
      <c r="B713" s="21" t="s">
        <v>1960</v>
      </c>
      <c r="C713" s="22" t="s">
        <v>102</v>
      </c>
      <c r="D713" s="21" t="s">
        <v>1122</v>
      </c>
      <c r="E713" s="22" t="s">
        <v>99</v>
      </c>
      <c r="F713" s="21" t="s">
        <v>109</v>
      </c>
    </row>
    <row r="714">
      <c r="A714" s="21" t="s">
        <v>1961</v>
      </c>
      <c r="B714" s="21" t="s">
        <v>1962</v>
      </c>
      <c r="C714" s="22" t="s">
        <v>102</v>
      </c>
      <c r="D714" s="21" t="s">
        <v>1125</v>
      </c>
      <c r="E714" s="22" t="s">
        <v>99</v>
      </c>
      <c r="F714" s="21" t="s">
        <v>104</v>
      </c>
    </row>
    <row r="715">
      <c r="A715" s="21" t="s">
        <v>1963</v>
      </c>
      <c r="B715" s="21" t="s">
        <v>1964</v>
      </c>
      <c r="C715" s="22" t="s">
        <v>102</v>
      </c>
      <c r="D715" s="21" t="s">
        <v>1128</v>
      </c>
      <c r="E715" s="21" t="s">
        <v>99</v>
      </c>
      <c r="F715" s="21" t="s">
        <v>157</v>
      </c>
    </row>
    <row r="716">
      <c r="A716" s="36" t="s">
        <v>1965</v>
      </c>
      <c r="B716" s="36" t="s">
        <v>1966</v>
      </c>
      <c r="C716" s="37" t="s">
        <v>102</v>
      </c>
      <c r="D716" s="36" t="s">
        <v>1967</v>
      </c>
      <c r="E716" s="48"/>
      <c r="F716" s="36" t="s">
        <v>104</v>
      </c>
    </row>
    <row r="717">
      <c r="A717" s="21" t="s">
        <v>1968</v>
      </c>
      <c r="B717" s="21" t="s">
        <v>1969</v>
      </c>
      <c r="C717" s="22" t="s">
        <v>102</v>
      </c>
      <c r="D717" s="23"/>
      <c r="E717" s="23"/>
      <c r="F717" s="21" t="s">
        <v>265</v>
      </c>
    </row>
    <row r="718">
      <c r="A718" s="32" t="s">
        <v>1970</v>
      </c>
      <c r="B718" s="32" t="s">
        <v>1971</v>
      </c>
      <c r="C718" s="38" t="s">
        <v>166</v>
      </c>
      <c r="D718" s="32" t="s">
        <v>1131</v>
      </c>
      <c r="E718" s="38" t="s">
        <v>99</v>
      </c>
      <c r="F718" s="32" t="s">
        <v>265</v>
      </c>
    </row>
    <row r="719">
      <c r="A719" s="21" t="s">
        <v>1972</v>
      </c>
      <c r="B719" s="21" t="s">
        <v>1973</v>
      </c>
      <c r="C719" s="22" t="s">
        <v>102</v>
      </c>
      <c r="D719" s="21" t="s">
        <v>1134</v>
      </c>
      <c r="E719" s="21" t="s">
        <v>99</v>
      </c>
      <c r="F719" s="21" t="s">
        <v>157</v>
      </c>
    </row>
    <row r="720">
      <c r="A720" s="21" t="s">
        <v>1974</v>
      </c>
      <c r="B720" s="21" t="s">
        <v>1975</v>
      </c>
      <c r="C720" s="22" t="s">
        <v>102</v>
      </c>
      <c r="D720" s="21" t="s">
        <v>1976</v>
      </c>
      <c r="E720" s="23"/>
      <c r="F720" s="21" t="s">
        <v>104</v>
      </c>
    </row>
    <row r="721">
      <c r="A721" s="21" t="s">
        <v>1977</v>
      </c>
      <c r="B721" s="21" t="s">
        <v>1978</v>
      </c>
      <c r="C721" s="22" t="s">
        <v>102</v>
      </c>
      <c r="D721" s="21" t="s">
        <v>1137</v>
      </c>
      <c r="E721" s="22" t="s">
        <v>99</v>
      </c>
      <c r="F721" s="21" t="s">
        <v>265</v>
      </c>
    </row>
    <row r="722">
      <c r="A722" s="21" t="s">
        <v>1979</v>
      </c>
      <c r="B722" s="21" t="s">
        <v>1980</v>
      </c>
      <c r="C722" s="22" t="s">
        <v>102</v>
      </c>
      <c r="D722" s="23"/>
      <c r="E722" s="23"/>
      <c r="F722" s="21" t="s">
        <v>265</v>
      </c>
    </row>
    <row r="723">
      <c r="A723" s="21" t="s">
        <v>1981</v>
      </c>
      <c r="B723" s="21" t="s">
        <v>1982</v>
      </c>
      <c r="C723" s="22" t="s">
        <v>102</v>
      </c>
      <c r="D723" s="23"/>
      <c r="E723" s="23"/>
      <c r="F723" s="21" t="s">
        <v>265</v>
      </c>
    </row>
    <row r="724">
      <c r="A724" s="21" t="s">
        <v>1983</v>
      </c>
      <c r="B724" s="21" t="s">
        <v>1984</v>
      </c>
      <c r="C724" s="22" t="s">
        <v>102</v>
      </c>
      <c r="D724" s="21" t="s">
        <v>1140</v>
      </c>
      <c r="E724" s="22" t="s">
        <v>99</v>
      </c>
      <c r="F724" s="21" t="s">
        <v>104</v>
      </c>
    </row>
    <row r="725">
      <c r="A725" s="21" t="s">
        <v>1985</v>
      </c>
      <c r="B725" s="21" t="s">
        <v>558</v>
      </c>
      <c r="C725" s="22" t="s">
        <v>102</v>
      </c>
      <c r="D725" s="21" t="s">
        <v>559</v>
      </c>
      <c r="E725" s="22" t="s">
        <v>560</v>
      </c>
      <c r="F725" s="21" t="s">
        <v>104</v>
      </c>
    </row>
    <row r="726">
      <c r="A726" s="36" t="s">
        <v>1986</v>
      </c>
      <c r="B726" s="36" t="s">
        <v>1739</v>
      </c>
      <c r="C726" s="37" t="s">
        <v>102</v>
      </c>
      <c r="D726" s="36" t="s">
        <v>931</v>
      </c>
      <c r="E726" s="37" t="s">
        <v>932</v>
      </c>
      <c r="F726" s="36" t="s">
        <v>149</v>
      </c>
    </row>
    <row r="727">
      <c r="A727" s="36" t="s">
        <v>1987</v>
      </c>
      <c r="B727" s="36" t="s">
        <v>1988</v>
      </c>
      <c r="C727" s="37" t="s">
        <v>102</v>
      </c>
      <c r="D727" s="36" t="s">
        <v>1989</v>
      </c>
      <c r="E727" s="37" t="s">
        <v>99</v>
      </c>
      <c r="F727" s="36" t="s">
        <v>1990</v>
      </c>
    </row>
    <row r="728">
      <c r="A728" s="18" t="s">
        <v>1991</v>
      </c>
      <c r="B728" s="18" t="s">
        <v>1992</v>
      </c>
      <c r="C728" s="20" t="s">
        <v>166</v>
      </c>
      <c r="D728" s="18" t="s">
        <v>1993</v>
      </c>
      <c r="E728" s="20" t="s">
        <v>99</v>
      </c>
      <c r="F728" s="18" t="s">
        <v>1990</v>
      </c>
    </row>
    <row r="729">
      <c r="A729" s="32" t="s">
        <v>1994</v>
      </c>
      <c r="B729" s="32" t="s">
        <v>1995</v>
      </c>
      <c r="C729" s="38" t="s">
        <v>166</v>
      </c>
      <c r="D729" s="32" t="s">
        <v>1996</v>
      </c>
      <c r="E729" s="38" t="s">
        <v>99</v>
      </c>
      <c r="F729" s="32" t="s">
        <v>1990</v>
      </c>
    </row>
    <row r="730">
      <c r="A730" s="32" t="s">
        <v>1997</v>
      </c>
      <c r="B730" s="32" t="s">
        <v>1998</v>
      </c>
      <c r="C730" s="38" t="s">
        <v>166</v>
      </c>
      <c r="D730" s="32" t="s">
        <v>1999</v>
      </c>
      <c r="E730" s="38" t="s">
        <v>99</v>
      </c>
      <c r="F730" s="32" t="s">
        <v>1990</v>
      </c>
    </row>
    <row r="731">
      <c r="A731" s="36" t="s">
        <v>2000</v>
      </c>
      <c r="B731" s="36" t="s">
        <v>2001</v>
      </c>
      <c r="C731" s="37" t="s">
        <v>102</v>
      </c>
      <c r="D731" s="36" t="s">
        <v>1143</v>
      </c>
      <c r="E731" s="36" t="s">
        <v>1144</v>
      </c>
      <c r="F731" s="36" t="s">
        <v>157</v>
      </c>
    </row>
    <row r="732">
      <c r="A732" s="36" t="s">
        <v>2002</v>
      </c>
      <c r="B732" s="36" t="s">
        <v>2003</v>
      </c>
      <c r="C732" s="37" t="s">
        <v>102</v>
      </c>
      <c r="D732" s="36" t="s">
        <v>1147</v>
      </c>
      <c r="E732" s="37" t="s">
        <v>99</v>
      </c>
      <c r="F732" s="36" t="s">
        <v>157</v>
      </c>
    </row>
    <row r="733">
      <c r="A733" s="32" t="s">
        <v>2004</v>
      </c>
      <c r="B733" s="32" t="s">
        <v>2005</v>
      </c>
      <c r="C733" s="38" t="s">
        <v>166</v>
      </c>
      <c r="D733" s="32" t="s">
        <v>2006</v>
      </c>
      <c r="E733" s="38" t="s">
        <v>99</v>
      </c>
      <c r="F733" s="32" t="s">
        <v>1990</v>
      </c>
    </row>
    <row r="734">
      <c r="A734" s="32" t="s">
        <v>2007</v>
      </c>
      <c r="B734" s="32" t="s">
        <v>2008</v>
      </c>
      <c r="C734" s="38" t="s">
        <v>102</v>
      </c>
      <c r="D734" s="32" t="s">
        <v>1150</v>
      </c>
      <c r="E734" s="38" t="s">
        <v>2009</v>
      </c>
      <c r="F734" s="32" t="s">
        <v>104</v>
      </c>
    </row>
    <row r="735">
      <c r="A735" s="36" t="s">
        <v>2010</v>
      </c>
      <c r="B735" s="36" t="s">
        <v>2011</v>
      </c>
      <c r="C735" s="37" t="s">
        <v>102</v>
      </c>
      <c r="D735" s="48"/>
      <c r="E735" s="48"/>
      <c r="F735" s="36" t="s">
        <v>104</v>
      </c>
    </row>
    <row r="736">
      <c r="A736" s="36" t="s">
        <v>2012</v>
      </c>
      <c r="B736" s="36" t="s">
        <v>2013</v>
      </c>
      <c r="C736" s="37" t="s">
        <v>102</v>
      </c>
      <c r="D736" s="36" t="s">
        <v>1150</v>
      </c>
      <c r="E736" s="37" t="s">
        <v>2014</v>
      </c>
      <c r="F736" s="36" t="s">
        <v>104</v>
      </c>
    </row>
    <row r="737">
      <c r="A737" s="24" t="s">
        <v>2015</v>
      </c>
      <c r="B737" s="18" t="s">
        <v>1817</v>
      </c>
      <c r="C737" s="20" t="s">
        <v>166</v>
      </c>
      <c r="D737" s="18" t="s">
        <v>1818</v>
      </c>
      <c r="E737" s="20" t="s">
        <v>1153</v>
      </c>
      <c r="F737" s="18" t="s">
        <v>104</v>
      </c>
    </row>
    <row r="738">
      <c r="A738" s="18" t="s">
        <v>2016</v>
      </c>
      <c r="B738" s="18" t="s">
        <v>2017</v>
      </c>
      <c r="C738" s="20" t="s">
        <v>99</v>
      </c>
      <c r="D738" s="19"/>
      <c r="E738" s="19"/>
      <c r="F738" s="18" t="s">
        <v>104</v>
      </c>
    </row>
    <row r="739">
      <c r="A739" s="54" t="s">
        <v>2018</v>
      </c>
      <c r="B739" s="54" t="s">
        <v>1813</v>
      </c>
      <c r="C739" s="38" t="s">
        <v>166</v>
      </c>
      <c r="D739" s="54" t="s">
        <v>1814</v>
      </c>
      <c r="E739" s="34" t="s">
        <v>1815</v>
      </c>
      <c r="F739" s="32" t="s">
        <v>149</v>
      </c>
    </row>
    <row r="740">
      <c r="A740" s="54" t="s">
        <v>2019</v>
      </c>
      <c r="B740" s="54" t="s">
        <v>1813</v>
      </c>
      <c r="C740" s="38" t="s">
        <v>166</v>
      </c>
      <c r="D740" s="54" t="s">
        <v>1814</v>
      </c>
      <c r="E740" s="34" t="s">
        <v>2020</v>
      </c>
      <c r="F740" s="32" t="s">
        <v>149</v>
      </c>
    </row>
    <row r="741">
      <c r="A741" s="21" t="s">
        <v>2021</v>
      </c>
      <c r="B741" s="21" t="s">
        <v>2022</v>
      </c>
      <c r="C741" s="22" t="s">
        <v>102</v>
      </c>
      <c r="D741" s="23"/>
      <c r="E741" s="23"/>
      <c r="F741" s="21" t="s">
        <v>202</v>
      </c>
    </row>
    <row r="742">
      <c r="A742" s="21" t="s">
        <v>2023</v>
      </c>
      <c r="B742" s="21" t="s">
        <v>2024</v>
      </c>
      <c r="C742" s="22" t="s">
        <v>102</v>
      </c>
      <c r="D742" s="21" t="s">
        <v>2025</v>
      </c>
      <c r="E742" s="23"/>
      <c r="F742" s="21" t="s">
        <v>202</v>
      </c>
    </row>
    <row r="743">
      <c r="A743" s="21" t="s">
        <v>2026</v>
      </c>
      <c r="B743" s="21" t="s">
        <v>2027</v>
      </c>
      <c r="C743" s="22" t="s">
        <v>102</v>
      </c>
      <c r="D743" s="23"/>
      <c r="E743" s="23"/>
      <c r="F743" s="21" t="s">
        <v>202</v>
      </c>
    </row>
    <row r="744">
      <c r="A744" s="21" t="s">
        <v>2028</v>
      </c>
      <c r="B744" s="21" t="s">
        <v>2029</v>
      </c>
      <c r="C744" s="22" t="s">
        <v>102</v>
      </c>
      <c r="D744" s="23"/>
      <c r="E744" s="23"/>
      <c r="F744" s="21" t="s">
        <v>202</v>
      </c>
    </row>
    <row r="745">
      <c r="A745" s="28" t="s">
        <v>2030</v>
      </c>
      <c r="B745" s="28" t="s">
        <v>2031</v>
      </c>
      <c r="C745" s="22" t="s">
        <v>102</v>
      </c>
      <c r="D745" s="28" t="s">
        <v>1159</v>
      </c>
      <c r="E745" s="26" t="s">
        <v>99</v>
      </c>
      <c r="F745" s="21" t="s">
        <v>1160</v>
      </c>
    </row>
    <row r="746">
      <c r="A746" s="21" t="s">
        <v>2032</v>
      </c>
      <c r="B746" s="21" t="s">
        <v>119</v>
      </c>
      <c r="C746" s="22" t="s">
        <v>102</v>
      </c>
      <c r="D746" s="21" t="s">
        <v>120</v>
      </c>
      <c r="E746" s="22" t="s">
        <v>99</v>
      </c>
      <c r="F746" s="21" t="s">
        <v>109</v>
      </c>
    </row>
    <row r="747">
      <c r="A747" s="21" t="s">
        <v>2033</v>
      </c>
      <c r="B747" s="21" t="s">
        <v>106</v>
      </c>
      <c r="C747" s="22" t="s">
        <v>102</v>
      </c>
      <c r="D747" s="21" t="s">
        <v>107</v>
      </c>
      <c r="E747" s="22" t="s">
        <v>99</v>
      </c>
      <c r="F747" s="21" t="s">
        <v>109</v>
      </c>
    </row>
    <row r="748">
      <c r="A748" s="21" t="s">
        <v>2034</v>
      </c>
      <c r="B748" s="21" t="s">
        <v>111</v>
      </c>
      <c r="C748" s="22" t="s">
        <v>102</v>
      </c>
      <c r="D748" s="21" t="s">
        <v>2035</v>
      </c>
      <c r="E748" s="22" t="s">
        <v>99</v>
      </c>
      <c r="F748" s="21" t="s">
        <v>109</v>
      </c>
    </row>
    <row r="749">
      <c r="A749" s="21" t="s">
        <v>2036</v>
      </c>
      <c r="B749" s="21" t="s">
        <v>126</v>
      </c>
      <c r="C749" s="22" t="s">
        <v>102</v>
      </c>
      <c r="D749" s="21" t="s">
        <v>127</v>
      </c>
      <c r="E749" s="22" t="s">
        <v>99</v>
      </c>
      <c r="F749" s="21" t="s">
        <v>109</v>
      </c>
    </row>
    <row r="750">
      <c r="A750" s="21" t="s">
        <v>2037</v>
      </c>
      <c r="B750" s="21" t="s">
        <v>129</v>
      </c>
      <c r="C750" s="22" t="s">
        <v>102</v>
      </c>
      <c r="D750" s="21" t="s">
        <v>130</v>
      </c>
      <c r="E750" s="22" t="s">
        <v>99</v>
      </c>
      <c r="F750" s="21" t="s">
        <v>109</v>
      </c>
    </row>
    <row r="751">
      <c r="A751" s="28" t="s">
        <v>2038</v>
      </c>
      <c r="B751" s="28" t="s">
        <v>2039</v>
      </c>
      <c r="C751" s="22" t="s">
        <v>102</v>
      </c>
      <c r="D751" s="28" t="s">
        <v>1167</v>
      </c>
      <c r="E751" s="26" t="s">
        <v>99</v>
      </c>
      <c r="F751" s="21" t="s">
        <v>109</v>
      </c>
    </row>
    <row r="752">
      <c r="A752" s="21" t="s">
        <v>2040</v>
      </c>
      <c r="B752" s="21" t="s">
        <v>2041</v>
      </c>
      <c r="C752" s="22" t="s">
        <v>102</v>
      </c>
      <c r="D752" s="21" t="s">
        <v>1170</v>
      </c>
      <c r="E752" s="22" t="s">
        <v>99</v>
      </c>
      <c r="F752" s="21" t="s">
        <v>109</v>
      </c>
    </row>
    <row r="753">
      <c r="A753" s="21" t="s">
        <v>2042</v>
      </c>
      <c r="B753" s="21" t="s">
        <v>2043</v>
      </c>
      <c r="C753" s="22" t="s">
        <v>102</v>
      </c>
      <c r="D753" s="23"/>
      <c r="E753" s="23"/>
      <c r="F753" s="21" t="s">
        <v>109</v>
      </c>
    </row>
    <row r="754">
      <c r="A754" s="21" t="s">
        <v>2044</v>
      </c>
      <c r="B754" s="21" t="s">
        <v>2045</v>
      </c>
      <c r="C754" s="22" t="s">
        <v>102</v>
      </c>
      <c r="D754" s="21" t="s">
        <v>1173</v>
      </c>
      <c r="E754" s="22" t="s">
        <v>99</v>
      </c>
      <c r="F754" s="21" t="s">
        <v>109</v>
      </c>
    </row>
    <row r="755">
      <c r="A755" s="21" t="s">
        <v>2046</v>
      </c>
      <c r="B755" s="21" t="s">
        <v>2047</v>
      </c>
      <c r="C755" s="22" t="s">
        <v>102</v>
      </c>
      <c r="D755" s="21" t="s">
        <v>2048</v>
      </c>
      <c r="E755" s="23"/>
      <c r="F755" s="21" t="s">
        <v>109</v>
      </c>
    </row>
    <row r="756">
      <c r="A756" s="21" t="s">
        <v>2049</v>
      </c>
      <c r="B756" s="21" t="s">
        <v>2050</v>
      </c>
      <c r="C756" s="22" t="s">
        <v>102</v>
      </c>
      <c r="D756" s="21" t="s">
        <v>1167</v>
      </c>
      <c r="E756" s="22" t="s">
        <v>1176</v>
      </c>
      <c r="F756" s="21" t="s">
        <v>109</v>
      </c>
    </row>
    <row r="757">
      <c r="A757" s="21" t="s">
        <v>2051</v>
      </c>
      <c r="B757" s="21" t="s">
        <v>2052</v>
      </c>
      <c r="C757" s="22" t="s">
        <v>102</v>
      </c>
      <c r="D757" s="21" t="s">
        <v>1179</v>
      </c>
      <c r="E757" s="22" t="s">
        <v>99</v>
      </c>
      <c r="F757" s="21" t="s">
        <v>109</v>
      </c>
    </row>
    <row r="758">
      <c r="A758" s="21" t="s">
        <v>2053</v>
      </c>
      <c r="B758" s="21" t="s">
        <v>2054</v>
      </c>
      <c r="C758" s="22" t="s">
        <v>102</v>
      </c>
      <c r="D758" s="21" t="s">
        <v>2055</v>
      </c>
      <c r="E758" s="22" t="s">
        <v>99</v>
      </c>
      <c r="F758" s="21" t="s">
        <v>109</v>
      </c>
    </row>
    <row r="759">
      <c r="A759" s="21" t="s">
        <v>2056</v>
      </c>
      <c r="B759" s="21" t="s">
        <v>2057</v>
      </c>
      <c r="C759" s="22" t="s">
        <v>102</v>
      </c>
      <c r="D759" s="23"/>
      <c r="E759" s="23"/>
      <c r="F759" s="21" t="s">
        <v>109</v>
      </c>
    </row>
    <row r="760">
      <c r="A760" s="21" t="s">
        <v>70</v>
      </c>
      <c r="B760" s="21" t="s">
        <v>2058</v>
      </c>
      <c r="C760" s="22" t="s">
        <v>102</v>
      </c>
      <c r="D760" s="21" t="s">
        <v>1184</v>
      </c>
      <c r="E760" s="22" t="s">
        <v>99</v>
      </c>
      <c r="F760" s="21" t="s">
        <v>109</v>
      </c>
    </row>
    <row r="761">
      <c r="A761" s="36" t="s">
        <v>2059</v>
      </c>
      <c r="B761" s="36" t="s">
        <v>2060</v>
      </c>
      <c r="C761" s="37" t="s">
        <v>102</v>
      </c>
      <c r="D761" s="36" t="s">
        <v>1187</v>
      </c>
      <c r="E761" s="37" t="s">
        <v>99</v>
      </c>
      <c r="F761" s="36" t="s">
        <v>109</v>
      </c>
    </row>
    <row r="762">
      <c r="A762" s="36" t="s">
        <v>2061</v>
      </c>
      <c r="B762" s="36" t="s">
        <v>2062</v>
      </c>
      <c r="C762" s="37" t="s">
        <v>102</v>
      </c>
      <c r="D762" s="36" t="s">
        <v>2063</v>
      </c>
      <c r="E762" s="48"/>
      <c r="F762" s="36" t="s">
        <v>889</v>
      </c>
    </row>
    <row r="763">
      <c r="A763" s="32" t="s">
        <v>60</v>
      </c>
      <c r="B763" s="32" t="s">
        <v>2064</v>
      </c>
      <c r="C763" s="38" t="s">
        <v>284</v>
      </c>
      <c r="D763" s="32" t="s">
        <v>99</v>
      </c>
      <c r="E763" s="38" t="s">
        <v>99</v>
      </c>
      <c r="F763" s="32" t="s">
        <v>99</v>
      </c>
    </row>
    <row r="764">
      <c r="A764" s="32" t="s">
        <v>2065</v>
      </c>
      <c r="B764" s="34" t="s">
        <v>2066</v>
      </c>
      <c r="C764" s="38" t="s">
        <v>102</v>
      </c>
      <c r="D764" s="33"/>
      <c r="E764" s="33"/>
      <c r="F764" s="33"/>
    </row>
    <row r="765">
      <c r="A765" s="32" t="s">
        <v>2067</v>
      </c>
      <c r="B765" s="32" t="s">
        <v>2068</v>
      </c>
      <c r="C765" s="38" t="s">
        <v>166</v>
      </c>
      <c r="D765" s="32" t="s">
        <v>2069</v>
      </c>
      <c r="E765" s="38" t="s">
        <v>99</v>
      </c>
      <c r="F765" s="32" t="s">
        <v>397</v>
      </c>
    </row>
    <row r="766">
      <c r="A766" s="21" t="s">
        <v>2070</v>
      </c>
      <c r="B766" s="21" t="s">
        <v>2071</v>
      </c>
      <c r="C766" s="22" t="s">
        <v>102</v>
      </c>
      <c r="D766" s="21" t="s">
        <v>1190</v>
      </c>
      <c r="E766" s="22" t="s">
        <v>99</v>
      </c>
      <c r="F766" s="21" t="s">
        <v>1191</v>
      </c>
    </row>
    <row r="767">
      <c r="A767" s="36" t="s">
        <v>2072</v>
      </c>
      <c r="B767" s="36" t="s">
        <v>2073</v>
      </c>
      <c r="C767" s="37" t="s">
        <v>102</v>
      </c>
      <c r="D767" s="36" t="s">
        <v>1194</v>
      </c>
      <c r="E767" s="37" t="s">
        <v>99</v>
      </c>
      <c r="F767" s="36" t="s">
        <v>1195</v>
      </c>
    </row>
    <row r="768">
      <c r="A768" s="21" t="s">
        <v>2074</v>
      </c>
      <c r="B768" s="21" t="s">
        <v>2075</v>
      </c>
      <c r="C768" s="22" t="s">
        <v>102</v>
      </c>
      <c r="D768" s="21" t="s">
        <v>1194</v>
      </c>
      <c r="E768" s="22" t="s">
        <v>99</v>
      </c>
      <c r="F768" s="21" t="s">
        <v>1195</v>
      </c>
    </row>
    <row r="769">
      <c r="A769" s="21" t="s">
        <v>2076</v>
      </c>
      <c r="B769" s="21" t="s">
        <v>2077</v>
      </c>
      <c r="C769" s="22" t="s">
        <v>102</v>
      </c>
      <c r="D769" s="21" t="s">
        <v>1194</v>
      </c>
      <c r="E769" s="22" t="s">
        <v>99</v>
      </c>
      <c r="F769" s="21" t="s">
        <v>1195</v>
      </c>
    </row>
    <row r="770">
      <c r="A770" s="32" t="s">
        <v>2078</v>
      </c>
      <c r="B770" s="32" t="s">
        <v>2079</v>
      </c>
      <c r="C770" s="38" t="s">
        <v>166</v>
      </c>
      <c r="D770" s="32" t="s">
        <v>1198</v>
      </c>
      <c r="E770" s="38" t="s">
        <v>99</v>
      </c>
      <c r="F770" s="32" t="s">
        <v>1191</v>
      </c>
    </row>
    <row r="771">
      <c r="A771" s="36" t="s">
        <v>2080</v>
      </c>
      <c r="B771" s="36" t="s">
        <v>2081</v>
      </c>
      <c r="C771" s="37" t="s">
        <v>102</v>
      </c>
      <c r="D771" s="36" t="s">
        <v>1201</v>
      </c>
      <c r="E771" s="37" t="s">
        <v>99</v>
      </c>
      <c r="F771" s="36" t="s">
        <v>104</v>
      </c>
    </row>
    <row r="772">
      <c r="A772" s="18" t="s">
        <v>2082</v>
      </c>
      <c r="B772" s="25" t="s">
        <v>2083</v>
      </c>
      <c r="C772" s="20" t="s">
        <v>102</v>
      </c>
      <c r="D772" s="19"/>
      <c r="E772" s="19"/>
      <c r="F772" s="19"/>
    </row>
    <row r="773">
      <c r="A773" s="36" t="s">
        <v>2084</v>
      </c>
      <c r="B773" s="36" t="s">
        <v>2085</v>
      </c>
      <c r="C773" s="37" t="s">
        <v>102</v>
      </c>
      <c r="D773" s="36" t="s">
        <v>1204</v>
      </c>
      <c r="E773" s="37" t="s">
        <v>99</v>
      </c>
      <c r="F773" s="36" t="s">
        <v>617</v>
      </c>
    </row>
    <row r="774">
      <c r="A774" s="36" t="s">
        <v>2086</v>
      </c>
      <c r="B774" s="36" t="s">
        <v>2087</v>
      </c>
      <c r="C774" s="37" t="s">
        <v>102</v>
      </c>
      <c r="D774" s="36" t="s">
        <v>2088</v>
      </c>
      <c r="E774" s="48"/>
      <c r="F774" s="36" t="s">
        <v>2089</v>
      </c>
    </row>
    <row r="775">
      <c r="A775" s="18" t="s">
        <v>2090</v>
      </c>
      <c r="B775" s="18" t="s">
        <v>2091</v>
      </c>
      <c r="C775" s="20" t="s">
        <v>166</v>
      </c>
      <c r="D775" s="18" t="s">
        <v>1207</v>
      </c>
      <c r="E775" s="20" t="s">
        <v>99</v>
      </c>
      <c r="F775" s="18" t="s">
        <v>608</v>
      </c>
    </row>
    <row r="776">
      <c r="A776" s="18" t="s">
        <v>2092</v>
      </c>
      <c r="B776" s="18" t="s">
        <v>2093</v>
      </c>
      <c r="C776" s="20" t="s">
        <v>166</v>
      </c>
      <c r="D776" s="18" t="s">
        <v>2094</v>
      </c>
      <c r="E776" s="20" t="s">
        <v>99</v>
      </c>
      <c r="F776" s="18" t="s">
        <v>104</v>
      </c>
    </row>
    <row r="777">
      <c r="A777" s="32" t="s">
        <v>32</v>
      </c>
      <c r="B777" s="32" t="s">
        <v>2095</v>
      </c>
      <c r="C777" s="38" t="s">
        <v>166</v>
      </c>
      <c r="D777" s="32" t="s">
        <v>1210</v>
      </c>
      <c r="E777" s="38" t="s">
        <v>99</v>
      </c>
      <c r="F777" s="32" t="s">
        <v>109</v>
      </c>
    </row>
    <row r="778">
      <c r="A778" s="18" t="s">
        <v>2096</v>
      </c>
      <c r="B778" s="18" t="s">
        <v>2097</v>
      </c>
      <c r="C778" s="20" t="s">
        <v>166</v>
      </c>
      <c r="D778" s="18" t="s">
        <v>2098</v>
      </c>
      <c r="E778" s="19"/>
      <c r="F778" s="18" t="s">
        <v>109</v>
      </c>
    </row>
    <row r="779">
      <c r="A779" s="18" t="s">
        <v>2099</v>
      </c>
      <c r="B779" s="18" t="s">
        <v>2100</v>
      </c>
      <c r="C779" s="19"/>
      <c r="D779" s="19"/>
      <c r="E779" s="19"/>
      <c r="F779" s="19"/>
    </row>
    <row r="780">
      <c r="A780" s="18" t="s">
        <v>2101</v>
      </c>
      <c r="B780" s="18" t="s">
        <v>2102</v>
      </c>
      <c r="C780" s="20" t="s">
        <v>166</v>
      </c>
      <c r="D780" s="18" t="s">
        <v>1213</v>
      </c>
      <c r="E780" s="20" t="s">
        <v>99</v>
      </c>
      <c r="F780" s="18" t="s">
        <v>109</v>
      </c>
    </row>
    <row r="781">
      <c r="A781" s="36" t="s">
        <v>2103</v>
      </c>
      <c r="B781" s="36" t="s">
        <v>2104</v>
      </c>
      <c r="C781" s="37" t="s">
        <v>102</v>
      </c>
      <c r="D781" s="36" t="s">
        <v>2105</v>
      </c>
      <c r="E781" s="37" t="s">
        <v>99</v>
      </c>
      <c r="F781" s="36" t="s">
        <v>149</v>
      </c>
    </row>
    <row r="782">
      <c r="A782" s="18" t="s">
        <v>2106</v>
      </c>
      <c r="B782" s="18" t="s">
        <v>2107</v>
      </c>
      <c r="C782" s="20" t="s">
        <v>166</v>
      </c>
      <c r="D782" s="18" t="s">
        <v>1218</v>
      </c>
      <c r="E782" s="20" t="s">
        <v>99</v>
      </c>
      <c r="F782" s="18" t="s">
        <v>109</v>
      </c>
    </row>
    <row r="783">
      <c r="A783" s="18" t="s">
        <v>2108</v>
      </c>
      <c r="B783" s="18" t="s">
        <v>2109</v>
      </c>
      <c r="C783" s="20" t="s">
        <v>166</v>
      </c>
      <c r="D783" s="19"/>
      <c r="E783" s="19"/>
      <c r="F783" s="18" t="s">
        <v>109</v>
      </c>
    </row>
    <row r="784">
      <c r="A784" s="32" t="s">
        <v>2110</v>
      </c>
      <c r="B784" s="32" t="s">
        <v>2111</v>
      </c>
      <c r="C784" s="33"/>
      <c r="D784" s="33"/>
      <c r="E784" s="33"/>
      <c r="F784" s="33"/>
    </row>
    <row r="785">
      <c r="A785" s="32" t="s">
        <v>2112</v>
      </c>
      <c r="B785" s="32" t="s">
        <v>2113</v>
      </c>
      <c r="C785" s="38" t="s">
        <v>166</v>
      </c>
      <c r="D785" s="32" t="s">
        <v>1221</v>
      </c>
      <c r="E785" s="38" t="s">
        <v>99</v>
      </c>
      <c r="F785" s="32" t="s">
        <v>608</v>
      </c>
    </row>
    <row r="786">
      <c r="A786" s="32" t="s">
        <v>2114</v>
      </c>
      <c r="B786" s="32" t="s">
        <v>2115</v>
      </c>
      <c r="C786" s="38" t="s">
        <v>166</v>
      </c>
      <c r="D786" s="32" t="s">
        <v>2116</v>
      </c>
      <c r="E786" s="38" t="s">
        <v>99</v>
      </c>
      <c r="F786" s="32" t="s">
        <v>397</v>
      </c>
    </row>
    <row r="787">
      <c r="A787" s="32" t="s">
        <v>2117</v>
      </c>
      <c r="B787" s="32" t="s">
        <v>2118</v>
      </c>
      <c r="C787" s="38" t="s">
        <v>166</v>
      </c>
      <c r="D787" s="32" t="s">
        <v>2119</v>
      </c>
      <c r="E787" s="38" t="s">
        <v>99</v>
      </c>
      <c r="F787" s="32" t="s">
        <v>397</v>
      </c>
    </row>
    <row r="788">
      <c r="A788" s="21" t="s">
        <v>2120</v>
      </c>
      <c r="B788" s="21" t="s">
        <v>2121</v>
      </c>
      <c r="C788" s="22" t="s">
        <v>102</v>
      </c>
      <c r="D788" s="21" t="s">
        <v>2122</v>
      </c>
      <c r="E788" s="23"/>
      <c r="F788" s="21" t="s">
        <v>104</v>
      </c>
    </row>
    <row r="789">
      <c r="A789" s="21" t="s">
        <v>2123</v>
      </c>
      <c r="B789" s="21" t="s">
        <v>2124</v>
      </c>
      <c r="C789" s="22" t="s">
        <v>102</v>
      </c>
      <c r="D789" s="21" t="s">
        <v>2125</v>
      </c>
      <c r="E789" s="23"/>
      <c r="F789" s="21" t="s">
        <v>104</v>
      </c>
    </row>
    <row r="790">
      <c r="A790" s="21" t="s">
        <v>2126</v>
      </c>
      <c r="B790" s="21" t="s">
        <v>1595</v>
      </c>
      <c r="C790" s="22" t="s">
        <v>102</v>
      </c>
      <c r="D790" s="21" t="s">
        <v>2125</v>
      </c>
      <c r="E790" s="23"/>
      <c r="F790" s="21" t="s">
        <v>104</v>
      </c>
    </row>
    <row r="791">
      <c r="A791" s="21" t="s">
        <v>2127</v>
      </c>
      <c r="B791" s="21" t="s">
        <v>1671</v>
      </c>
      <c r="C791" s="22" t="s">
        <v>102</v>
      </c>
      <c r="D791" s="21" t="s">
        <v>1224</v>
      </c>
      <c r="E791" s="22" t="s">
        <v>1225</v>
      </c>
      <c r="F791" s="21" t="s">
        <v>1226</v>
      </c>
    </row>
    <row r="792">
      <c r="A792" s="21" t="s">
        <v>2128</v>
      </c>
      <c r="B792" s="21" t="s">
        <v>2129</v>
      </c>
      <c r="C792" s="22" t="s">
        <v>102</v>
      </c>
      <c r="D792" s="21" t="s">
        <v>1229</v>
      </c>
      <c r="E792" s="22" t="s">
        <v>1230</v>
      </c>
      <c r="F792" s="21" t="s">
        <v>1226</v>
      </c>
    </row>
    <row r="793">
      <c r="A793" s="21" t="s">
        <v>2130</v>
      </c>
      <c r="B793" s="21" t="s">
        <v>2131</v>
      </c>
      <c r="C793" s="22" t="s">
        <v>102</v>
      </c>
      <c r="D793" s="21" t="s">
        <v>1233</v>
      </c>
      <c r="E793" s="22" t="s">
        <v>1234</v>
      </c>
      <c r="F793" s="21" t="s">
        <v>1235</v>
      </c>
    </row>
    <row r="794">
      <c r="A794" s="21" t="s">
        <v>2132</v>
      </c>
      <c r="B794" s="21" t="s">
        <v>2131</v>
      </c>
      <c r="C794" s="22" t="s">
        <v>102</v>
      </c>
      <c r="D794" s="21" t="s">
        <v>1233</v>
      </c>
      <c r="E794" s="22" t="s">
        <v>1234</v>
      </c>
      <c r="F794" s="21" t="s">
        <v>1235</v>
      </c>
    </row>
    <row r="795">
      <c r="A795" s="21" t="s">
        <v>2133</v>
      </c>
      <c r="B795" s="21" t="s">
        <v>2134</v>
      </c>
      <c r="C795" s="22" t="s">
        <v>102</v>
      </c>
      <c r="D795" s="23"/>
      <c r="E795" s="23"/>
      <c r="F795" s="21" t="s">
        <v>608</v>
      </c>
    </row>
    <row r="796">
      <c r="A796" s="21" t="s">
        <v>2135</v>
      </c>
      <c r="B796" s="21" t="s">
        <v>2136</v>
      </c>
      <c r="C796" s="22" t="s">
        <v>102</v>
      </c>
      <c r="D796" s="21" t="s">
        <v>2137</v>
      </c>
      <c r="E796" s="22" t="s">
        <v>99</v>
      </c>
      <c r="F796" s="21" t="s">
        <v>149</v>
      </c>
    </row>
    <row r="797">
      <c r="A797" s="21" t="s">
        <v>2138</v>
      </c>
      <c r="B797" s="21" t="s">
        <v>2139</v>
      </c>
      <c r="C797" s="22" t="s">
        <v>102</v>
      </c>
      <c r="D797" s="23"/>
      <c r="E797" s="23"/>
      <c r="F797" s="21" t="s">
        <v>149</v>
      </c>
    </row>
    <row r="798">
      <c r="A798" s="21" t="s">
        <v>2140</v>
      </c>
      <c r="B798" s="21" t="s">
        <v>2141</v>
      </c>
      <c r="C798" s="22" t="s">
        <v>102</v>
      </c>
      <c r="D798" s="23"/>
      <c r="E798" s="23"/>
      <c r="F798" s="21" t="s">
        <v>149</v>
      </c>
    </row>
    <row r="799">
      <c r="A799" s="21" t="s">
        <v>2142</v>
      </c>
      <c r="B799" s="21" t="s">
        <v>2143</v>
      </c>
      <c r="C799" s="22" t="s">
        <v>102</v>
      </c>
      <c r="D799" s="23"/>
      <c r="E799" s="23"/>
      <c r="F799" s="21" t="s">
        <v>305</v>
      </c>
    </row>
    <row r="800">
      <c r="A800" s="21" t="s">
        <v>2144</v>
      </c>
      <c r="B800" s="21" t="s">
        <v>2145</v>
      </c>
      <c r="C800" s="22" t="s">
        <v>102</v>
      </c>
      <c r="D800" s="21" t="s">
        <v>1541</v>
      </c>
      <c r="E800" s="22" t="s">
        <v>1542</v>
      </c>
      <c r="F800" s="21" t="s">
        <v>149</v>
      </c>
    </row>
    <row r="801">
      <c r="A801" s="21" t="s">
        <v>2146</v>
      </c>
      <c r="B801" s="21" t="s">
        <v>2147</v>
      </c>
      <c r="C801" s="22" t="s">
        <v>102</v>
      </c>
      <c r="D801" s="21" t="s">
        <v>1238</v>
      </c>
      <c r="E801" s="22" t="s">
        <v>99</v>
      </c>
      <c r="F801" s="21" t="s">
        <v>265</v>
      </c>
    </row>
    <row r="802">
      <c r="A802" s="21" t="s">
        <v>2148</v>
      </c>
      <c r="B802" s="21" t="s">
        <v>2149</v>
      </c>
      <c r="C802" s="22" t="s">
        <v>102</v>
      </c>
      <c r="D802" s="21" t="s">
        <v>1548</v>
      </c>
      <c r="E802" s="22" t="s">
        <v>1549</v>
      </c>
      <c r="F802" s="21" t="s">
        <v>149</v>
      </c>
    </row>
    <row r="803">
      <c r="A803" s="21" t="s">
        <v>2150</v>
      </c>
      <c r="B803" s="21" t="s">
        <v>2151</v>
      </c>
      <c r="C803" s="22" t="s">
        <v>102</v>
      </c>
      <c r="D803" s="23"/>
      <c r="E803" s="23"/>
      <c r="F803" s="21" t="s">
        <v>157</v>
      </c>
    </row>
    <row r="804">
      <c r="A804" s="36" t="s">
        <v>2150</v>
      </c>
      <c r="B804" s="36" t="s">
        <v>2152</v>
      </c>
      <c r="C804" s="37" t="s">
        <v>102</v>
      </c>
      <c r="D804" s="48"/>
      <c r="E804" s="48"/>
      <c r="F804" s="36" t="s">
        <v>157</v>
      </c>
    </row>
    <row r="805">
      <c r="A805" s="21" t="s">
        <v>2150</v>
      </c>
      <c r="B805" s="21" t="s">
        <v>2153</v>
      </c>
      <c r="C805" s="22" t="s">
        <v>102</v>
      </c>
      <c r="D805" s="23"/>
      <c r="E805" s="23"/>
      <c r="F805" s="21" t="s">
        <v>157</v>
      </c>
    </row>
    <row r="806">
      <c r="A806" s="36" t="s">
        <v>2154</v>
      </c>
      <c r="B806" s="36" t="s">
        <v>2155</v>
      </c>
      <c r="C806" s="37" t="s">
        <v>102</v>
      </c>
      <c r="D806" s="36" t="s">
        <v>1244</v>
      </c>
      <c r="E806" s="37" t="s">
        <v>99</v>
      </c>
      <c r="F806" s="36" t="s">
        <v>186</v>
      </c>
    </row>
    <row r="807">
      <c r="A807" s="36" t="s">
        <v>2156</v>
      </c>
      <c r="B807" s="36" t="s">
        <v>2157</v>
      </c>
      <c r="C807" s="37" t="s">
        <v>102</v>
      </c>
      <c r="D807" s="36" t="s">
        <v>2158</v>
      </c>
      <c r="E807" s="48"/>
      <c r="F807" s="36" t="s">
        <v>2159</v>
      </c>
    </row>
    <row r="808">
      <c r="A808" s="18" t="s">
        <v>2160</v>
      </c>
      <c r="B808" s="18" t="s">
        <v>2161</v>
      </c>
      <c r="C808" s="20" t="s">
        <v>166</v>
      </c>
      <c r="D808" s="18" t="s">
        <v>1247</v>
      </c>
      <c r="E808" s="20" t="s">
        <v>99</v>
      </c>
      <c r="F808" s="18" t="s">
        <v>889</v>
      </c>
    </row>
    <row r="809">
      <c r="A809" s="36" t="s">
        <v>2162</v>
      </c>
      <c r="B809" s="36" t="s">
        <v>2163</v>
      </c>
      <c r="C809" s="37" t="s">
        <v>102</v>
      </c>
      <c r="D809" s="36" t="s">
        <v>1250</v>
      </c>
      <c r="E809" s="53" t="s">
        <v>99</v>
      </c>
      <c r="F809" s="36" t="s">
        <v>889</v>
      </c>
    </row>
    <row r="810">
      <c r="A810" s="32" t="s">
        <v>2164</v>
      </c>
      <c r="B810" s="32" t="s">
        <v>2165</v>
      </c>
      <c r="C810" s="38" t="s">
        <v>166</v>
      </c>
      <c r="D810" s="32" t="s">
        <v>99</v>
      </c>
      <c r="E810" s="38" t="s">
        <v>99</v>
      </c>
      <c r="F810" s="32" t="s">
        <v>99</v>
      </c>
    </row>
    <row r="811">
      <c r="A811" s="18" t="s">
        <v>2166</v>
      </c>
      <c r="B811" s="18" t="s">
        <v>2167</v>
      </c>
      <c r="C811" s="20" t="s">
        <v>166</v>
      </c>
      <c r="D811" s="18" t="s">
        <v>99</v>
      </c>
      <c r="E811" s="20" t="s">
        <v>99</v>
      </c>
      <c r="F811" s="18" t="s">
        <v>149</v>
      </c>
    </row>
    <row r="812">
      <c r="A812" s="18" t="s">
        <v>2168</v>
      </c>
      <c r="B812" s="18" t="s">
        <v>2169</v>
      </c>
      <c r="C812" s="20" t="s">
        <v>99</v>
      </c>
      <c r="D812" s="18" t="s">
        <v>99</v>
      </c>
      <c r="E812" s="20" t="s">
        <v>99</v>
      </c>
      <c r="F812" s="18" t="s">
        <v>99</v>
      </c>
    </row>
    <row r="813">
      <c r="A813" s="18" t="s">
        <v>2170</v>
      </c>
      <c r="B813" s="18" t="s">
        <v>99</v>
      </c>
      <c r="C813" s="20" t="s">
        <v>99</v>
      </c>
      <c r="D813" s="18" t="s">
        <v>99</v>
      </c>
      <c r="E813" s="20" t="s">
        <v>99</v>
      </c>
      <c r="F813" s="18" t="s">
        <v>99</v>
      </c>
    </row>
    <row r="814">
      <c r="A814" s="21" t="s">
        <v>2171</v>
      </c>
      <c r="B814" s="21" t="s">
        <v>2172</v>
      </c>
      <c r="C814" s="22" t="s">
        <v>102</v>
      </c>
      <c r="D814" s="21" t="s">
        <v>1257</v>
      </c>
      <c r="E814" s="22" t="s">
        <v>99</v>
      </c>
      <c r="F814" s="21" t="s">
        <v>2173</v>
      </c>
    </row>
    <row r="815">
      <c r="A815" s="32" t="s">
        <v>2174</v>
      </c>
      <c r="B815" s="32" t="s">
        <v>2175</v>
      </c>
      <c r="C815" s="38" t="s">
        <v>2176</v>
      </c>
      <c r="D815" s="32" t="s">
        <v>99</v>
      </c>
      <c r="E815" s="38" t="s">
        <v>99</v>
      </c>
      <c r="F815" s="32" t="s">
        <v>99</v>
      </c>
    </row>
    <row r="816">
      <c r="A816" s="32" t="s">
        <v>2177</v>
      </c>
      <c r="B816" s="32" t="s">
        <v>2178</v>
      </c>
      <c r="C816" s="38" t="s">
        <v>2179</v>
      </c>
      <c r="D816" s="32" t="s">
        <v>99</v>
      </c>
      <c r="E816" s="38" t="s">
        <v>99</v>
      </c>
      <c r="F816" s="32" t="s">
        <v>99</v>
      </c>
    </row>
    <row r="817">
      <c r="A817" s="18" t="s">
        <v>2180</v>
      </c>
      <c r="B817" s="18" t="s">
        <v>99</v>
      </c>
      <c r="C817" s="20" t="s">
        <v>99</v>
      </c>
      <c r="D817" s="18" t="s">
        <v>99</v>
      </c>
      <c r="E817" s="20" t="s">
        <v>99</v>
      </c>
      <c r="F817" s="18" t="s">
        <v>99</v>
      </c>
    </row>
    <row r="818">
      <c r="A818" s="21" t="s">
        <v>2181</v>
      </c>
      <c r="B818" s="21" t="s">
        <v>2182</v>
      </c>
      <c r="C818" s="22" t="s">
        <v>102</v>
      </c>
      <c r="D818" s="21" t="s">
        <v>1260</v>
      </c>
      <c r="E818" s="22" t="s">
        <v>99</v>
      </c>
      <c r="F818" s="21" t="s">
        <v>206</v>
      </c>
    </row>
    <row r="819">
      <c r="A819" s="21" t="s">
        <v>2183</v>
      </c>
      <c r="B819" s="21" t="s">
        <v>2184</v>
      </c>
      <c r="C819" s="22" t="s">
        <v>102</v>
      </c>
      <c r="D819" s="21" t="s">
        <v>1263</v>
      </c>
      <c r="E819" s="22" t="s">
        <v>99</v>
      </c>
      <c r="F819" s="21" t="s">
        <v>376</v>
      </c>
    </row>
    <row r="820">
      <c r="A820" s="21" t="s">
        <v>2185</v>
      </c>
      <c r="B820" s="21" t="s">
        <v>2186</v>
      </c>
      <c r="C820" s="22" t="s">
        <v>102</v>
      </c>
      <c r="D820" s="23"/>
      <c r="E820" s="23"/>
      <c r="F820" s="21" t="s">
        <v>202</v>
      </c>
    </row>
    <row r="821">
      <c r="A821" s="32" t="s">
        <v>2187</v>
      </c>
      <c r="B821" s="32" t="s">
        <v>2188</v>
      </c>
      <c r="C821" s="38" t="s">
        <v>166</v>
      </c>
      <c r="D821" s="32" t="s">
        <v>2189</v>
      </c>
      <c r="E821" s="38" t="s">
        <v>99</v>
      </c>
      <c r="F821" s="32" t="s">
        <v>99</v>
      </c>
    </row>
    <row r="822">
      <c r="A822" s="21" t="s">
        <v>2190</v>
      </c>
      <c r="B822" s="36" t="s">
        <v>2191</v>
      </c>
      <c r="C822" s="22" t="s">
        <v>102</v>
      </c>
      <c r="D822" s="23"/>
      <c r="E822" s="23"/>
      <c r="F822" s="21" t="s">
        <v>2192</v>
      </c>
    </row>
    <row r="823">
      <c r="A823" s="21" t="s">
        <v>29</v>
      </c>
      <c r="B823" s="21" t="s">
        <v>2193</v>
      </c>
      <c r="C823" s="22" t="s">
        <v>102</v>
      </c>
      <c r="D823" s="21" t="s">
        <v>1266</v>
      </c>
      <c r="E823" s="22" t="s">
        <v>99</v>
      </c>
      <c r="F823" s="21" t="s">
        <v>635</v>
      </c>
    </row>
    <row r="824">
      <c r="A824" s="36" t="s">
        <v>2194</v>
      </c>
      <c r="B824" s="36" t="s">
        <v>2195</v>
      </c>
      <c r="C824" s="37" t="s">
        <v>102</v>
      </c>
      <c r="D824" s="36" t="s">
        <v>2196</v>
      </c>
      <c r="E824" s="48"/>
      <c r="F824" s="36" t="s">
        <v>635</v>
      </c>
    </row>
    <row r="825">
      <c r="A825" s="21" t="s">
        <v>2197</v>
      </c>
      <c r="B825" s="21" t="s">
        <v>2198</v>
      </c>
      <c r="C825" s="22" t="s">
        <v>102</v>
      </c>
      <c r="D825" s="21" t="s">
        <v>1269</v>
      </c>
      <c r="E825" s="22" t="s">
        <v>99</v>
      </c>
      <c r="F825" s="21" t="s">
        <v>104</v>
      </c>
    </row>
    <row r="826">
      <c r="A826" s="21" t="s">
        <v>2199</v>
      </c>
      <c r="B826" s="34" t="s">
        <v>2200</v>
      </c>
      <c r="C826" s="22" t="s">
        <v>102</v>
      </c>
      <c r="D826" s="23"/>
      <c r="E826" s="23"/>
      <c r="F826" s="23"/>
    </row>
    <row r="827">
      <c r="A827" s="21" t="s">
        <v>2201</v>
      </c>
      <c r="B827" s="21" t="s">
        <v>2202</v>
      </c>
      <c r="C827" s="22" t="s">
        <v>102</v>
      </c>
      <c r="D827" s="23"/>
      <c r="E827" s="23"/>
      <c r="F827" s="21" t="s">
        <v>1273</v>
      </c>
    </row>
    <row r="828">
      <c r="A828" s="32" t="s">
        <v>2203</v>
      </c>
      <c r="B828" s="34" t="s">
        <v>2204</v>
      </c>
      <c r="C828" s="38" t="s">
        <v>166</v>
      </c>
      <c r="D828" s="32" t="s">
        <v>1272</v>
      </c>
      <c r="E828" s="38" t="s">
        <v>99</v>
      </c>
      <c r="F828" s="32" t="s">
        <v>1273</v>
      </c>
    </row>
    <row r="829">
      <c r="A829" s="21" t="s">
        <v>2205</v>
      </c>
      <c r="B829" s="21" t="s">
        <v>2206</v>
      </c>
      <c r="C829" s="22" t="s">
        <v>99</v>
      </c>
      <c r="D829" s="23"/>
      <c r="E829" s="23"/>
      <c r="F829" s="21" t="s">
        <v>1273</v>
      </c>
    </row>
    <row r="830">
      <c r="A830" s="21" t="s">
        <v>2207</v>
      </c>
      <c r="B830" s="21" t="s">
        <v>2208</v>
      </c>
      <c r="C830" s="22" t="s">
        <v>102</v>
      </c>
      <c r="D830" s="21" t="s">
        <v>2209</v>
      </c>
      <c r="E830" s="22" t="s">
        <v>99</v>
      </c>
      <c r="F830" s="21" t="s">
        <v>2210</v>
      </c>
    </row>
    <row r="831">
      <c r="A831" s="21" t="s">
        <v>2211</v>
      </c>
      <c r="B831" s="21" t="s">
        <v>2212</v>
      </c>
      <c r="C831" s="22" t="s">
        <v>102</v>
      </c>
      <c r="D831" s="21" t="s">
        <v>2213</v>
      </c>
      <c r="E831" s="22" t="s">
        <v>99</v>
      </c>
      <c r="F831" s="21" t="s">
        <v>149</v>
      </c>
    </row>
    <row r="832">
      <c r="A832" s="21" t="s">
        <v>2214</v>
      </c>
      <c r="B832" s="21" t="s">
        <v>2215</v>
      </c>
      <c r="C832" s="22" t="s">
        <v>102</v>
      </c>
      <c r="D832" s="21" t="s">
        <v>2216</v>
      </c>
      <c r="E832" s="23"/>
      <c r="F832" s="21" t="s">
        <v>186</v>
      </c>
    </row>
    <row r="833">
      <c r="A833" s="36" t="s">
        <v>2217</v>
      </c>
      <c r="B833" s="36" t="s">
        <v>2218</v>
      </c>
      <c r="C833" s="37" t="s">
        <v>102</v>
      </c>
      <c r="D833" s="36" t="s">
        <v>2219</v>
      </c>
      <c r="E833" s="48"/>
      <c r="F833" s="36" t="s">
        <v>488</v>
      </c>
    </row>
    <row r="834">
      <c r="A834" s="21" t="s">
        <v>2220</v>
      </c>
      <c r="B834" s="21" t="s">
        <v>2221</v>
      </c>
      <c r="C834" s="22" t="s">
        <v>102</v>
      </c>
      <c r="D834" s="21" t="s">
        <v>2222</v>
      </c>
      <c r="E834" s="23"/>
      <c r="F834" s="21" t="s">
        <v>488</v>
      </c>
    </row>
    <row r="835">
      <c r="A835" s="21" t="s">
        <v>2223</v>
      </c>
      <c r="B835" s="21" t="s">
        <v>2224</v>
      </c>
      <c r="C835" s="22" t="s">
        <v>102</v>
      </c>
      <c r="D835" s="23"/>
      <c r="E835" s="23"/>
      <c r="F835" s="21" t="s">
        <v>104</v>
      </c>
    </row>
    <row r="836">
      <c r="A836" s="21" t="s">
        <v>2225</v>
      </c>
      <c r="B836" s="21" t="s">
        <v>2226</v>
      </c>
      <c r="C836" s="22" t="s">
        <v>102</v>
      </c>
      <c r="D836" s="21" t="s">
        <v>2227</v>
      </c>
      <c r="E836" s="23"/>
      <c r="F836" s="21" t="s">
        <v>206</v>
      </c>
    </row>
    <row r="837">
      <c r="A837" s="32" t="s">
        <v>2228</v>
      </c>
      <c r="B837" s="32" t="s">
        <v>2229</v>
      </c>
      <c r="C837" s="38" t="s">
        <v>166</v>
      </c>
      <c r="D837" s="33"/>
      <c r="E837" s="33"/>
      <c r="F837" s="32" t="s">
        <v>149</v>
      </c>
    </row>
    <row r="838">
      <c r="A838" s="36" t="s">
        <v>2230</v>
      </c>
      <c r="B838" s="36" t="s">
        <v>2231</v>
      </c>
      <c r="C838" s="37" t="s">
        <v>102</v>
      </c>
      <c r="D838" s="36" t="s">
        <v>1276</v>
      </c>
      <c r="E838" s="37" t="s">
        <v>99</v>
      </c>
      <c r="F838" s="36" t="s">
        <v>206</v>
      </c>
    </row>
    <row r="839">
      <c r="A839" s="21" t="s">
        <v>2232</v>
      </c>
      <c r="B839" s="21" t="s">
        <v>2233</v>
      </c>
      <c r="C839" s="22" t="s">
        <v>102</v>
      </c>
      <c r="D839" s="21" t="s">
        <v>1279</v>
      </c>
      <c r="E839" s="22" t="s">
        <v>99</v>
      </c>
      <c r="F839" s="21" t="s">
        <v>206</v>
      </c>
    </row>
    <row r="840">
      <c r="A840" s="21" t="s">
        <v>2234</v>
      </c>
      <c r="B840" s="21" t="s">
        <v>2235</v>
      </c>
      <c r="C840" s="22" t="s">
        <v>102</v>
      </c>
      <c r="D840" s="21" t="s">
        <v>2236</v>
      </c>
      <c r="E840" s="23"/>
      <c r="F840" s="21" t="s">
        <v>488</v>
      </c>
    </row>
    <row r="841">
      <c r="A841" s="21" t="s">
        <v>2237</v>
      </c>
      <c r="B841" s="21" t="s">
        <v>1918</v>
      </c>
      <c r="C841" s="22" t="s">
        <v>102</v>
      </c>
      <c r="D841" s="21" t="s">
        <v>1282</v>
      </c>
      <c r="E841" s="22" t="s">
        <v>1283</v>
      </c>
      <c r="F841" s="21" t="s">
        <v>1284</v>
      </c>
    </row>
    <row r="842">
      <c r="A842" s="32" t="s">
        <v>2238</v>
      </c>
      <c r="B842" s="32" t="s">
        <v>2239</v>
      </c>
      <c r="C842" s="38" t="s">
        <v>166</v>
      </c>
      <c r="D842" s="32" t="s">
        <v>2240</v>
      </c>
      <c r="E842" s="33"/>
      <c r="F842" s="32" t="s">
        <v>149</v>
      </c>
    </row>
    <row r="843">
      <c r="A843" s="21" t="s">
        <v>61</v>
      </c>
      <c r="B843" s="21" t="s">
        <v>2241</v>
      </c>
      <c r="C843" s="22" t="s">
        <v>102</v>
      </c>
      <c r="D843" s="21" t="s">
        <v>1287</v>
      </c>
      <c r="E843" s="22" t="s">
        <v>99</v>
      </c>
      <c r="F843" s="21" t="s">
        <v>186</v>
      </c>
    </row>
    <row r="844">
      <c r="A844" s="21" t="s">
        <v>2242</v>
      </c>
      <c r="B844" s="21" t="s">
        <v>2243</v>
      </c>
      <c r="C844" s="22" t="s">
        <v>102</v>
      </c>
      <c r="D844" s="21" t="s">
        <v>1290</v>
      </c>
      <c r="E844" s="22" t="s">
        <v>99</v>
      </c>
      <c r="F844" s="21" t="s">
        <v>186</v>
      </c>
    </row>
    <row r="845">
      <c r="A845" s="21" t="s">
        <v>2244</v>
      </c>
      <c r="B845" s="21" t="s">
        <v>2245</v>
      </c>
      <c r="C845" s="22" t="s">
        <v>102</v>
      </c>
      <c r="D845" s="21" t="s">
        <v>1293</v>
      </c>
      <c r="E845" s="22" t="s">
        <v>99</v>
      </c>
      <c r="F845" s="21" t="s">
        <v>186</v>
      </c>
    </row>
    <row r="846">
      <c r="A846" s="21" t="s">
        <v>2246</v>
      </c>
      <c r="B846" s="21" t="s">
        <v>2247</v>
      </c>
      <c r="C846" s="22" t="s">
        <v>102</v>
      </c>
      <c r="D846" s="28" t="s">
        <v>1296</v>
      </c>
      <c r="E846" s="22" t="s">
        <v>99</v>
      </c>
      <c r="F846" s="21" t="s">
        <v>186</v>
      </c>
    </row>
    <row r="847">
      <c r="A847" s="21" t="s">
        <v>2248</v>
      </c>
      <c r="B847" s="21" t="s">
        <v>2249</v>
      </c>
      <c r="C847" s="22" t="s">
        <v>102</v>
      </c>
      <c r="D847" s="21" t="s">
        <v>2250</v>
      </c>
      <c r="E847" s="22" t="s">
        <v>99</v>
      </c>
      <c r="F847" s="21" t="s">
        <v>186</v>
      </c>
    </row>
    <row r="848">
      <c r="A848" s="21" t="s">
        <v>2251</v>
      </c>
      <c r="B848" s="21" t="s">
        <v>2252</v>
      </c>
      <c r="C848" s="22" t="s">
        <v>102</v>
      </c>
      <c r="D848" s="21" t="s">
        <v>1301</v>
      </c>
      <c r="E848" s="22" t="s">
        <v>99</v>
      </c>
      <c r="F848" s="21" t="s">
        <v>186</v>
      </c>
    </row>
    <row r="849">
      <c r="A849" s="21" t="s">
        <v>2253</v>
      </c>
      <c r="B849" s="21" t="s">
        <v>2254</v>
      </c>
      <c r="C849" s="22" t="s">
        <v>102</v>
      </c>
      <c r="D849" s="21" t="s">
        <v>99</v>
      </c>
      <c r="E849" s="22" t="s">
        <v>99</v>
      </c>
      <c r="F849" s="21" t="s">
        <v>186</v>
      </c>
    </row>
    <row r="850">
      <c r="A850" s="21" t="s">
        <v>2255</v>
      </c>
      <c r="B850" s="21" t="s">
        <v>2256</v>
      </c>
      <c r="C850" s="22" t="s">
        <v>102</v>
      </c>
      <c r="D850" s="21" t="s">
        <v>1304</v>
      </c>
      <c r="E850" s="22" t="s">
        <v>99</v>
      </c>
      <c r="F850" s="21" t="s">
        <v>186</v>
      </c>
    </row>
    <row r="851">
      <c r="A851" s="36" t="s">
        <v>2257</v>
      </c>
      <c r="B851" s="36" t="s">
        <v>2258</v>
      </c>
      <c r="C851" s="37" t="s">
        <v>102</v>
      </c>
      <c r="D851" s="36" t="s">
        <v>2259</v>
      </c>
      <c r="E851" s="37" t="s">
        <v>99</v>
      </c>
      <c r="F851" s="36" t="s">
        <v>2260</v>
      </c>
    </row>
    <row r="852">
      <c r="A852" s="21" t="s">
        <v>2261</v>
      </c>
      <c r="B852" s="21" t="s">
        <v>2262</v>
      </c>
      <c r="C852" s="22" t="s">
        <v>102</v>
      </c>
      <c r="D852" s="21" t="s">
        <v>2263</v>
      </c>
      <c r="E852" s="22" t="s">
        <v>99</v>
      </c>
      <c r="F852" s="21" t="s">
        <v>2260</v>
      </c>
    </row>
    <row r="853">
      <c r="A853" s="21" t="s">
        <v>2264</v>
      </c>
      <c r="B853" s="21" t="s">
        <v>2265</v>
      </c>
      <c r="C853" s="22" t="s">
        <v>102</v>
      </c>
      <c r="D853" s="21" t="s">
        <v>2266</v>
      </c>
      <c r="E853" s="22" t="s">
        <v>99</v>
      </c>
      <c r="F853" s="21" t="s">
        <v>2260</v>
      </c>
    </row>
    <row r="854">
      <c r="A854" s="21" t="s">
        <v>2267</v>
      </c>
      <c r="B854" s="21" t="s">
        <v>2268</v>
      </c>
      <c r="C854" s="22" t="s">
        <v>102</v>
      </c>
      <c r="D854" s="23"/>
      <c r="E854" s="23"/>
      <c r="F854" s="21" t="s">
        <v>186</v>
      </c>
    </row>
    <row r="855">
      <c r="A855" s="32" t="s">
        <v>82</v>
      </c>
      <c r="B855" s="32" t="s">
        <v>1891</v>
      </c>
      <c r="C855" s="38" t="s">
        <v>166</v>
      </c>
      <c r="D855" s="32" t="s">
        <v>1311</v>
      </c>
      <c r="E855" s="32" t="s">
        <v>1892</v>
      </c>
      <c r="F855" s="32" t="s">
        <v>104</v>
      </c>
    </row>
    <row r="856">
      <c r="A856" s="21" t="s">
        <v>2269</v>
      </c>
      <c r="B856" s="21" t="s">
        <v>2270</v>
      </c>
      <c r="C856" s="22" t="s">
        <v>102</v>
      </c>
      <c r="D856" s="21" t="s">
        <v>1314</v>
      </c>
      <c r="E856" s="22" t="s">
        <v>99</v>
      </c>
      <c r="F856" s="21" t="s">
        <v>109</v>
      </c>
    </row>
    <row r="857">
      <c r="A857" s="36" t="s">
        <v>2271</v>
      </c>
      <c r="B857" s="36" t="s">
        <v>2272</v>
      </c>
      <c r="C857" s="37" t="s">
        <v>102</v>
      </c>
      <c r="D857" s="36" t="s">
        <v>2273</v>
      </c>
      <c r="E857" s="55"/>
      <c r="F857" s="36" t="s">
        <v>997</v>
      </c>
    </row>
    <row r="858">
      <c r="A858" s="36" t="s">
        <v>2274</v>
      </c>
      <c r="B858" s="36" t="s">
        <v>2275</v>
      </c>
      <c r="C858" s="37" t="s">
        <v>102</v>
      </c>
      <c r="D858" s="36" t="s">
        <v>2276</v>
      </c>
      <c r="E858" s="55"/>
      <c r="F858" s="36" t="s">
        <v>186</v>
      </c>
    </row>
    <row r="859">
      <c r="A859" s="21" t="s">
        <v>2277</v>
      </c>
      <c r="B859" s="21" t="s">
        <v>2278</v>
      </c>
      <c r="C859" s="22" t="s">
        <v>102</v>
      </c>
      <c r="D859" s="21" t="s">
        <v>1317</v>
      </c>
      <c r="E859" s="22" t="s">
        <v>99</v>
      </c>
      <c r="F859" s="21" t="s">
        <v>186</v>
      </c>
    </row>
    <row r="860">
      <c r="A860" s="21" t="s">
        <v>2279</v>
      </c>
      <c r="B860" s="21" t="s">
        <v>2280</v>
      </c>
      <c r="C860" s="22" t="s">
        <v>102</v>
      </c>
      <c r="D860" s="21" t="s">
        <v>1320</v>
      </c>
      <c r="E860" s="22" t="s">
        <v>99</v>
      </c>
      <c r="F860" s="21" t="s">
        <v>206</v>
      </c>
    </row>
    <row r="861">
      <c r="A861" s="32" t="s">
        <v>2281</v>
      </c>
      <c r="B861" s="34" t="s">
        <v>2282</v>
      </c>
      <c r="C861" s="38" t="s">
        <v>166</v>
      </c>
      <c r="D861" s="34" t="s">
        <v>1323</v>
      </c>
      <c r="E861" s="34" t="s">
        <v>99</v>
      </c>
      <c r="F861" s="32" t="s">
        <v>206</v>
      </c>
    </row>
    <row r="862">
      <c r="A862" s="32" t="s">
        <v>2283</v>
      </c>
      <c r="B862" s="34" t="s">
        <v>2284</v>
      </c>
      <c r="C862" s="38" t="s">
        <v>166</v>
      </c>
      <c r="D862" s="32" t="s">
        <v>1326</v>
      </c>
      <c r="E862" s="34" t="s">
        <v>99</v>
      </c>
      <c r="F862" s="32" t="s">
        <v>206</v>
      </c>
    </row>
    <row r="863">
      <c r="A863" s="21" t="s">
        <v>2285</v>
      </c>
      <c r="B863" s="21" t="s">
        <v>2286</v>
      </c>
      <c r="C863" s="22" t="s">
        <v>102</v>
      </c>
      <c r="D863" s="21" t="s">
        <v>1329</v>
      </c>
      <c r="E863" s="22" t="s">
        <v>99</v>
      </c>
      <c r="F863" s="21" t="s">
        <v>186</v>
      </c>
    </row>
    <row r="864">
      <c r="A864" s="21" t="s">
        <v>2287</v>
      </c>
      <c r="B864" s="21" t="s">
        <v>2288</v>
      </c>
      <c r="C864" s="22" t="s">
        <v>102</v>
      </c>
      <c r="D864" s="23"/>
      <c r="E864" s="27"/>
      <c r="F864" s="21" t="s">
        <v>206</v>
      </c>
    </row>
    <row r="865">
      <c r="A865" s="36" t="s">
        <v>2289</v>
      </c>
      <c r="B865" s="36" t="s">
        <v>2290</v>
      </c>
      <c r="C865" s="37" t="s">
        <v>102</v>
      </c>
      <c r="D865" s="36" t="s">
        <v>2291</v>
      </c>
      <c r="E865" s="48"/>
      <c r="F865" s="36" t="s">
        <v>206</v>
      </c>
    </row>
    <row r="866">
      <c r="A866" s="21" t="s">
        <v>2292</v>
      </c>
      <c r="B866" s="21" t="s">
        <v>2293</v>
      </c>
      <c r="C866" s="22" t="s">
        <v>102</v>
      </c>
      <c r="D866" s="21" t="s">
        <v>1332</v>
      </c>
      <c r="E866" s="22" t="s">
        <v>99</v>
      </c>
      <c r="F866" s="21" t="s">
        <v>1333</v>
      </c>
    </row>
    <row r="867">
      <c r="A867" s="21" t="s">
        <v>2294</v>
      </c>
      <c r="B867" s="21" t="s">
        <v>2295</v>
      </c>
      <c r="C867" s="22" t="s">
        <v>102</v>
      </c>
      <c r="D867" s="21" t="s">
        <v>2296</v>
      </c>
      <c r="E867" s="22" t="s">
        <v>99</v>
      </c>
      <c r="F867" s="21" t="s">
        <v>186</v>
      </c>
    </row>
    <row r="868">
      <c r="A868" s="36" t="s">
        <v>2297</v>
      </c>
      <c r="B868" s="36" t="s">
        <v>2298</v>
      </c>
      <c r="C868" s="37" t="s">
        <v>102</v>
      </c>
      <c r="D868" s="36" t="s">
        <v>1338</v>
      </c>
      <c r="E868" s="37" t="s">
        <v>99</v>
      </c>
      <c r="F868" s="36" t="s">
        <v>104</v>
      </c>
    </row>
    <row r="869">
      <c r="A869" s="32" t="s">
        <v>2299</v>
      </c>
      <c r="B869" s="32" t="s">
        <v>2300</v>
      </c>
      <c r="C869" s="38" t="s">
        <v>166</v>
      </c>
      <c r="D869" s="33"/>
      <c r="E869" s="33"/>
      <c r="F869" s="32" t="s">
        <v>149</v>
      </c>
    </row>
    <row r="870">
      <c r="A870" s="21" t="s">
        <v>2301</v>
      </c>
      <c r="B870" s="21" t="s">
        <v>2302</v>
      </c>
      <c r="C870" s="22" t="s">
        <v>102</v>
      </c>
      <c r="D870" s="23"/>
      <c r="E870" s="23"/>
      <c r="F870" s="21" t="s">
        <v>149</v>
      </c>
    </row>
    <row r="871">
      <c r="A871" s="36" t="s">
        <v>2303</v>
      </c>
      <c r="B871" s="36" t="s">
        <v>2304</v>
      </c>
      <c r="C871" s="37" t="s">
        <v>99</v>
      </c>
      <c r="D871" s="48"/>
      <c r="E871" s="48"/>
      <c r="F871" s="36" t="s">
        <v>149</v>
      </c>
    </row>
    <row r="872">
      <c r="A872" s="18" t="s">
        <v>2305</v>
      </c>
      <c r="B872" s="18" t="s">
        <v>2306</v>
      </c>
      <c r="C872" s="20" t="s">
        <v>166</v>
      </c>
      <c r="D872" s="18" t="s">
        <v>2307</v>
      </c>
      <c r="E872" s="20" t="s">
        <v>99</v>
      </c>
      <c r="F872" s="18" t="s">
        <v>499</v>
      </c>
    </row>
    <row r="873">
      <c r="A873" s="36" t="s">
        <v>2308</v>
      </c>
      <c r="B873" s="36" t="s">
        <v>2309</v>
      </c>
      <c r="C873" s="37" t="s">
        <v>102</v>
      </c>
      <c r="D873" s="48"/>
      <c r="E873" s="48"/>
      <c r="F873" s="36" t="s">
        <v>2310</v>
      </c>
    </row>
    <row r="874">
      <c r="A874" s="21" t="s">
        <v>2311</v>
      </c>
      <c r="B874" s="21" t="s">
        <v>2312</v>
      </c>
      <c r="C874" s="22" t="s">
        <v>102</v>
      </c>
      <c r="D874" s="23"/>
      <c r="E874" s="23"/>
      <c r="F874" s="21" t="s">
        <v>408</v>
      </c>
    </row>
    <row r="875">
      <c r="A875" s="18" t="s">
        <v>2313</v>
      </c>
      <c r="B875" s="18" t="s">
        <v>2314</v>
      </c>
      <c r="C875" s="20" t="s">
        <v>166</v>
      </c>
      <c r="D875" s="18" t="s">
        <v>2315</v>
      </c>
      <c r="E875" s="20" t="s">
        <v>99</v>
      </c>
      <c r="F875" s="18" t="s">
        <v>149</v>
      </c>
    </row>
    <row r="876">
      <c r="A876" s="32" t="s">
        <v>2316</v>
      </c>
      <c r="B876" s="32" t="s">
        <v>2317</v>
      </c>
      <c r="C876" s="38" t="s">
        <v>166</v>
      </c>
      <c r="D876" s="33"/>
      <c r="E876" s="33"/>
      <c r="F876" s="32" t="s">
        <v>408</v>
      </c>
    </row>
    <row r="877">
      <c r="A877" s="32" t="s">
        <v>2318</v>
      </c>
      <c r="B877" s="32" t="s">
        <v>2319</v>
      </c>
      <c r="C877" s="38" t="s">
        <v>166</v>
      </c>
      <c r="D877" s="32" t="s">
        <v>2315</v>
      </c>
      <c r="E877" s="38" t="s">
        <v>99</v>
      </c>
      <c r="F877" s="32" t="s">
        <v>149</v>
      </c>
    </row>
    <row r="878">
      <c r="A878" s="21" t="s">
        <v>2320</v>
      </c>
      <c r="B878" s="21" t="s">
        <v>2321</v>
      </c>
      <c r="C878" s="22" t="s">
        <v>102</v>
      </c>
      <c r="D878" s="21" t="s">
        <v>2322</v>
      </c>
      <c r="E878" s="23"/>
      <c r="F878" s="21" t="s">
        <v>104</v>
      </c>
    </row>
    <row r="879">
      <c r="A879" s="32" t="s">
        <v>2323</v>
      </c>
      <c r="B879" s="32" t="s">
        <v>2324</v>
      </c>
      <c r="C879" s="38" t="s">
        <v>166</v>
      </c>
      <c r="D879" s="32" t="s">
        <v>2325</v>
      </c>
      <c r="E879" s="38" t="s">
        <v>99</v>
      </c>
      <c r="F879" s="32" t="s">
        <v>2326</v>
      </c>
    </row>
    <row r="880">
      <c r="A880" s="21" t="s">
        <v>2327</v>
      </c>
      <c r="B880" s="21" t="s">
        <v>2328</v>
      </c>
      <c r="C880" s="22" t="s">
        <v>102</v>
      </c>
      <c r="D880" s="21" t="s">
        <v>2329</v>
      </c>
      <c r="E880" s="23"/>
      <c r="F880" s="21" t="s">
        <v>140</v>
      </c>
    </row>
    <row r="881">
      <c r="A881" s="36" t="s">
        <v>2330</v>
      </c>
      <c r="B881" s="36" t="s">
        <v>2331</v>
      </c>
      <c r="C881" s="37" t="s">
        <v>102</v>
      </c>
      <c r="D881" s="36" t="s">
        <v>2332</v>
      </c>
      <c r="E881" s="37" t="s">
        <v>99</v>
      </c>
      <c r="F881" s="36" t="s">
        <v>104</v>
      </c>
    </row>
    <row r="882">
      <c r="A882" s="21" t="s">
        <v>2333</v>
      </c>
      <c r="B882" s="21" t="s">
        <v>2334</v>
      </c>
      <c r="C882" s="22" t="s">
        <v>102</v>
      </c>
      <c r="D882" s="21" t="s">
        <v>1343</v>
      </c>
      <c r="E882" s="22" t="s">
        <v>99</v>
      </c>
      <c r="F882" s="21" t="s">
        <v>104</v>
      </c>
    </row>
    <row r="883">
      <c r="A883" s="21" t="s">
        <v>2335</v>
      </c>
      <c r="B883" s="21" t="s">
        <v>2336</v>
      </c>
      <c r="C883" s="22" t="s">
        <v>102</v>
      </c>
      <c r="D883" s="21" t="s">
        <v>1343</v>
      </c>
      <c r="E883" s="22" t="s">
        <v>99</v>
      </c>
      <c r="F883" s="21" t="s">
        <v>104</v>
      </c>
    </row>
    <row r="884">
      <c r="A884" s="21" t="s">
        <v>2337</v>
      </c>
      <c r="B884" s="21" t="s">
        <v>2338</v>
      </c>
      <c r="C884" s="22" t="s">
        <v>102</v>
      </c>
      <c r="D884" s="21" t="s">
        <v>2339</v>
      </c>
      <c r="E884" s="22" t="s">
        <v>99</v>
      </c>
      <c r="F884" s="21" t="s">
        <v>104</v>
      </c>
    </row>
    <row r="885">
      <c r="A885" s="32" t="s">
        <v>2340</v>
      </c>
      <c r="B885" s="32" t="s">
        <v>2341</v>
      </c>
      <c r="C885" s="38" t="s">
        <v>166</v>
      </c>
      <c r="D885" s="32" t="s">
        <v>2342</v>
      </c>
      <c r="E885" s="38" t="s">
        <v>99</v>
      </c>
      <c r="F885" s="32" t="s">
        <v>104</v>
      </c>
    </row>
    <row r="886">
      <c r="A886" s="21" t="s">
        <v>2343</v>
      </c>
      <c r="B886" s="21" t="s">
        <v>2344</v>
      </c>
      <c r="C886" s="22" t="s">
        <v>102</v>
      </c>
      <c r="D886" s="21" t="s">
        <v>2345</v>
      </c>
      <c r="E886" s="22" t="s">
        <v>99</v>
      </c>
      <c r="F886" s="21" t="s">
        <v>104</v>
      </c>
    </row>
    <row r="887">
      <c r="A887" s="21" t="s">
        <v>2346</v>
      </c>
      <c r="B887" s="21" t="s">
        <v>2347</v>
      </c>
      <c r="C887" s="22" t="s">
        <v>102</v>
      </c>
      <c r="D887" s="21" t="s">
        <v>2348</v>
      </c>
      <c r="E887" s="22" t="s">
        <v>99</v>
      </c>
      <c r="F887" s="21" t="s">
        <v>104</v>
      </c>
    </row>
    <row r="888">
      <c r="A888" s="21" t="s">
        <v>2349</v>
      </c>
      <c r="B888" s="21" t="s">
        <v>2350</v>
      </c>
      <c r="C888" s="22" t="s">
        <v>102</v>
      </c>
      <c r="D888" s="23"/>
      <c r="E888" s="23"/>
      <c r="F888" s="21" t="s">
        <v>104</v>
      </c>
    </row>
    <row r="889">
      <c r="A889" s="21" t="s">
        <v>2351</v>
      </c>
      <c r="B889" s="21" t="s">
        <v>2352</v>
      </c>
      <c r="C889" s="22" t="s">
        <v>102</v>
      </c>
      <c r="D889" s="23"/>
      <c r="E889" s="23"/>
      <c r="F889" s="21" t="s">
        <v>104</v>
      </c>
    </row>
    <row r="890">
      <c r="A890" s="36" t="s">
        <v>2353</v>
      </c>
      <c r="B890" s="36" t="s">
        <v>2354</v>
      </c>
      <c r="C890" s="37" t="s">
        <v>102</v>
      </c>
      <c r="D890" s="36" t="s">
        <v>2355</v>
      </c>
      <c r="E890" s="48"/>
      <c r="F890" s="36" t="s">
        <v>104</v>
      </c>
    </row>
    <row r="891">
      <c r="A891" s="21" t="s">
        <v>2356</v>
      </c>
      <c r="B891" s="21" t="s">
        <v>2357</v>
      </c>
      <c r="C891" s="22" t="s">
        <v>102</v>
      </c>
      <c r="D891" s="21" t="s">
        <v>2355</v>
      </c>
      <c r="E891" s="23"/>
      <c r="F891" s="21" t="s">
        <v>104</v>
      </c>
    </row>
    <row r="892">
      <c r="A892" s="21" t="s">
        <v>2358</v>
      </c>
      <c r="B892" s="21" t="s">
        <v>2359</v>
      </c>
      <c r="C892" s="22" t="s">
        <v>102</v>
      </c>
      <c r="D892" s="21" t="s">
        <v>2355</v>
      </c>
      <c r="E892" s="23"/>
      <c r="F892" s="21" t="s">
        <v>104</v>
      </c>
    </row>
    <row r="893">
      <c r="A893" s="21" t="s">
        <v>2360</v>
      </c>
      <c r="B893" s="21" t="s">
        <v>2361</v>
      </c>
      <c r="C893" s="22" t="s">
        <v>102</v>
      </c>
      <c r="D893" s="21" t="s">
        <v>1354</v>
      </c>
      <c r="E893" s="22" t="s">
        <v>99</v>
      </c>
      <c r="F893" s="21" t="s">
        <v>499</v>
      </c>
    </row>
    <row r="894">
      <c r="A894" s="32" t="s">
        <v>2362</v>
      </c>
      <c r="B894" s="34" t="s">
        <v>2363</v>
      </c>
      <c r="C894" s="38" t="s">
        <v>166</v>
      </c>
      <c r="D894" s="34" t="s">
        <v>1357</v>
      </c>
      <c r="E894" s="38" t="s">
        <v>99</v>
      </c>
      <c r="F894" s="32" t="s">
        <v>104</v>
      </c>
    </row>
    <row r="895">
      <c r="A895" s="36" t="s">
        <v>2364</v>
      </c>
      <c r="B895" s="36" t="s">
        <v>2365</v>
      </c>
      <c r="C895" s="37" t="s">
        <v>102</v>
      </c>
      <c r="D895" s="36" t="s">
        <v>1360</v>
      </c>
      <c r="E895" s="37" t="s">
        <v>99</v>
      </c>
      <c r="F895" s="36" t="s">
        <v>1361</v>
      </c>
    </row>
    <row r="896">
      <c r="A896" s="21" t="s">
        <v>2366</v>
      </c>
      <c r="B896" s="21" t="s">
        <v>2367</v>
      </c>
      <c r="C896" s="22" t="s">
        <v>102</v>
      </c>
      <c r="D896" s="21" t="s">
        <v>1364</v>
      </c>
      <c r="E896" s="22" t="s">
        <v>99</v>
      </c>
      <c r="F896" s="21" t="s">
        <v>1361</v>
      </c>
    </row>
    <row r="897">
      <c r="A897" s="21" t="s">
        <v>2368</v>
      </c>
      <c r="B897" s="21" t="s">
        <v>2369</v>
      </c>
      <c r="C897" s="22" t="s">
        <v>102</v>
      </c>
      <c r="D897" s="23"/>
      <c r="E897" s="23"/>
      <c r="F897" s="21" t="s">
        <v>1361</v>
      </c>
    </row>
    <row r="898">
      <c r="A898" s="36" t="s">
        <v>2370</v>
      </c>
      <c r="B898" s="36" t="s">
        <v>2371</v>
      </c>
      <c r="C898" s="37" t="s">
        <v>102</v>
      </c>
      <c r="D898" s="48"/>
      <c r="E898" s="48"/>
      <c r="F898" s="36" t="s">
        <v>1361</v>
      </c>
    </row>
    <row r="899">
      <c r="A899" s="32" t="s">
        <v>52</v>
      </c>
      <c r="B899" s="32" t="s">
        <v>2372</v>
      </c>
      <c r="C899" s="38" t="s">
        <v>284</v>
      </c>
      <c r="D899" s="32" t="s">
        <v>99</v>
      </c>
      <c r="E899" s="38" t="s">
        <v>99</v>
      </c>
      <c r="F899" s="32" t="s">
        <v>99</v>
      </c>
    </row>
    <row r="900">
      <c r="A900" s="21" t="s">
        <v>2373</v>
      </c>
      <c r="B900" s="21" t="s">
        <v>2374</v>
      </c>
      <c r="C900" s="22" t="s">
        <v>102</v>
      </c>
      <c r="D900" s="21" t="s">
        <v>1367</v>
      </c>
      <c r="E900" s="22" t="s">
        <v>99</v>
      </c>
      <c r="F900" s="21" t="s">
        <v>104</v>
      </c>
    </row>
    <row r="901">
      <c r="A901" s="21" t="s">
        <v>2375</v>
      </c>
      <c r="B901" s="21" t="s">
        <v>2376</v>
      </c>
      <c r="C901" s="22" t="s">
        <v>102</v>
      </c>
      <c r="D901" s="21" t="s">
        <v>1370</v>
      </c>
      <c r="E901" s="22" t="s">
        <v>99</v>
      </c>
      <c r="F901" s="21" t="s">
        <v>529</v>
      </c>
    </row>
    <row r="902">
      <c r="A902" s="32" t="s">
        <v>2377</v>
      </c>
      <c r="B902" s="34" t="s">
        <v>2378</v>
      </c>
      <c r="C902" s="38" t="s">
        <v>166</v>
      </c>
      <c r="D902" s="32" t="s">
        <v>1373</v>
      </c>
      <c r="E902" s="38" t="s">
        <v>99</v>
      </c>
      <c r="F902" s="32" t="s">
        <v>265</v>
      </c>
    </row>
    <row r="903">
      <c r="A903" s="21" t="s">
        <v>2379</v>
      </c>
      <c r="B903" s="26" t="s">
        <v>2380</v>
      </c>
      <c r="C903" s="22" t="s">
        <v>102</v>
      </c>
      <c r="D903" s="21" t="s">
        <v>2381</v>
      </c>
      <c r="E903" s="23"/>
      <c r="F903" s="21" t="s">
        <v>433</v>
      </c>
    </row>
    <row r="904">
      <c r="A904" s="21" t="s">
        <v>2382</v>
      </c>
      <c r="B904" s="21" t="s">
        <v>2383</v>
      </c>
      <c r="C904" s="22" t="s">
        <v>102</v>
      </c>
      <c r="D904" s="21" t="s">
        <v>1376</v>
      </c>
      <c r="E904" s="22" t="s">
        <v>99</v>
      </c>
      <c r="F904" s="21" t="s">
        <v>433</v>
      </c>
    </row>
    <row r="905">
      <c r="A905" s="36" t="s">
        <v>2384</v>
      </c>
      <c r="B905" s="36" t="s">
        <v>2385</v>
      </c>
      <c r="C905" s="37" t="s">
        <v>102</v>
      </c>
      <c r="D905" s="36" t="s">
        <v>1379</v>
      </c>
      <c r="E905" s="37" t="s">
        <v>99</v>
      </c>
      <c r="F905" s="36" t="s">
        <v>1195</v>
      </c>
    </row>
    <row r="906">
      <c r="A906" s="21" t="s">
        <v>2386</v>
      </c>
      <c r="B906" s="21" t="s">
        <v>2387</v>
      </c>
      <c r="C906" s="22" t="s">
        <v>102</v>
      </c>
      <c r="D906" s="21" t="s">
        <v>1382</v>
      </c>
      <c r="E906" s="22" t="s">
        <v>99</v>
      </c>
      <c r="F906" s="21" t="s">
        <v>1195</v>
      </c>
    </row>
    <row r="907">
      <c r="A907" s="21" t="s">
        <v>2388</v>
      </c>
      <c r="B907" s="21" t="s">
        <v>2389</v>
      </c>
      <c r="C907" s="22" t="s">
        <v>102</v>
      </c>
      <c r="D907" s="21" t="s">
        <v>1307</v>
      </c>
      <c r="E907" s="22" t="s">
        <v>99</v>
      </c>
      <c r="F907" s="21" t="s">
        <v>1308</v>
      </c>
    </row>
    <row r="908">
      <c r="A908" s="21" t="s">
        <v>2390</v>
      </c>
      <c r="B908" s="21" t="s">
        <v>2391</v>
      </c>
      <c r="C908" s="22" t="s">
        <v>102</v>
      </c>
      <c r="D908" s="21" t="s">
        <v>1385</v>
      </c>
      <c r="E908" s="22" t="s">
        <v>99</v>
      </c>
      <c r="F908" s="21" t="s">
        <v>1308</v>
      </c>
    </row>
    <row r="909">
      <c r="A909" s="18" t="s">
        <v>2392</v>
      </c>
      <c r="B909" s="18" t="s">
        <v>2393</v>
      </c>
      <c r="C909" s="20" t="s">
        <v>166</v>
      </c>
      <c r="D909" s="18" t="s">
        <v>1388</v>
      </c>
      <c r="E909" s="20" t="s">
        <v>99</v>
      </c>
      <c r="F909" s="18" t="s">
        <v>463</v>
      </c>
    </row>
    <row r="910">
      <c r="A910" s="36" t="s">
        <v>2394</v>
      </c>
      <c r="B910" s="36" t="s">
        <v>2395</v>
      </c>
      <c r="C910" s="37" t="s">
        <v>102</v>
      </c>
      <c r="D910" s="36" t="s">
        <v>1391</v>
      </c>
      <c r="E910" s="37" t="s">
        <v>99</v>
      </c>
      <c r="F910" s="36" t="s">
        <v>997</v>
      </c>
    </row>
    <row r="911">
      <c r="A911" s="21" t="s">
        <v>2396</v>
      </c>
      <c r="B911" s="21" t="s">
        <v>2397</v>
      </c>
      <c r="C911" s="22" t="s">
        <v>102</v>
      </c>
      <c r="D911" s="21" t="s">
        <v>1394</v>
      </c>
      <c r="E911" s="22" t="s">
        <v>99</v>
      </c>
      <c r="F911" s="21" t="s">
        <v>140</v>
      </c>
    </row>
    <row r="912">
      <c r="A912" s="36" t="s">
        <v>2398</v>
      </c>
      <c r="B912" s="36" t="s">
        <v>2399</v>
      </c>
      <c r="C912" s="37" t="s">
        <v>102</v>
      </c>
      <c r="D912" s="36" t="s">
        <v>1397</v>
      </c>
      <c r="E912" s="53" t="s">
        <v>99</v>
      </c>
      <c r="F912" s="36" t="s">
        <v>140</v>
      </c>
    </row>
    <row r="913">
      <c r="A913" s="18" t="s">
        <v>2400</v>
      </c>
      <c r="B913" s="18" t="s">
        <v>2401</v>
      </c>
      <c r="C913" s="20" t="s">
        <v>166</v>
      </c>
      <c r="D913" s="18" t="s">
        <v>1400</v>
      </c>
      <c r="E913" s="20" t="s">
        <v>99</v>
      </c>
      <c r="F913" s="18" t="s">
        <v>499</v>
      </c>
    </row>
    <row r="914">
      <c r="A914" s="32" t="s">
        <v>2402</v>
      </c>
      <c r="B914" s="32" t="s">
        <v>2403</v>
      </c>
      <c r="C914" s="38" t="s">
        <v>166</v>
      </c>
      <c r="D914" s="32" t="s">
        <v>2404</v>
      </c>
      <c r="E914" s="38" t="s">
        <v>99</v>
      </c>
      <c r="F914" s="32" t="s">
        <v>499</v>
      </c>
    </row>
    <row r="915">
      <c r="A915" s="21" t="s">
        <v>2405</v>
      </c>
      <c r="B915" s="21" t="s">
        <v>2406</v>
      </c>
      <c r="C915" s="22" t="s">
        <v>102</v>
      </c>
      <c r="D915" s="21" t="s">
        <v>2407</v>
      </c>
      <c r="E915" s="26" t="s">
        <v>99</v>
      </c>
      <c r="F915" s="21" t="s">
        <v>499</v>
      </c>
    </row>
    <row r="916">
      <c r="A916" s="32" t="s">
        <v>41</v>
      </c>
      <c r="B916" s="32" t="s">
        <v>2408</v>
      </c>
      <c r="C916" s="38" t="s">
        <v>284</v>
      </c>
      <c r="D916" s="32" t="s">
        <v>99</v>
      </c>
      <c r="E916" s="38" t="s">
        <v>99</v>
      </c>
      <c r="F916" s="32" t="s">
        <v>99</v>
      </c>
    </row>
    <row r="917">
      <c r="A917" s="32" t="s">
        <v>2409</v>
      </c>
      <c r="B917" s="32" t="s">
        <v>2410</v>
      </c>
      <c r="C917" s="38" t="s">
        <v>284</v>
      </c>
      <c r="D917" s="33"/>
      <c r="E917" s="33"/>
      <c r="F917" s="33"/>
    </row>
    <row r="918">
      <c r="A918" s="21" t="s">
        <v>2411</v>
      </c>
      <c r="B918" s="21" t="s">
        <v>2412</v>
      </c>
      <c r="C918" s="22" t="s">
        <v>102</v>
      </c>
      <c r="D918" s="21" t="s">
        <v>1407</v>
      </c>
      <c r="E918" s="22" t="s">
        <v>99</v>
      </c>
      <c r="F918" s="21" t="s">
        <v>608</v>
      </c>
    </row>
    <row r="919">
      <c r="A919" s="21" t="s">
        <v>2413</v>
      </c>
      <c r="B919" s="21" t="s">
        <v>2414</v>
      </c>
      <c r="C919" s="22" t="s">
        <v>102</v>
      </c>
      <c r="D919" s="21" t="s">
        <v>2415</v>
      </c>
      <c r="E919" s="22" t="s">
        <v>99</v>
      </c>
      <c r="F919" s="21" t="s">
        <v>608</v>
      </c>
    </row>
    <row r="920">
      <c r="A920" s="21" t="s">
        <v>2416</v>
      </c>
      <c r="B920" s="21" t="s">
        <v>2417</v>
      </c>
      <c r="C920" s="22" t="s">
        <v>102</v>
      </c>
      <c r="D920" s="23"/>
      <c r="E920" s="23"/>
      <c r="F920" s="21" t="s">
        <v>157</v>
      </c>
    </row>
    <row r="921">
      <c r="A921" s="21" t="s">
        <v>2418</v>
      </c>
      <c r="B921" s="21" t="s">
        <v>2419</v>
      </c>
      <c r="C921" s="22" t="s">
        <v>102</v>
      </c>
      <c r="D921" s="21" t="s">
        <v>2420</v>
      </c>
      <c r="E921" s="23"/>
      <c r="F921" s="21" t="s">
        <v>608</v>
      </c>
    </row>
    <row r="922">
      <c r="A922" s="21" t="s">
        <v>2421</v>
      </c>
      <c r="B922" s="21" t="s">
        <v>2422</v>
      </c>
      <c r="C922" s="22" t="s">
        <v>102</v>
      </c>
      <c r="D922" s="21" t="s">
        <v>1410</v>
      </c>
      <c r="E922" s="22" t="s">
        <v>99</v>
      </c>
      <c r="F922" s="21" t="s">
        <v>608</v>
      </c>
    </row>
    <row r="923">
      <c r="A923" s="21" t="s">
        <v>2423</v>
      </c>
      <c r="B923" s="21" t="s">
        <v>2424</v>
      </c>
      <c r="C923" s="22" t="s">
        <v>102</v>
      </c>
      <c r="D923" s="21" t="s">
        <v>1413</v>
      </c>
      <c r="E923" s="22" t="s">
        <v>99</v>
      </c>
      <c r="F923" s="21" t="s">
        <v>1414</v>
      </c>
    </row>
    <row r="924">
      <c r="A924" s="21" t="s">
        <v>2425</v>
      </c>
      <c r="B924" s="21" t="s">
        <v>2426</v>
      </c>
      <c r="C924" s="22" t="s">
        <v>102</v>
      </c>
      <c r="D924" s="21" t="s">
        <v>1417</v>
      </c>
      <c r="E924" s="22" t="s">
        <v>99</v>
      </c>
      <c r="F924" s="21" t="s">
        <v>1414</v>
      </c>
    </row>
    <row r="925">
      <c r="A925" s="21" t="s">
        <v>2427</v>
      </c>
      <c r="B925" s="21" t="s">
        <v>2428</v>
      </c>
      <c r="C925" s="22" t="s">
        <v>102</v>
      </c>
      <c r="D925" s="21" t="s">
        <v>1420</v>
      </c>
      <c r="E925" s="22" t="s">
        <v>99</v>
      </c>
      <c r="F925" s="21" t="s">
        <v>1414</v>
      </c>
    </row>
    <row r="926">
      <c r="A926" s="21" t="s">
        <v>2429</v>
      </c>
      <c r="B926" s="21" t="s">
        <v>2430</v>
      </c>
      <c r="C926" s="22" t="s">
        <v>102</v>
      </c>
      <c r="D926" s="21" t="s">
        <v>1423</v>
      </c>
      <c r="E926" s="22" t="s">
        <v>99</v>
      </c>
      <c r="F926" s="21" t="s">
        <v>1414</v>
      </c>
    </row>
    <row r="927">
      <c r="A927" s="21" t="s">
        <v>2431</v>
      </c>
      <c r="B927" s="21" t="s">
        <v>2432</v>
      </c>
      <c r="C927" s="22" t="s">
        <v>102</v>
      </c>
      <c r="D927" s="21" t="s">
        <v>1426</v>
      </c>
      <c r="E927" s="22" t="s">
        <v>99</v>
      </c>
      <c r="F927" s="21" t="s">
        <v>1414</v>
      </c>
    </row>
    <row r="928">
      <c r="A928" s="21" t="s">
        <v>2433</v>
      </c>
      <c r="B928" s="21" t="s">
        <v>2434</v>
      </c>
      <c r="C928" s="22" t="s">
        <v>102</v>
      </c>
      <c r="D928" s="21" t="s">
        <v>1429</v>
      </c>
      <c r="E928" s="22" t="s">
        <v>99</v>
      </c>
      <c r="F928" s="21" t="s">
        <v>608</v>
      </c>
    </row>
    <row r="929">
      <c r="A929" s="36" t="s">
        <v>2435</v>
      </c>
      <c r="B929" s="36" t="s">
        <v>2436</v>
      </c>
      <c r="C929" s="37" t="s">
        <v>102</v>
      </c>
      <c r="D929" s="36" t="s">
        <v>1432</v>
      </c>
      <c r="E929" s="37" t="s">
        <v>99</v>
      </c>
      <c r="F929" s="36" t="s">
        <v>608</v>
      </c>
    </row>
    <row r="930">
      <c r="A930" s="21" t="s">
        <v>2437</v>
      </c>
      <c r="B930" s="21" t="s">
        <v>2438</v>
      </c>
      <c r="C930" s="22" t="s">
        <v>102</v>
      </c>
      <c r="D930" s="21" t="s">
        <v>1432</v>
      </c>
      <c r="E930" s="22" t="s">
        <v>99</v>
      </c>
      <c r="F930" s="21" t="s">
        <v>608</v>
      </c>
    </row>
    <row r="931">
      <c r="A931" s="21" t="s">
        <v>2439</v>
      </c>
      <c r="B931" s="21" t="s">
        <v>2440</v>
      </c>
      <c r="C931" s="22" t="s">
        <v>102</v>
      </c>
      <c r="D931" s="21" t="s">
        <v>1432</v>
      </c>
      <c r="E931" s="22" t="s">
        <v>99</v>
      </c>
      <c r="F931" s="21" t="s">
        <v>608</v>
      </c>
    </row>
    <row r="932">
      <c r="A932" s="21" t="s">
        <v>2441</v>
      </c>
      <c r="B932" s="21" t="s">
        <v>2442</v>
      </c>
      <c r="C932" s="22" t="s">
        <v>102</v>
      </c>
      <c r="D932" s="21" t="s">
        <v>1435</v>
      </c>
      <c r="E932" s="22" t="s">
        <v>99</v>
      </c>
      <c r="F932" s="21" t="s">
        <v>608</v>
      </c>
    </row>
    <row r="933">
      <c r="A933" s="32" t="s">
        <v>2443</v>
      </c>
      <c r="B933" s="32" t="s">
        <v>2444</v>
      </c>
      <c r="C933" s="38" t="s">
        <v>166</v>
      </c>
      <c r="D933" s="32" t="s">
        <v>1438</v>
      </c>
      <c r="E933" s="38" t="s">
        <v>99</v>
      </c>
      <c r="F933" s="32" t="s">
        <v>269</v>
      </c>
    </row>
    <row r="934">
      <c r="A934" s="21" t="s">
        <v>2445</v>
      </c>
      <c r="B934" s="21" t="s">
        <v>2446</v>
      </c>
      <c r="C934" s="22" t="s">
        <v>102</v>
      </c>
      <c r="D934" s="21" t="s">
        <v>1441</v>
      </c>
      <c r="E934" s="22" t="s">
        <v>1442</v>
      </c>
      <c r="F934" s="21" t="s">
        <v>1443</v>
      </c>
    </row>
    <row r="935">
      <c r="A935" s="21" t="s">
        <v>2447</v>
      </c>
      <c r="B935" s="21" t="s">
        <v>2446</v>
      </c>
      <c r="C935" s="22" t="s">
        <v>102</v>
      </c>
      <c r="D935" s="21" t="s">
        <v>1441</v>
      </c>
      <c r="E935" s="22" t="s">
        <v>1442</v>
      </c>
      <c r="F935" s="21" t="s">
        <v>1443</v>
      </c>
    </row>
    <row r="936">
      <c r="A936" s="21" t="s">
        <v>2448</v>
      </c>
      <c r="B936" s="21" t="s">
        <v>2449</v>
      </c>
      <c r="C936" s="22" t="s">
        <v>102</v>
      </c>
      <c r="D936" s="21" t="s">
        <v>1446</v>
      </c>
      <c r="E936" s="22" t="s">
        <v>99</v>
      </c>
      <c r="F936" s="21" t="s">
        <v>202</v>
      </c>
    </row>
    <row r="937">
      <c r="A937" s="36" t="s">
        <v>2450</v>
      </c>
      <c r="B937" s="53" t="s">
        <v>2451</v>
      </c>
      <c r="C937" s="37" t="s">
        <v>102</v>
      </c>
      <c r="D937" s="36" t="s">
        <v>1449</v>
      </c>
      <c r="E937" s="37" t="s">
        <v>99</v>
      </c>
      <c r="F937" s="36" t="s">
        <v>202</v>
      </c>
    </row>
    <row r="938">
      <c r="A938" s="21" t="s">
        <v>2452</v>
      </c>
      <c r="B938" s="26" t="s">
        <v>2453</v>
      </c>
      <c r="C938" s="22" t="s">
        <v>102</v>
      </c>
      <c r="D938" s="21" t="s">
        <v>1452</v>
      </c>
      <c r="E938" s="22" t="s">
        <v>99</v>
      </c>
      <c r="F938" s="21" t="s">
        <v>202</v>
      </c>
    </row>
    <row r="939">
      <c r="A939" s="21" t="s">
        <v>2454</v>
      </c>
      <c r="B939" s="26" t="s">
        <v>2455</v>
      </c>
      <c r="C939" s="22" t="s">
        <v>102</v>
      </c>
      <c r="D939" s="21" t="s">
        <v>2456</v>
      </c>
      <c r="E939" s="22" t="s">
        <v>99</v>
      </c>
      <c r="F939" s="21" t="s">
        <v>99</v>
      </c>
    </row>
    <row r="940">
      <c r="A940" s="21" t="s">
        <v>2457</v>
      </c>
      <c r="B940" s="26" t="s">
        <v>2458</v>
      </c>
      <c r="C940" s="22" t="s">
        <v>102</v>
      </c>
      <c r="D940" s="23"/>
      <c r="E940" s="23"/>
      <c r="F940" s="21" t="s">
        <v>202</v>
      </c>
    </row>
    <row r="941">
      <c r="A941" s="54" t="s">
        <v>2459</v>
      </c>
      <c r="B941" s="34" t="s">
        <v>2460</v>
      </c>
      <c r="C941" s="38" t="s">
        <v>166</v>
      </c>
      <c r="D941" s="32" t="s">
        <v>2461</v>
      </c>
      <c r="E941" s="34" t="s">
        <v>99</v>
      </c>
      <c r="F941" s="54" t="s">
        <v>149</v>
      </c>
    </row>
    <row r="942">
      <c r="A942" s="28" t="s">
        <v>2462</v>
      </c>
      <c r="B942" s="26" t="s">
        <v>2463</v>
      </c>
      <c r="C942" s="22" t="s">
        <v>102</v>
      </c>
      <c r="D942" s="23"/>
      <c r="E942" s="27"/>
      <c r="F942" s="28" t="s">
        <v>401</v>
      </c>
    </row>
    <row r="943">
      <c r="A943" s="21" t="s">
        <v>2464</v>
      </c>
      <c r="B943" s="21" t="s">
        <v>2465</v>
      </c>
      <c r="C943" s="22" t="s">
        <v>102</v>
      </c>
      <c r="D943" s="21" t="s">
        <v>1457</v>
      </c>
      <c r="E943" s="22" t="s">
        <v>99</v>
      </c>
      <c r="F943" s="21" t="s">
        <v>692</v>
      </c>
    </row>
    <row r="944">
      <c r="A944" s="21" t="s">
        <v>2466</v>
      </c>
      <c r="B944" s="21" t="s">
        <v>2467</v>
      </c>
      <c r="C944" s="22" t="s">
        <v>102</v>
      </c>
      <c r="D944" s="21" t="s">
        <v>2468</v>
      </c>
      <c r="E944" s="23"/>
      <c r="F944" s="21" t="s">
        <v>608</v>
      </c>
    </row>
    <row r="945">
      <c r="A945" s="36" t="s">
        <v>2469</v>
      </c>
      <c r="B945" s="36" t="s">
        <v>2470</v>
      </c>
      <c r="C945" s="37" t="s">
        <v>102</v>
      </c>
      <c r="D945" s="36" t="s">
        <v>2471</v>
      </c>
      <c r="E945" s="48"/>
      <c r="F945" s="36" t="s">
        <v>2472</v>
      </c>
    </row>
    <row r="946">
      <c r="A946" s="21" t="s">
        <v>2473</v>
      </c>
      <c r="B946" s="21" t="s">
        <v>2474</v>
      </c>
      <c r="C946" s="22" t="s">
        <v>102</v>
      </c>
      <c r="D946" s="21" t="s">
        <v>2471</v>
      </c>
      <c r="E946" s="23"/>
      <c r="F946" s="21" t="s">
        <v>2472</v>
      </c>
    </row>
    <row r="947">
      <c r="A947" s="21" t="s">
        <v>2475</v>
      </c>
      <c r="B947" s="21" t="s">
        <v>2476</v>
      </c>
      <c r="C947" s="22" t="s">
        <v>102</v>
      </c>
      <c r="D947" s="23"/>
      <c r="E947" s="23"/>
      <c r="F947" s="21" t="s">
        <v>104</v>
      </c>
    </row>
    <row r="948">
      <c r="A948" s="21" t="s">
        <v>2477</v>
      </c>
      <c r="B948" s="21" t="s">
        <v>2478</v>
      </c>
      <c r="C948" s="22" t="s">
        <v>99</v>
      </c>
      <c r="D948" s="23"/>
      <c r="E948" s="23"/>
      <c r="F948" s="21" t="s">
        <v>104</v>
      </c>
    </row>
    <row r="949">
      <c r="A949" s="18" t="s">
        <v>79</v>
      </c>
      <c r="B949" s="18" t="s">
        <v>2479</v>
      </c>
      <c r="C949" s="20" t="s">
        <v>166</v>
      </c>
      <c r="D949" s="20" t="s">
        <v>2480</v>
      </c>
      <c r="E949" s="20" t="s">
        <v>99</v>
      </c>
      <c r="F949" s="18" t="s">
        <v>104</v>
      </c>
    </row>
    <row r="950">
      <c r="A950" s="21" t="s">
        <v>2481</v>
      </c>
      <c r="B950" s="21" t="s">
        <v>619</v>
      </c>
      <c r="C950" s="23"/>
      <c r="D950" s="23"/>
      <c r="E950" s="23"/>
      <c r="F950" s="23"/>
    </row>
    <row r="951">
      <c r="A951" s="36" t="s">
        <v>2482</v>
      </c>
      <c r="B951" s="36" t="s">
        <v>2483</v>
      </c>
      <c r="C951" s="37" t="s">
        <v>102</v>
      </c>
      <c r="D951" s="36" t="s">
        <v>1464</v>
      </c>
      <c r="E951" s="37" t="s">
        <v>99</v>
      </c>
      <c r="F951" s="36" t="s">
        <v>1191</v>
      </c>
    </row>
    <row r="952">
      <c r="A952" s="21" t="s">
        <v>2484</v>
      </c>
      <c r="B952" s="21" t="s">
        <v>2485</v>
      </c>
      <c r="C952" s="22" t="s">
        <v>102</v>
      </c>
      <c r="D952" s="21" t="s">
        <v>1464</v>
      </c>
      <c r="E952" s="22" t="s">
        <v>99</v>
      </c>
      <c r="F952" s="21" t="s">
        <v>1191</v>
      </c>
    </row>
    <row r="953">
      <c r="A953" s="32" t="s">
        <v>2486</v>
      </c>
      <c r="B953" s="34" t="s">
        <v>2487</v>
      </c>
      <c r="C953" s="38" t="s">
        <v>166</v>
      </c>
      <c r="D953" s="32" t="s">
        <v>2488</v>
      </c>
      <c r="E953" s="38" t="s">
        <v>99</v>
      </c>
      <c r="F953" s="32" t="s">
        <v>408</v>
      </c>
    </row>
    <row r="954">
      <c r="A954" s="36" t="s">
        <v>2489</v>
      </c>
      <c r="B954" s="53" t="s">
        <v>2490</v>
      </c>
      <c r="C954" s="37" t="s">
        <v>102</v>
      </c>
      <c r="D954" s="36" t="s">
        <v>1469</v>
      </c>
      <c r="E954" s="37" t="s">
        <v>99</v>
      </c>
      <c r="F954" s="36" t="s">
        <v>408</v>
      </c>
    </row>
    <row r="955">
      <c r="A955" s="18" t="s">
        <v>2491</v>
      </c>
      <c r="B955" s="18" t="s">
        <v>2492</v>
      </c>
      <c r="C955" s="20" t="s">
        <v>166</v>
      </c>
      <c r="D955" s="18" t="s">
        <v>1472</v>
      </c>
      <c r="E955" s="20" t="s">
        <v>99</v>
      </c>
      <c r="F955" s="18" t="s">
        <v>104</v>
      </c>
    </row>
    <row r="956">
      <c r="A956" s="36" t="s">
        <v>2493</v>
      </c>
      <c r="B956" s="36" t="s">
        <v>2494</v>
      </c>
      <c r="C956" s="37" t="s">
        <v>102</v>
      </c>
      <c r="D956" s="36" t="s">
        <v>2495</v>
      </c>
      <c r="E956" s="48"/>
      <c r="F956" s="36" t="s">
        <v>2496</v>
      </c>
    </row>
    <row r="957">
      <c r="A957" s="21" t="s">
        <v>2497</v>
      </c>
      <c r="B957" s="21" t="s">
        <v>2498</v>
      </c>
      <c r="C957" s="22" t="s">
        <v>102</v>
      </c>
      <c r="D957" s="21" t="s">
        <v>1475</v>
      </c>
      <c r="E957" s="22" t="s">
        <v>99</v>
      </c>
      <c r="F957" s="21" t="s">
        <v>1476</v>
      </c>
    </row>
    <row r="958">
      <c r="A958" s="32" t="s">
        <v>2499</v>
      </c>
      <c r="B958" s="34" t="s">
        <v>2500</v>
      </c>
      <c r="C958" s="38" t="s">
        <v>166</v>
      </c>
      <c r="D958" s="34" t="s">
        <v>1479</v>
      </c>
      <c r="E958" s="38" t="s">
        <v>99</v>
      </c>
      <c r="F958" s="32" t="s">
        <v>265</v>
      </c>
    </row>
    <row r="959">
      <c r="A959" s="32" t="s">
        <v>2501</v>
      </c>
      <c r="B959" s="34" t="s">
        <v>2502</v>
      </c>
      <c r="C959" s="38" t="s">
        <v>166</v>
      </c>
      <c r="D959" s="34" t="s">
        <v>1482</v>
      </c>
      <c r="E959" s="38" t="s">
        <v>99</v>
      </c>
      <c r="F959" s="32" t="s">
        <v>265</v>
      </c>
    </row>
    <row r="960">
      <c r="A960" s="18" t="s">
        <v>2503</v>
      </c>
      <c r="B960" s="25" t="s">
        <v>2504</v>
      </c>
      <c r="C960" s="20" t="s">
        <v>166</v>
      </c>
      <c r="D960" s="29"/>
      <c r="E960" s="19"/>
      <c r="F960" s="18" t="s">
        <v>265</v>
      </c>
    </row>
    <row r="961">
      <c r="A961" s="21" t="s">
        <v>2505</v>
      </c>
      <c r="B961" s="26" t="s">
        <v>2506</v>
      </c>
      <c r="C961" s="22" t="s">
        <v>102</v>
      </c>
      <c r="D961" s="26" t="s">
        <v>1485</v>
      </c>
      <c r="E961" s="26" t="s">
        <v>99</v>
      </c>
      <c r="F961" s="21" t="s">
        <v>889</v>
      </c>
    </row>
    <row r="962">
      <c r="A962" s="21" t="s">
        <v>2507</v>
      </c>
      <c r="B962" s="21" t="s">
        <v>2508</v>
      </c>
      <c r="C962" s="22" t="s">
        <v>102</v>
      </c>
      <c r="D962" s="21" t="s">
        <v>1500</v>
      </c>
      <c r="E962" s="22" t="s">
        <v>1501</v>
      </c>
      <c r="F962" s="21" t="s">
        <v>104</v>
      </c>
    </row>
    <row r="963">
      <c r="A963" s="21" t="s">
        <v>2509</v>
      </c>
      <c r="B963" s="21" t="s">
        <v>2510</v>
      </c>
      <c r="C963" s="22" t="s">
        <v>102</v>
      </c>
      <c r="D963" s="21" t="s">
        <v>1488</v>
      </c>
      <c r="E963" s="22" t="s">
        <v>99</v>
      </c>
      <c r="F963" s="21" t="s">
        <v>889</v>
      </c>
    </row>
    <row r="964">
      <c r="A964" s="54" t="s">
        <v>2511</v>
      </c>
      <c r="B964" s="32" t="s">
        <v>2512</v>
      </c>
      <c r="C964" s="38" t="s">
        <v>166</v>
      </c>
      <c r="D964" s="32" t="s">
        <v>1491</v>
      </c>
      <c r="E964" s="38" t="s">
        <v>99</v>
      </c>
      <c r="F964" s="32" t="s">
        <v>889</v>
      </c>
    </row>
    <row r="965">
      <c r="A965" s="36" t="s">
        <v>2513</v>
      </c>
      <c r="B965" s="36" t="s">
        <v>2514</v>
      </c>
      <c r="C965" s="37" t="s">
        <v>102</v>
      </c>
      <c r="D965" s="36" t="s">
        <v>1488</v>
      </c>
      <c r="E965" s="37" t="s">
        <v>99</v>
      </c>
      <c r="F965" s="36" t="s">
        <v>889</v>
      </c>
    </row>
    <row r="966">
      <c r="A966" s="36" t="s">
        <v>2515</v>
      </c>
      <c r="B966" s="36" t="s">
        <v>2516</v>
      </c>
      <c r="C966" s="37" t="s">
        <v>102</v>
      </c>
      <c r="D966" s="36" t="s">
        <v>1497</v>
      </c>
      <c r="E966" s="37" t="s">
        <v>99</v>
      </c>
      <c r="F966" s="36" t="s">
        <v>889</v>
      </c>
    </row>
    <row r="967">
      <c r="A967" s="36" t="s">
        <v>2517</v>
      </c>
      <c r="B967" s="36" t="s">
        <v>2508</v>
      </c>
      <c r="C967" s="37" t="s">
        <v>102</v>
      </c>
      <c r="D967" s="36" t="s">
        <v>1500</v>
      </c>
      <c r="E967" s="37" t="s">
        <v>1501</v>
      </c>
      <c r="F967" s="36" t="s">
        <v>104</v>
      </c>
    </row>
    <row r="968">
      <c r="A968" s="36" t="s">
        <v>2518</v>
      </c>
      <c r="B968" s="36" t="s">
        <v>2519</v>
      </c>
      <c r="C968" s="37" t="s">
        <v>102</v>
      </c>
      <c r="D968" s="36" t="s">
        <v>1504</v>
      </c>
      <c r="E968" s="37" t="s">
        <v>99</v>
      </c>
      <c r="F968" s="36" t="s">
        <v>889</v>
      </c>
    </row>
    <row r="969">
      <c r="A969" s="18" t="s">
        <v>48</v>
      </c>
      <c r="B969" s="18" t="s">
        <v>2520</v>
      </c>
      <c r="C969" s="20" t="s">
        <v>166</v>
      </c>
      <c r="D969" s="18" t="s">
        <v>1507</v>
      </c>
      <c r="E969" s="20" t="s">
        <v>99</v>
      </c>
      <c r="F969" s="18" t="s">
        <v>104</v>
      </c>
    </row>
    <row r="970">
      <c r="A970" s="18" t="s">
        <v>37</v>
      </c>
      <c r="B970" s="18" t="s">
        <v>2521</v>
      </c>
      <c r="C970" s="20" t="s">
        <v>166</v>
      </c>
      <c r="D970" s="18" t="s">
        <v>1510</v>
      </c>
      <c r="E970" s="20" t="s">
        <v>99</v>
      </c>
      <c r="F970" s="18" t="s">
        <v>104</v>
      </c>
    </row>
    <row r="971">
      <c r="A971" s="18" t="s">
        <v>47</v>
      </c>
      <c r="B971" s="18" t="s">
        <v>2522</v>
      </c>
      <c r="C971" s="20" t="s">
        <v>166</v>
      </c>
      <c r="D971" s="18" t="s">
        <v>1510</v>
      </c>
      <c r="E971" s="20" t="s">
        <v>99</v>
      </c>
      <c r="F971" s="18" t="s">
        <v>104</v>
      </c>
    </row>
    <row r="972">
      <c r="A972" s="32" t="s">
        <v>2523</v>
      </c>
      <c r="B972" s="32" t="s">
        <v>2524</v>
      </c>
      <c r="C972" s="38" t="s">
        <v>166</v>
      </c>
      <c r="D972" s="32" t="s">
        <v>1516</v>
      </c>
      <c r="E972" s="38" t="s">
        <v>99</v>
      </c>
      <c r="F972" s="32" t="s">
        <v>109</v>
      </c>
    </row>
    <row r="973">
      <c r="A973" s="32" t="s">
        <v>2525</v>
      </c>
      <c r="B973" s="32" t="s">
        <v>2526</v>
      </c>
      <c r="C973" s="38" t="s">
        <v>166</v>
      </c>
      <c r="D973" s="32" t="s">
        <v>2527</v>
      </c>
      <c r="E973" s="33"/>
      <c r="F973" s="32" t="s">
        <v>408</v>
      </c>
    </row>
    <row r="974">
      <c r="A974" s="32" t="s">
        <v>2528</v>
      </c>
      <c r="B974" s="32" t="s">
        <v>2529</v>
      </c>
      <c r="C974" s="38" t="s">
        <v>99</v>
      </c>
      <c r="D974" s="33"/>
      <c r="E974" s="33"/>
      <c r="F974" s="32" t="s">
        <v>408</v>
      </c>
    </row>
    <row r="975">
      <c r="A975" s="32" t="s">
        <v>2530</v>
      </c>
      <c r="B975" s="32" t="s">
        <v>2408</v>
      </c>
      <c r="C975" s="38" t="s">
        <v>284</v>
      </c>
      <c r="D975" s="32" t="s">
        <v>99</v>
      </c>
      <c r="E975" s="38" t="s">
        <v>99</v>
      </c>
      <c r="F975" s="32" t="s">
        <v>99</v>
      </c>
    </row>
    <row r="976">
      <c r="A976" s="21" t="s">
        <v>2531</v>
      </c>
      <c r="B976" s="21" t="s">
        <v>2532</v>
      </c>
      <c r="C976" s="22" t="s">
        <v>102</v>
      </c>
      <c r="D976" s="21" t="s">
        <v>1519</v>
      </c>
      <c r="E976" s="22" t="s">
        <v>1520</v>
      </c>
      <c r="F976" s="21" t="s">
        <v>608</v>
      </c>
    </row>
    <row r="977">
      <c r="A977" s="36" t="s">
        <v>2533</v>
      </c>
      <c r="B977" s="36" t="s">
        <v>2534</v>
      </c>
      <c r="C977" s="37" t="s">
        <v>102</v>
      </c>
      <c r="D977" s="36" t="s">
        <v>1519</v>
      </c>
      <c r="E977" s="37" t="s">
        <v>99</v>
      </c>
      <c r="F977" s="36" t="s">
        <v>608</v>
      </c>
    </row>
    <row r="978">
      <c r="A978" s="21" t="s">
        <v>39</v>
      </c>
      <c r="B978" s="21" t="s">
        <v>2535</v>
      </c>
      <c r="C978" s="22" t="s">
        <v>102</v>
      </c>
      <c r="D978" s="21" t="s">
        <v>1525</v>
      </c>
      <c r="E978" s="22" t="s">
        <v>99</v>
      </c>
      <c r="F978" s="21" t="s">
        <v>104</v>
      </c>
    </row>
    <row r="979">
      <c r="A979" s="36" t="s">
        <v>2536</v>
      </c>
      <c r="B979" s="53" t="s">
        <v>2537</v>
      </c>
      <c r="C979" s="37" t="s">
        <v>102</v>
      </c>
      <c r="D979" s="36" t="s">
        <v>1528</v>
      </c>
      <c r="E979" s="37" t="s">
        <v>99</v>
      </c>
      <c r="F979" s="36" t="s">
        <v>104</v>
      </c>
    </row>
    <row r="980">
      <c r="A980" s="36" t="s">
        <v>2538</v>
      </c>
      <c r="B980" s="36" t="s">
        <v>2539</v>
      </c>
      <c r="C980" s="37" t="s">
        <v>102</v>
      </c>
      <c r="D980" s="36" t="s">
        <v>1531</v>
      </c>
      <c r="E980" s="37" t="s">
        <v>99</v>
      </c>
      <c r="F980" s="36" t="s">
        <v>104</v>
      </c>
    </row>
    <row r="981">
      <c r="A981" s="32" t="s">
        <v>2540</v>
      </c>
      <c r="B981" s="32" t="s">
        <v>2541</v>
      </c>
      <c r="C981" s="38" t="s">
        <v>166</v>
      </c>
      <c r="D981" s="32" t="s">
        <v>1534</v>
      </c>
      <c r="E981" s="38" t="s">
        <v>99</v>
      </c>
      <c r="F981" s="32" t="s">
        <v>408</v>
      </c>
    </row>
    <row r="982">
      <c r="A982" s="21" t="s">
        <v>2542</v>
      </c>
      <c r="B982" s="21" t="s">
        <v>2543</v>
      </c>
      <c r="C982" s="22" t="s">
        <v>102</v>
      </c>
      <c r="D982" s="23"/>
      <c r="E982" s="23"/>
      <c r="F982" s="21" t="s">
        <v>408</v>
      </c>
    </row>
    <row r="983">
      <c r="A983" s="32" t="s">
        <v>2544</v>
      </c>
      <c r="B983" s="32" t="s">
        <v>2545</v>
      </c>
      <c r="C983" s="38" t="s">
        <v>166</v>
      </c>
      <c r="D983" s="33"/>
      <c r="E983" s="33"/>
      <c r="F983" s="32" t="s">
        <v>408</v>
      </c>
    </row>
    <row r="984">
      <c r="A984" s="32" t="s">
        <v>2546</v>
      </c>
      <c r="B984" s="32" t="s">
        <v>2547</v>
      </c>
      <c r="C984" s="38" t="s">
        <v>99</v>
      </c>
      <c r="D984" s="33"/>
      <c r="E984" s="33"/>
      <c r="F984" s="32" t="s">
        <v>408</v>
      </c>
    </row>
    <row r="985">
      <c r="A985" s="21" t="s">
        <v>2548</v>
      </c>
      <c r="B985" s="26" t="s">
        <v>2549</v>
      </c>
      <c r="C985" s="22" t="s">
        <v>102</v>
      </c>
      <c r="D985" s="21" t="s">
        <v>1537</v>
      </c>
      <c r="E985" s="22" t="s">
        <v>99</v>
      </c>
      <c r="F985" s="21" t="s">
        <v>104</v>
      </c>
    </row>
    <row r="986">
      <c r="A986" s="36" t="s">
        <v>2550</v>
      </c>
      <c r="B986" s="36" t="s">
        <v>2551</v>
      </c>
      <c r="C986" s="37" t="s">
        <v>102</v>
      </c>
      <c r="D986" s="36" t="s">
        <v>2552</v>
      </c>
      <c r="E986" s="48"/>
      <c r="F986" s="36" t="s">
        <v>149</v>
      </c>
    </row>
    <row r="987">
      <c r="A987" s="21" t="s">
        <v>2553</v>
      </c>
      <c r="B987" s="26" t="s">
        <v>2554</v>
      </c>
      <c r="C987" s="22" t="s">
        <v>102</v>
      </c>
      <c r="D987" s="21" t="s">
        <v>2555</v>
      </c>
      <c r="E987" s="23"/>
      <c r="F987" s="21" t="s">
        <v>149</v>
      </c>
    </row>
    <row r="988">
      <c r="A988" s="21" t="s">
        <v>2556</v>
      </c>
      <c r="B988" s="21" t="s">
        <v>2557</v>
      </c>
      <c r="C988" s="22" t="s">
        <v>102</v>
      </c>
      <c r="D988" s="23"/>
      <c r="E988" s="23"/>
      <c r="F988" s="21" t="s">
        <v>149</v>
      </c>
    </row>
    <row r="989">
      <c r="A989" s="21" t="s">
        <v>2558</v>
      </c>
      <c r="B989" s="21" t="s">
        <v>2145</v>
      </c>
      <c r="C989" s="22" t="s">
        <v>102</v>
      </c>
      <c r="D989" s="21" t="s">
        <v>1541</v>
      </c>
      <c r="E989" s="22" t="s">
        <v>1542</v>
      </c>
      <c r="F989" s="21" t="s">
        <v>149</v>
      </c>
    </row>
    <row r="990">
      <c r="A990" s="32" t="s">
        <v>2559</v>
      </c>
      <c r="B990" s="34" t="s">
        <v>2560</v>
      </c>
      <c r="C990" s="38" t="s">
        <v>166</v>
      </c>
      <c r="D990" s="32" t="s">
        <v>1545</v>
      </c>
      <c r="E990" s="38" t="s">
        <v>99</v>
      </c>
      <c r="F990" s="32" t="s">
        <v>149</v>
      </c>
    </row>
    <row r="991">
      <c r="A991" s="36" t="s">
        <v>57</v>
      </c>
      <c r="B991" s="36" t="s">
        <v>2149</v>
      </c>
      <c r="C991" s="37" t="s">
        <v>102</v>
      </c>
      <c r="D991" s="36" t="s">
        <v>1548</v>
      </c>
      <c r="E991" s="37" t="s">
        <v>1549</v>
      </c>
      <c r="F991" s="36" t="s">
        <v>149</v>
      </c>
    </row>
    <row r="992">
      <c r="A992" s="36" t="s">
        <v>2561</v>
      </c>
      <c r="B992" s="36" t="s">
        <v>2562</v>
      </c>
      <c r="C992" s="37" t="s">
        <v>102</v>
      </c>
      <c r="D992" s="36" t="s">
        <v>2563</v>
      </c>
      <c r="E992" s="48"/>
      <c r="F992" s="36" t="s">
        <v>149</v>
      </c>
    </row>
    <row r="993">
      <c r="A993" s="21" t="s">
        <v>2564</v>
      </c>
      <c r="B993" s="21" t="s">
        <v>2565</v>
      </c>
      <c r="C993" s="23"/>
      <c r="D993" s="23"/>
      <c r="E993" s="23"/>
      <c r="F993" s="21" t="s">
        <v>149</v>
      </c>
    </row>
    <row r="994">
      <c r="A994" s="21" t="s">
        <v>2566</v>
      </c>
      <c r="B994" s="21" t="s">
        <v>2567</v>
      </c>
      <c r="C994" s="22" t="s">
        <v>102</v>
      </c>
      <c r="D994" s="23"/>
      <c r="E994" s="23"/>
      <c r="F994" s="21" t="s">
        <v>104</v>
      </c>
    </row>
    <row r="995">
      <c r="A995" s="18" t="s">
        <v>2568</v>
      </c>
      <c r="B995" s="18" t="s">
        <v>2569</v>
      </c>
      <c r="C995" s="20" t="s">
        <v>166</v>
      </c>
      <c r="D995" s="18" t="s">
        <v>1552</v>
      </c>
      <c r="E995" s="20" t="s">
        <v>99</v>
      </c>
      <c r="F995" s="18" t="s">
        <v>1553</v>
      </c>
    </row>
    <row r="996">
      <c r="A996" s="32" t="s">
        <v>2570</v>
      </c>
      <c r="B996" s="32" t="s">
        <v>2571</v>
      </c>
      <c r="C996" s="38" t="s">
        <v>166</v>
      </c>
      <c r="D996" s="32" t="s">
        <v>2572</v>
      </c>
      <c r="E996" s="33"/>
      <c r="F996" s="32" t="s">
        <v>104</v>
      </c>
    </row>
    <row r="997">
      <c r="A997" s="21" t="s">
        <v>2573</v>
      </c>
      <c r="B997" s="21" t="s">
        <v>2574</v>
      </c>
      <c r="C997" s="22" t="s">
        <v>102</v>
      </c>
      <c r="D997" s="23"/>
      <c r="E997" s="23"/>
      <c r="F997" s="21" t="s">
        <v>202</v>
      </c>
    </row>
    <row r="998">
      <c r="A998" s="21" t="s">
        <v>2575</v>
      </c>
      <c r="B998" s="21" t="s">
        <v>2576</v>
      </c>
      <c r="C998" s="22" t="s">
        <v>102</v>
      </c>
      <c r="D998" s="23"/>
      <c r="E998" s="23"/>
      <c r="F998" s="23"/>
    </row>
    <row r="999">
      <c r="A999" s="32" t="s">
        <v>2577</v>
      </c>
      <c r="B999" s="34" t="s">
        <v>619</v>
      </c>
      <c r="C999" s="33"/>
      <c r="D999" s="33"/>
      <c r="E999" s="33"/>
      <c r="F999" s="33"/>
    </row>
    <row r="1000">
      <c r="A1000" s="32" t="s">
        <v>38</v>
      </c>
      <c r="B1000" s="32" t="s">
        <v>2578</v>
      </c>
      <c r="C1000" s="38" t="s">
        <v>284</v>
      </c>
      <c r="D1000" s="32" t="s">
        <v>99</v>
      </c>
      <c r="E1000" s="38" t="s">
        <v>99</v>
      </c>
      <c r="F1000" s="32" t="s">
        <v>99</v>
      </c>
    </row>
    <row r="1001">
      <c r="A1001" s="21" t="s">
        <v>2579</v>
      </c>
      <c r="B1001" s="26" t="s">
        <v>2580</v>
      </c>
      <c r="C1001" s="22" t="s">
        <v>102</v>
      </c>
      <c r="D1001" s="21" t="s">
        <v>1556</v>
      </c>
      <c r="E1001" s="22" t="s">
        <v>99</v>
      </c>
      <c r="F1001" s="21" t="s">
        <v>265</v>
      </c>
    </row>
    <row r="1002">
      <c r="A1002" s="21" t="s">
        <v>2581</v>
      </c>
      <c r="B1002" s="26" t="s">
        <v>2582</v>
      </c>
      <c r="C1002" s="22" t="s">
        <v>102</v>
      </c>
      <c r="D1002" s="21" t="s">
        <v>1556</v>
      </c>
      <c r="E1002" s="22" t="s">
        <v>99</v>
      </c>
      <c r="F1002" s="21" t="s">
        <v>265</v>
      </c>
    </row>
    <row r="1003">
      <c r="A1003" s="21" t="s">
        <v>2583</v>
      </c>
      <c r="B1003" s="21" t="s">
        <v>2584</v>
      </c>
      <c r="C1003" s="22" t="s">
        <v>102</v>
      </c>
      <c r="D1003" s="21" t="s">
        <v>1561</v>
      </c>
      <c r="E1003" s="22" t="s">
        <v>99</v>
      </c>
      <c r="F1003" s="21" t="s">
        <v>1195</v>
      </c>
    </row>
    <row r="1004">
      <c r="A1004" s="21" t="s">
        <v>2585</v>
      </c>
      <c r="B1004" s="21" t="s">
        <v>2586</v>
      </c>
      <c r="C1004" s="22" t="s">
        <v>102</v>
      </c>
      <c r="D1004" s="21" t="s">
        <v>2587</v>
      </c>
      <c r="E1004" s="22" t="s">
        <v>2588</v>
      </c>
      <c r="F1004" s="21" t="s">
        <v>2589</v>
      </c>
    </row>
    <row r="1005">
      <c r="A1005" s="21" t="s">
        <v>2590</v>
      </c>
      <c r="B1005" s="21" t="s">
        <v>2591</v>
      </c>
      <c r="C1005" s="22" t="s">
        <v>102</v>
      </c>
      <c r="D1005" s="21" t="s">
        <v>2592</v>
      </c>
      <c r="E1005" s="23"/>
      <c r="F1005" s="21" t="s">
        <v>109</v>
      </c>
    </row>
    <row r="1006">
      <c r="A1006" s="21" t="s">
        <v>2593</v>
      </c>
      <c r="B1006" s="21" t="s">
        <v>2594</v>
      </c>
      <c r="C1006" s="22" t="s">
        <v>102</v>
      </c>
      <c r="D1006" s="23"/>
      <c r="E1006" s="23"/>
      <c r="F1006" s="21" t="s">
        <v>109</v>
      </c>
    </row>
    <row r="1007">
      <c r="A1007" s="21" t="s">
        <v>2595</v>
      </c>
      <c r="B1007" s="21" t="s">
        <v>2596</v>
      </c>
      <c r="C1007" s="22" t="s">
        <v>102</v>
      </c>
      <c r="D1007" s="21" t="s">
        <v>1566</v>
      </c>
      <c r="E1007" s="22" t="s">
        <v>99</v>
      </c>
      <c r="F1007" s="21" t="s">
        <v>608</v>
      </c>
    </row>
    <row r="1008">
      <c r="A1008" s="21" t="s">
        <v>2597</v>
      </c>
      <c r="B1008" s="21" t="s">
        <v>2598</v>
      </c>
      <c r="C1008" s="22" t="s">
        <v>102</v>
      </c>
      <c r="D1008" s="21" t="s">
        <v>1569</v>
      </c>
      <c r="E1008" s="22" t="s">
        <v>99</v>
      </c>
      <c r="F1008" s="21" t="s">
        <v>608</v>
      </c>
    </row>
    <row r="1009">
      <c r="A1009" s="21" t="s">
        <v>2599</v>
      </c>
      <c r="B1009" s="21" t="s">
        <v>2600</v>
      </c>
      <c r="C1009" s="22" t="s">
        <v>102</v>
      </c>
      <c r="D1009" s="23"/>
      <c r="E1009" s="23"/>
      <c r="F1009" s="21" t="s">
        <v>109</v>
      </c>
    </row>
    <row r="1010">
      <c r="A1010" s="21" t="s">
        <v>2601</v>
      </c>
      <c r="B1010" s="21" t="s">
        <v>2602</v>
      </c>
      <c r="C1010" s="22" t="s">
        <v>166</v>
      </c>
      <c r="D1010" s="21" t="s">
        <v>2603</v>
      </c>
      <c r="E1010" s="23"/>
      <c r="F1010" s="21" t="s">
        <v>109</v>
      </c>
    </row>
    <row r="1011">
      <c r="A1011" s="21" t="s">
        <v>2604</v>
      </c>
      <c r="B1011" s="21" t="s">
        <v>2605</v>
      </c>
      <c r="C1011" s="22" t="s">
        <v>102</v>
      </c>
      <c r="D1011" s="21" t="s">
        <v>2606</v>
      </c>
      <c r="E1011" s="22" t="s">
        <v>99</v>
      </c>
      <c r="F1011" s="21" t="s">
        <v>109</v>
      </c>
    </row>
    <row r="1012">
      <c r="A1012" s="21" t="s">
        <v>2607</v>
      </c>
      <c r="B1012" s="21" t="s">
        <v>2608</v>
      </c>
      <c r="C1012" s="22" t="s">
        <v>102</v>
      </c>
      <c r="D1012" s="23"/>
      <c r="E1012" s="23"/>
      <c r="F1012" s="21" t="s">
        <v>109</v>
      </c>
    </row>
    <row r="1013">
      <c r="A1013" s="36" t="s">
        <v>2609</v>
      </c>
      <c r="B1013" s="36" t="s">
        <v>2610</v>
      </c>
      <c r="C1013" s="37" t="s">
        <v>102</v>
      </c>
      <c r="D1013" s="48"/>
      <c r="E1013" s="48"/>
      <c r="F1013" s="36" t="s">
        <v>109</v>
      </c>
    </row>
    <row r="1014">
      <c r="A1014" s="21" t="s">
        <v>2611</v>
      </c>
      <c r="B1014" s="21" t="s">
        <v>2612</v>
      </c>
      <c r="C1014" s="22" t="s">
        <v>102</v>
      </c>
      <c r="D1014" s="21" t="s">
        <v>2613</v>
      </c>
      <c r="E1014" s="23"/>
      <c r="F1014" s="21" t="s">
        <v>109</v>
      </c>
    </row>
    <row r="1015">
      <c r="A1015" s="21" t="s">
        <v>2614</v>
      </c>
      <c r="B1015" s="21" t="s">
        <v>2615</v>
      </c>
      <c r="C1015" s="22" t="s">
        <v>102</v>
      </c>
      <c r="D1015" s="21" t="s">
        <v>1574</v>
      </c>
      <c r="E1015" s="22" t="s">
        <v>99</v>
      </c>
      <c r="F1015" s="21" t="s">
        <v>1575</v>
      </c>
    </row>
    <row r="1016">
      <c r="A1016" s="21" t="s">
        <v>2616</v>
      </c>
      <c r="B1016" s="21" t="s">
        <v>2617</v>
      </c>
      <c r="C1016" s="22" t="s">
        <v>102</v>
      </c>
      <c r="D1016" s="21" t="s">
        <v>1578</v>
      </c>
      <c r="E1016" s="22" t="s">
        <v>99</v>
      </c>
      <c r="F1016" s="21" t="s">
        <v>1575</v>
      </c>
    </row>
    <row r="1017">
      <c r="A1017" s="21" t="s">
        <v>2618</v>
      </c>
      <c r="B1017" s="21" t="s">
        <v>619</v>
      </c>
      <c r="C1017" s="23"/>
      <c r="D1017" s="23"/>
      <c r="E1017" s="23"/>
      <c r="F1017" s="23"/>
    </row>
    <row r="1018">
      <c r="A1018" s="18" t="s">
        <v>2619</v>
      </c>
      <c r="B1018" s="18" t="s">
        <v>2620</v>
      </c>
      <c r="C1018" s="20" t="s">
        <v>166</v>
      </c>
      <c r="D1018" s="18" t="s">
        <v>1584</v>
      </c>
      <c r="E1018" s="20" t="s">
        <v>99</v>
      </c>
      <c r="F1018" s="18" t="s">
        <v>1585</v>
      </c>
    </row>
    <row r="1019">
      <c r="A1019" s="36" t="s">
        <v>2621</v>
      </c>
      <c r="B1019" s="36" t="s">
        <v>619</v>
      </c>
      <c r="C1019" s="48"/>
      <c r="D1019" s="48"/>
      <c r="E1019" s="48"/>
      <c r="F1019" s="48"/>
    </row>
    <row r="1020">
      <c r="A1020" s="36" t="s">
        <v>2622</v>
      </c>
      <c r="B1020" s="36" t="s">
        <v>619</v>
      </c>
      <c r="C1020" s="48"/>
      <c r="D1020" s="48"/>
      <c r="E1020" s="48"/>
      <c r="F1020" s="48"/>
    </row>
    <row r="1021">
      <c r="A1021" s="18" t="s">
        <v>2623</v>
      </c>
      <c r="B1021" s="25" t="s">
        <v>619</v>
      </c>
      <c r="C1021" s="19"/>
      <c r="D1021" s="19"/>
      <c r="E1021" s="19"/>
      <c r="F1021" s="19"/>
    </row>
    <row r="1022">
      <c r="A1022" s="36" t="s">
        <v>2624</v>
      </c>
      <c r="B1022" s="36" t="s">
        <v>619</v>
      </c>
      <c r="C1022" s="48"/>
      <c r="D1022" s="48"/>
      <c r="E1022" s="48"/>
      <c r="F1022" s="48"/>
    </row>
    <row r="1023">
      <c r="A1023" s="21" t="s">
        <v>2625</v>
      </c>
      <c r="B1023" s="21" t="s">
        <v>619</v>
      </c>
      <c r="C1023" s="23"/>
      <c r="D1023" s="23"/>
      <c r="E1023" s="23"/>
      <c r="F1023" s="23"/>
    </row>
    <row r="1024">
      <c r="A1024" s="32" t="s">
        <v>2626</v>
      </c>
      <c r="B1024" s="32" t="s">
        <v>2627</v>
      </c>
      <c r="C1024" s="38" t="s">
        <v>99</v>
      </c>
      <c r="D1024" s="32" t="s">
        <v>99</v>
      </c>
      <c r="E1024" s="38" t="s">
        <v>99</v>
      </c>
      <c r="F1024" s="32" t="s">
        <v>99</v>
      </c>
    </row>
    <row r="1025">
      <c r="A1025" s="32" t="s">
        <v>2628</v>
      </c>
      <c r="B1025" s="32" t="s">
        <v>2629</v>
      </c>
      <c r="C1025" s="33"/>
      <c r="D1025" s="33"/>
      <c r="E1025" s="33"/>
      <c r="F1025" s="33"/>
    </row>
    <row r="1026">
      <c r="A1026" s="32" t="s">
        <v>2630</v>
      </c>
      <c r="B1026" s="32" t="s">
        <v>2631</v>
      </c>
      <c r="C1026" s="38" t="s">
        <v>166</v>
      </c>
      <c r="D1026" s="32" t="s">
        <v>99</v>
      </c>
      <c r="E1026" s="38" t="s">
        <v>99</v>
      </c>
      <c r="F1026" s="32" t="s">
        <v>149</v>
      </c>
    </row>
    <row r="1027">
      <c r="A1027" s="32" t="s">
        <v>33</v>
      </c>
      <c r="B1027" s="32" t="s">
        <v>2632</v>
      </c>
      <c r="C1027" s="33"/>
      <c r="D1027" s="33"/>
      <c r="E1027" s="33"/>
      <c r="F1027" s="33"/>
    </row>
    <row r="1028">
      <c r="A1028" s="32" t="s">
        <v>68</v>
      </c>
      <c r="B1028" s="32" t="s">
        <v>2633</v>
      </c>
      <c r="C1028" s="38" t="s">
        <v>99</v>
      </c>
      <c r="D1028" s="32" t="s">
        <v>99</v>
      </c>
      <c r="E1028" s="38" t="s">
        <v>99</v>
      </c>
      <c r="F1028" s="32" t="s">
        <v>99</v>
      </c>
    </row>
    <row r="1029">
      <c r="A1029" s="21" t="s">
        <v>2634</v>
      </c>
      <c r="B1029" s="21" t="s">
        <v>619</v>
      </c>
      <c r="C1029" s="23"/>
      <c r="D1029" s="23"/>
      <c r="E1029" s="23"/>
      <c r="F1029" s="23"/>
    </row>
    <row r="1030">
      <c r="A1030" s="21" t="s">
        <v>2635</v>
      </c>
      <c r="B1030" s="21" t="s">
        <v>619</v>
      </c>
      <c r="C1030" s="23"/>
      <c r="D1030" s="23"/>
      <c r="E1030" s="23"/>
      <c r="F1030" s="23"/>
    </row>
    <row r="1031">
      <c r="A1031" s="21" t="s">
        <v>2636</v>
      </c>
      <c r="B1031" s="21" t="s">
        <v>619</v>
      </c>
      <c r="C1031" s="23"/>
      <c r="D1031" s="23"/>
      <c r="E1031" s="23"/>
      <c r="F1031" s="23"/>
    </row>
    <row r="1032">
      <c r="A1032" s="21" t="s">
        <v>2637</v>
      </c>
      <c r="B1032" s="21" t="s">
        <v>619</v>
      </c>
      <c r="C1032" s="23"/>
      <c r="D1032" s="23"/>
      <c r="E1032" s="23"/>
      <c r="F1032" s="23"/>
    </row>
    <row r="1033">
      <c r="A1033" s="21" t="s">
        <v>2638</v>
      </c>
      <c r="B1033" s="21" t="s">
        <v>619</v>
      </c>
      <c r="C1033" s="23"/>
      <c r="D1033" s="23"/>
      <c r="E1033" s="23"/>
      <c r="F1033" s="23"/>
    </row>
    <row r="1034">
      <c r="A1034" s="36" t="s">
        <v>2639</v>
      </c>
      <c r="B1034" s="36" t="s">
        <v>619</v>
      </c>
      <c r="C1034" s="48"/>
      <c r="D1034" s="48"/>
      <c r="E1034" s="48"/>
      <c r="F1034" s="48"/>
    </row>
    <row r="1035">
      <c r="A1035" s="36" t="s">
        <v>2640</v>
      </c>
      <c r="B1035" s="36" t="s">
        <v>619</v>
      </c>
      <c r="C1035" s="48"/>
      <c r="D1035" s="48"/>
      <c r="E1035" s="48"/>
      <c r="F1035" s="48"/>
    </row>
    <row r="1036">
      <c r="A1036" s="21" t="s">
        <v>2641</v>
      </c>
      <c r="B1036" s="21" t="s">
        <v>2642</v>
      </c>
      <c r="C1036" s="22" t="s">
        <v>102</v>
      </c>
      <c r="D1036" s="21" t="s">
        <v>99</v>
      </c>
      <c r="E1036" s="22" t="s">
        <v>99</v>
      </c>
      <c r="F1036" s="21" t="s">
        <v>99</v>
      </c>
    </row>
    <row r="1037">
      <c r="A1037" s="36" t="s">
        <v>2643</v>
      </c>
      <c r="B1037" s="36" t="s">
        <v>2644</v>
      </c>
      <c r="C1037" s="37" t="s">
        <v>102</v>
      </c>
      <c r="D1037" s="36" t="s">
        <v>99</v>
      </c>
      <c r="E1037" s="37" t="s">
        <v>99</v>
      </c>
      <c r="F1037" s="36" t="s">
        <v>99</v>
      </c>
    </row>
    <row r="1038">
      <c r="A1038" s="36" t="s">
        <v>43</v>
      </c>
      <c r="B1038" s="36" t="s">
        <v>2645</v>
      </c>
      <c r="C1038" s="37" t="s">
        <v>102</v>
      </c>
      <c r="D1038" s="36" t="s">
        <v>1594</v>
      </c>
      <c r="E1038" s="37" t="s">
        <v>1595</v>
      </c>
      <c r="F1038" s="36" t="s">
        <v>104</v>
      </c>
    </row>
    <row r="1039">
      <c r="A1039" s="21" t="s">
        <v>2646</v>
      </c>
      <c r="B1039" s="21" t="s">
        <v>2647</v>
      </c>
      <c r="C1039" s="22" t="s">
        <v>102</v>
      </c>
      <c r="D1039" s="21" t="s">
        <v>1598</v>
      </c>
      <c r="E1039" s="22" t="s">
        <v>99</v>
      </c>
      <c r="F1039" s="21" t="s">
        <v>1599</v>
      </c>
    </row>
    <row r="1040">
      <c r="A1040" s="18" t="s">
        <v>2648</v>
      </c>
      <c r="B1040" s="18" t="s">
        <v>2649</v>
      </c>
      <c r="C1040" s="20" t="s">
        <v>166</v>
      </c>
      <c r="D1040" s="18" t="s">
        <v>1598</v>
      </c>
      <c r="E1040" s="20" t="s">
        <v>99</v>
      </c>
      <c r="F1040" s="18" t="s">
        <v>1599</v>
      </c>
    </row>
    <row r="1041">
      <c r="A1041" s="18" t="s">
        <v>2650</v>
      </c>
      <c r="B1041" s="18" t="s">
        <v>2651</v>
      </c>
      <c r="C1041" s="20" t="s">
        <v>166</v>
      </c>
      <c r="D1041" s="18" t="s">
        <v>2652</v>
      </c>
      <c r="E1041" s="20" t="s">
        <v>99</v>
      </c>
      <c r="F1041" s="18" t="s">
        <v>206</v>
      </c>
    </row>
    <row r="1042">
      <c r="A1042" s="21" t="s">
        <v>2653</v>
      </c>
      <c r="B1042" s="21" t="s">
        <v>2654</v>
      </c>
      <c r="C1042" s="22" t="s">
        <v>102</v>
      </c>
      <c r="D1042" s="21" t="s">
        <v>1604</v>
      </c>
      <c r="E1042" s="22" t="s">
        <v>99</v>
      </c>
      <c r="F1042" s="21" t="s">
        <v>1605</v>
      </c>
    </row>
    <row r="1043">
      <c r="A1043" s="32" t="s">
        <v>2655</v>
      </c>
      <c r="B1043" s="32" t="s">
        <v>2656</v>
      </c>
      <c r="C1043" s="38" t="s">
        <v>166</v>
      </c>
      <c r="D1043" s="32" t="s">
        <v>1608</v>
      </c>
      <c r="E1043" s="38" t="s">
        <v>99</v>
      </c>
      <c r="F1043" s="32" t="s">
        <v>692</v>
      </c>
    </row>
    <row r="1044">
      <c r="A1044" s="32" t="s">
        <v>2657</v>
      </c>
      <c r="B1044" s="32" t="s">
        <v>2658</v>
      </c>
      <c r="C1044" s="38" t="s">
        <v>102</v>
      </c>
      <c r="D1044" s="32" t="s">
        <v>2659</v>
      </c>
      <c r="E1044" s="33"/>
      <c r="F1044" s="32" t="s">
        <v>109</v>
      </c>
    </row>
    <row r="1045">
      <c r="A1045" s="21" t="s">
        <v>2660</v>
      </c>
      <c r="B1045" s="21" t="s">
        <v>2661</v>
      </c>
      <c r="C1045" s="22" t="s">
        <v>102</v>
      </c>
      <c r="D1045" s="23"/>
      <c r="E1045" s="23"/>
      <c r="F1045" s="21" t="s">
        <v>109</v>
      </c>
    </row>
    <row r="1046">
      <c r="A1046" s="18" t="s">
        <v>2662</v>
      </c>
      <c r="B1046" s="18" t="s">
        <v>2663</v>
      </c>
      <c r="C1046" s="20" t="s">
        <v>166</v>
      </c>
      <c r="D1046" s="18" t="s">
        <v>1611</v>
      </c>
      <c r="E1046" s="20" t="s">
        <v>99</v>
      </c>
      <c r="F1046" s="18" t="s">
        <v>109</v>
      </c>
    </row>
    <row r="1047">
      <c r="A1047" s="18" t="s">
        <v>2664</v>
      </c>
      <c r="B1047" s="18" t="s">
        <v>2665</v>
      </c>
      <c r="C1047" s="20" t="s">
        <v>166</v>
      </c>
      <c r="D1047" s="18" t="s">
        <v>2666</v>
      </c>
      <c r="E1047" s="20" t="s">
        <v>99</v>
      </c>
      <c r="F1047" s="18" t="s">
        <v>222</v>
      </c>
    </row>
    <row r="1048">
      <c r="A1048" s="36" t="s">
        <v>2667</v>
      </c>
      <c r="B1048" s="36" t="s">
        <v>2668</v>
      </c>
      <c r="C1048" s="37" t="s">
        <v>102</v>
      </c>
      <c r="D1048" s="36" t="s">
        <v>1614</v>
      </c>
      <c r="E1048" s="37" t="s">
        <v>99</v>
      </c>
      <c r="F1048" s="36" t="s">
        <v>1615</v>
      </c>
    </row>
    <row r="1049">
      <c r="A1049" s="21" t="s">
        <v>2669</v>
      </c>
      <c r="B1049" s="21" t="s">
        <v>2670</v>
      </c>
      <c r="C1049" s="22" t="s">
        <v>102</v>
      </c>
      <c r="D1049" s="23"/>
      <c r="E1049" s="23"/>
      <c r="F1049" s="21" t="s">
        <v>1615</v>
      </c>
    </row>
    <row r="1050">
      <c r="A1050" s="21" t="s">
        <v>2671</v>
      </c>
      <c r="B1050" s="21" t="s">
        <v>2672</v>
      </c>
      <c r="C1050" s="22" t="s">
        <v>102</v>
      </c>
      <c r="D1050" s="23"/>
      <c r="E1050" s="23"/>
      <c r="F1050" s="21" t="s">
        <v>1615</v>
      </c>
    </row>
    <row r="1051">
      <c r="A1051" s="21" t="s">
        <v>2673</v>
      </c>
      <c r="B1051" s="21" t="s">
        <v>2674</v>
      </c>
      <c r="C1051" s="22" t="s">
        <v>102</v>
      </c>
      <c r="D1051" s="21" t="s">
        <v>2675</v>
      </c>
      <c r="E1051" s="22" t="s">
        <v>99</v>
      </c>
      <c r="F1051" s="21" t="s">
        <v>2676</v>
      </c>
    </row>
    <row r="1052">
      <c r="A1052" s="32" t="s">
        <v>2677</v>
      </c>
      <c r="B1052" s="32" t="s">
        <v>1619</v>
      </c>
      <c r="C1052" s="38" t="s">
        <v>166</v>
      </c>
      <c r="D1052" s="32" t="s">
        <v>1618</v>
      </c>
      <c r="E1052" s="38" t="s">
        <v>1811</v>
      </c>
      <c r="F1052" s="32" t="s">
        <v>149</v>
      </c>
    </row>
    <row r="1053">
      <c r="A1053" s="32" t="s">
        <v>2678</v>
      </c>
      <c r="B1053" s="32" t="s">
        <v>2679</v>
      </c>
      <c r="C1053" s="38" t="s">
        <v>284</v>
      </c>
      <c r="D1053" s="32" t="s">
        <v>99</v>
      </c>
      <c r="E1053" s="38" t="s">
        <v>99</v>
      </c>
      <c r="F1053" s="32" t="s">
        <v>99</v>
      </c>
    </row>
    <row r="1054">
      <c r="A1054" s="18" t="s">
        <v>2680</v>
      </c>
      <c r="B1054" s="18" t="s">
        <v>2681</v>
      </c>
      <c r="C1054" s="20" t="s">
        <v>284</v>
      </c>
      <c r="D1054" s="18" t="s">
        <v>99</v>
      </c>
      <c r="E1054" s="20" t="s">
        <v>99</v>
      </c>
      <c r="F1054" s="18" t="s">
        <v>99</v>
      </c>
    </row>
    <row r="1055">
      <c r="A1055" s="36" t="s">
        <v>2682</v>
      </c>
      <c r="B1055" s="36" t="s">
        <v>2683</v>
      </c>
      <c r="C1055" s="37" t="s">
        <v>102</v>
      </c>
      <c r="D1055" s="36" t="s">
        <v>1622</v>
      </c>
      <c r="E1055" s="37" t="s">
        <v>99</v>
      </c>
      <c r="F1055" s="36" t="s">
        <v>104</v>
      </c>
    </row>
    <row r="1056">
      <c r="A1056" s="36" t="s">
        <v>2684</v>
      </c>
      <c r="B1056" s="36" t="s">
        <v>2685</v>
      </c>
      <c r="C1056" s="37" t="s">
        <v>102</v>
      </c>
      <c r="D1056" s="36" t="s">
        <v>2686</v>
      </c>
      <c r="E1056" s="48"/>
      <c r="F1056" s="36" t="s">
        <v>2687</v>
      </c>
    </row>
    <row r="1057">
      <c r="A1057" s="18" t="s">
        <v>2688</v>
      </c>
      <c r="B1057" s="25" t="s">
        <v>619</v>
      </c>
      <c r="C1057" s="19"/>
      <c r="D1057" s="19"/>
      <c r="E1057" s="19"/>
      <c r="F1057" s="19"/>
    </row>
    <row r="1058">
      <c r="A1058" s="36" t="s">
        <v>2689</v>
      </c>
      <c r="B1058" s="36" t="s">
        <v>2690</v>
      </c>
      <c r="C1058" s="37" t="s">
        <v>102</v>
      </c>
      <c r="D1058" s="36" t="s">
        <v>2691</v>
      </c>
      <c r="E1058" s="48"/>
      <c r="F1058" s="36" t="s">
        <v>492</v>
      </c>
    </row>
    <row r="1059">
      <c r="A1059" s="36" t="s">
        <v>2692</v>
      </c>
      <c r="B1059" s="36" t="s">
        <v>1900</v>
      </c>
      <c r="C1059" s="37" t="s">
        <v>102</v>
      </c>
      <c r="D1059" s="36" t="s">
        <v>1070</v>
      </c>
      <c r="E1059" s="37" t="s">
        <v>1071</v>
      </c>
      <c r="F1059" s="36" t="s">
        <v>492</v>
      </c>
    </row>
    <row r="1060">
      <c r="A1060" s="36" t="s">
        <v>2693</v>
      </c>
      <c r="B1060" s="53" t="s">
        <v>2694</v>
      </c>
      <c r="C1060" s="37" t="s">
        <v>102</v>
      </c>
      <c r="D1060" s="36" t="s">
        <v>1625</v>
      </c>
      <c r="E1060" s="37" t="s">
        <v>99</v>
      </c>
      <c r="F1060" s="36" t="s">
        <v>1626</v>
      </c>
    </row>
  </sheetData>
  <drawing r:id="rId1"/>
</worksheet>
</file>